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afiyaAlavi\Desktop\press-release-biotech-analysis\"/>
    </mc:Choice>
  </mc:AlternateContent>
  <xr:revisionPtr revIDLastSave="0" documentId="13_ncr:1_{086B9B96-DB16-4AE0-A6F4-B14579A5B6B0}" xr6:coauthVersionLast="47" xr6:coauthVersionMax="47" xr10:uidLastSave="{00000000-0000-0000-0000-000000000000}"/>
  <bookViews>
    <workbookView xWindow="-108" yWindow="-108" windowWidth="23256" windowHeight="13896" firstSheet="1" activeTab="1" xr2:uid="{EBE0400C-1981-4F15-9465-86E5D8DD1201}"/>
  </bookViews>
  <sheets>
    <sheet name="_CIQHiddenCacheSheet" sheetId="4" state="veryHidden" r:id="rId1"/>
    <sheet name="cleaned_catalysts" sheetId="1" r:id="rId2"/>
  </sheets>
  <definedNames>
    <definedName name="CIQWBGuid" hidden="1">"ba2293fa-d686-4eaf-ad6e-9faada1541b3"</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45261.8176967593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24" i="1" l="1"/>
  <c r="R1224" i="1"/>
  <c r="S1224" i="1"/>
  <c r="T1224" i="1"/>
  <c r="M1224" i="1"/>
  <c r="P1224" i="1"/>
  <c r="I1224" i="1"/>
  <c r="J1224" i="1"/>
  <c r="K1224" i="1"/>
  <c r="L1224" i="1"/>
  <c r="Q1223" i="1"/>
  <c r="R1223" i="1"/>
  <c r="S1223" i="1"/>
  <c r="T1223" i="1"/>
  <c r="M1223" i="1"/>
  <c r="P1223" i="1"/>
  <c r="I1223" i="1"/>
  <c r="J1223" i="1"/>
  <c r="K1223" i="1"/>
  <c r="L1223" i="1"/>
  <c r="Q1222" i="1"/>
  <c r="R1222" i="1"/>
  <c r="S1222" i="1"/>
  <c r="T1222" i="1"/>
  <c r="M1222" i="1"/>
  <c r="P1222" i="1"/>
  <c r="I1222" i="1"/>
  <c r="J1222" i="1"/>
  <c r="K1222" i="1"/>
  <c r="L1222" i="1"/>
  <c r="Q1221" i="1"/>
  <c r="R1221" i="1"/>
  <c r="S1221" i="1"/>
  <c r="T1221" i="1"/>
  <c r="M1221" i="1"/>
  <c r="P1221" i="1"/>
  <c r="I1221" i="1"/>
  <c r="J1221" i="1"/>
  <c r="K1221" i="1"/>
  <c r="L1221" i="1"/>
  <c r="Q1220" i="1"/>
  <c r="R1220" i="1"/>
  <c r="S1220" i="1"/>
  <c r="T1220" i="1"/>
  <c r="M1220" i="1"/>
  <c r="P1220" i="1"/>
  <c r="I1220" i="1"/>
  <c r="J1220" i="1"/>
  <c r="K1220" i="1"/>
  <c r="L1220" i="1"/>
  <c r="Q1219" i="1"/>
  <c r="R1219" i="1"/>
  <c r="S1219" i="1"/>
  <c r="T1219" i="1"/>
  <c r="M1219" i="1"/>
  <c r="P1219" i="1"/>
  <c r="I1219" i="1"/>
  <c r="J1219" i="1"/>
  <c r="K1219" i="1"/>
  <c r="L1219" i="1"/>
  <c r="Q1218" i="1"/>
  <c r="R1218" i="1"/>
  <c r="S1218" i="1"/>
  <c r="T1218" i="1"/>
  <c r="M1218" i="1"/>
  <c r="P1218" i="1"/>
  <c r="I1218" i="1"/>
  <c r="J1218" i="1"/>
  <c r="K1218" i="1"/>
  <c r="L1218" i="1"/>
  <c r="Q1217" i="1"/>
  <c r="R1217" i="1"/>
  <c r="S1217" i="1"/>
  <c r="T1217" i="1"/>
  <c r="M1217" i="1"/>
  <c r="P1217" i="1"/>
  <c r="I1217" i="1"/>
  <c r="J1217" i="1"/>
  <c r="K1217" i="1"/>
  <c r="L1217" i="1"/>
  <c r="Q1216" i="1"/>
  <c r="R1216" i="1"/>
  <c r="S1216" i="1"/>
  <c r="T1216" i="1"/>
  <c r="M1216" i="1"/>
  <c r="P1216" i="1"/>
  <c r="I1216" i="1"/>
  <c r="J1216" i="1"/>
  <c r="K1216" i="1"/>
  <c r="L1216" i="1"/>
  <c r="Q1215" i="1"/>
  <c r="R1215" i="1"/>
  <c r="S1215" i="1"/>
  <c r="T1215" i="1"/>
  <c r="M1215" i="1"/>
  <c r="P1215" i="1"/>
  <c r="I1215" i="1"/>
  <c r="J1215" i="1"/>
  <c r="K1215" i="1"/>
  <c r="L1215" i="1"/>
  <c r="Q1214" i="1"/>
  <c r="R1214" i="1"/>
  <c r="S1214" i="1"/>
  <c r="T1214" i="1"/>
  <c r="M1214" i="1"/>
  <c r="P1214" i="1"/>
  <c r="I1214" i="1"/>
  <c r="J1214" i="1"/>
  <c r="K1214" i="1"/>
  <c r="L1214" i="1"/>
  <c r="Q1213" i="1"/>
  <c r="R1213" i="1"/>
  <c r="S1213" i="1"/>
  <c r="T1213" i="1"/>
  <c r="M1213" i="1"/>
  <c r="P1213" i="1"/>
  <c r="I1213" i="1"/>
  <c r="J1213" i="1"/>
  <c r="K1213" i="1"/>
  <c r="L1213" i="1"/>
  <c r="Q1212" i="1"/>
  <c r="R1212" i="1"/>
  <c r="S1212" i="1"/>
  <c r="T1212" i="1"/>
  <c r="M1212" i="1"/>
  <c r="P1212" i="1"/>
  <c r="I1212" i="1"/>
  <c r="J1212" i="1"/>
  <c r="K1212" i="1"/>
  <c r="L1212" i="1"/>
  <c r="Q1211" i="1"/>
  <c r="R1211" i="1"/>
  <c r="S1211" i="1"/>
  <c r="T1211" i="1"/>
  <c r="M1211" i="1"/>
  <c r="P1211" i="1"/>
  <c r="I1211" i="1"/>
  <c r="J1211" i="1"/>
  <c r="K1211" i="1"/>
  <c r="L1211" i="1"/>
  <c r="Q1210" i="1"/>
  <c r="R1210" i="1"/>
  <c r="S1210" i="1"/>
  <c r="T1210" i="1"/>
  <c r="M1210" i="1"/>
  <c r="P1210" i="1"/>
  <c r="I1210" i="1"/>
  <c r="J1210" i="1"/>
  <c r="K1210" i="1"/>
  <c r="L1210" i="1"/>
  <c r="Q1209" i="1"/>
  <c r="R1209" i="1"/>
  <c r="S1209" i="1"/>
  <c r="T1209" i="1"/>
  <c r="M1209" i="1"/>
  <c r="P1209" i="1"/>
  <c r="I1209" i="1"/>
  <c r="J1209" i="1"/>
  <c r="K1209" i="1"/>
  <c r="L1209" i="1"/>
  <c r="Q1208" i="1"/>
  <c r="R1208" i="1"/>
  <c r="S1208" i="1"/>
  <c r="T1208" i="1"/>
  <c r="M1208" i="1"/>
  <c r="P1208" i="1"/>
  <c r="I1208" i="1"/>
  <c r="J1208" i="1"/>
  <c r="K1208" i="1"/>
  <c r="L1208" i="1"/>
  <c r="Q1207" i="1"/>
  <c r="R1207" i="1"/>
  <c r="S1207" i="1"/>
  <c r="T1207" i="1"/>
  <c r="M1207" i="1"/>
  <c r="P1207" i="1"/>
  <c r="I1207" i="1"/>
  <c r="J1207" i="1"/>
  <c r="K1207" i="1"/>
  <c r="L1207" i="1"/>
  <c r="Q1206" i="1"/>
  <c r="R1206" i="1"/>
  <c r="S1206" i="1"/>
  <c r="T1206" i="1"/>
  <c r="M1206" i="1"/>
  <c r="P1206" i="1"/>
  <c r="I1206" i="1"/>
  <c r="J1206" i="1"/>
  <c r="K1206" i="1"/>
  <c r="L1206" i="1"/>
  <c r="Q1205" i="1"/>
  <c r="R1205" i="1"/>
  <c r="S1205" i="1"/>
  <c r="T1205" i="1"/>
  <c r="M1205" i="1"/>
  <c r="P1205" i="1"/>
  <c r="I1205" i="1"/>
  <c r="J1205" i="1"/>
  <c r="K1205" i="1"/>
  <c r="L1205" i="1"/>
  <c r="Q1204" i="1"/>
  <c r="R1204" i="1"/>
  <c r="S1204" i="1"/>
  <c r="T1204" i="1"/>
  <c r="M1204" i="1"/>
  <c r="P1204" i="1"/>
  <c r="I1204" i="1"/>
  <c r="J1204" i="1"/>
  <c r="K1204" i="1"/>
  <c r="L1204" i="1"/>
  <c r="Q1203" i="1"/>
  <c r="R1203" i="1"/>
  <c r="S1203" i="1"/>
  <c r="T1203" i="1"/>
  <c r="M1203" i="1"/>
  <c r="P1203" i="1"/>
  <c r="I1203" i="1"/>
  <c r="J1203" i="1"/>
  <c r="K1203" i="1"/>
  <c r="L1203" i="1"/>
  <c r="Q1202" i="1"/>
  <c r="R1202" i="1"/>
  <c r="S1202" i="1"/>
  <c r="T1202" i="1"/>
  <c r="M1202" i="1"/>
  <c r="P1202" i="1"/>
  <c r="I1202" i="1"/>
  <c r="J1202" i="1"/>
  <c r="K1202" i="1"/>
  <c r="L1202" i="1"/>
  <c r="Q1201" i="1"/>
  <c r="R1201" i="1"/>
  <c r="S1201" i="1"/>
  <c r="T1201" i="1"/>
  <c r="M1201" i="1"/>
  <c r="P1201" i="1"/>
  <c r="I1201" i="1"/>
  <c r="J1201" i="1"/>
  <c r="K1201" i="1"/>
  <c r="L1201" i="1"/>
  <c r="Q1200" i="1"/>
  <c r="R1200" i="1"/>
  <c r="S1200" i="1"/>
  <c r="T1200" i="1"/>
  <c r="M1200" i="1"/>
  <c r="P1200" i="1"/>
  <c r="I1200" i="1"/>
  <c r="J1200" i="1"/>
  <c r="K1200" i="1"/>
  <c r="L1200" i="1"/>
  <c r="Q1199" i="1"/>
  <c r="R1199" i="1"/>
  <c r="S1199" i="1"/>
  <c r="T1199" i="1"/>
  <c r="M1199" i="1"/>
  <c r="P1199" i="1"/>
  <c r="I1199" i="1"/>
  <c r="J1199" i="1"/>
  <c r="K1199" i="1"/>
  <c r="L1199" i="1"/>
  <c r="Q1198" i="1"/>
  <c r="R1198" i="1"/>
  <c r="S1198" i="1"/>
  <c r="T1198" i="1"/>
  <c r="M1198" i="1"/>
  <c r="P1198" i="1"/>
  <c r="I1198" i="1"/>
  <c r="J1198" i="1"/>
  <c r="K1198" i="1"/>
  <c r="L1198" i="1"/>
  <c r="Q1197" i="1"/>
  <c r="R1197" i="1"/>
  <c r="S1197" i="1"/>
  <c r="T1197" i="1"/>
  <c r="M1197" i="1"/>
  <c r="P1197" i="1"/>
  <c r="I1197" i="1"/>
  <c r="J1197" i="1"/>
  <c r="K1197" i="1"/>
  <c r="L1197" i="1"/>
  <c r="Q1196" i="1"/>
  <c r="R1196" i="1"/>
  <c r="S1196" i="1"/>
  <c r="T1196" i="1"/>
  <c r="M1196" i="1"/>
  <c r="P1196" i="1"/>
  <c r="I1196" i="1"/>
  <c r="J1196" i="1"/>
  <c r="K1196" i="1"/>
  <c r="L1196" i="1"/>
  <c r="Q1195" i="1"/>
  <c r="R1195" i="1"/>
  <c r="S1195" i="1"/>
  <c r="T1195" i="1"/>
  <c r="M1195" i="1"/>
  <c r="P1195" i="1"/>
  <c r="I1195" i="1"/>
  <c r="J1195" i="1"/>
  <c r="K1195" i="1"/>
  <c r="L1195" i="1"/>
  <c r="Q1194" i="1"/>
  <c r="R1194" i="1"/>
  <c r="S1194" i="1"/>
  <c r="T1194" i="1"/>
  <c r="M1194" i="1"/>
  <c r="P1194" i="1"/>
  <c r="I1194" i="1"/>
  <c r="J1194" i="1"/>
  <c r="K1194" i="1"/>
  <c r="L1194" i="1"/>
  <c r="Q1193" i="1"/>
  <c r="R1193" i="1"/>
  <c r="S1193" i="1"/>
  <c r="T1193" i="1"/>
  <c r="M1193" i="1"/>
  <c r="P1193" i="1"/>
  <c r="I1193" i="1"/>
  <c r="J1193" i="1"/>
  <c r="K1193" i="1"/>
  <c r="L1193" i="1"/>
  <c r="Q1192" i="1"/>
  <c r="R1192" i="1"/>
  <c r="S1192" i="1"/>
  <c r="T1192" i="1"/>
  <c r="M1192" i="1"/>
  <c r="P1192" i="1"/>
  <c r="I1192" i="1"/>
  <c r="J1192" i="1"/>
  <c r="K1192" i="1"/>
  <c r="L1192" i="1"/>
  <c r="Q1191" i="1"/>
  <c r="R1191" i="1"/>
  <c r="S1191" i="1"/>
  <c r="T1191" i="1"/>
  <c r="M1191" i="1"/>
  <c r="P1191" i="1"/>
  <c r="I1191" i="1"/>
  <c r="J1191" i="1"/>
  <c r="K1191" i="1"/>
  <c r="L1191" i="1"/>
  <c r="Q1190" i="1"/>
  <c r="R1190" i="1"/>
  <c r="S1190" i="1"/>
  <c r="T1190" i="1"/>
  <c r="M1190" i="1"/>
  <c r="P1190" i="1"/>
  <c r="I1190" i="1"/>
  <c r="J1190" i="1"/>
  <c r="K1190" i="1"/>
  <c r="L1190" i="1"/>
  <c r="Q1189" i="1"/>
  <c r="R1189" i="1"/>
  <c r="S1189" i="1"/>
  <c r="T1189" i="1"/>
  <c r="M1189" i="1"/>
  <c r="P1189" i="1"/>
  <c r="I1189" i="1"/>
  <c r="J1189" i="1"/>
  <c r="K1189" i="1"/>
  <c r="L1189" i="1"/>
  <c r="Q1188" i="1"/>
  <c r="R1188" i="1"/>
  <c r="S1188" i="1"/>
  <c r="T1188" i="1"/>
  <c r="M1188" i="1"/>
  <c r="P1188" i="1"/>
  <c r="I1188" i="1"/>
  <c r="J1188" i="1"/>
  <c r="K1188" i="1"/>
  <c r="L1188" i="1"/>
  <c r="Q1187" i="1"/>
  <c r="R1187" i="1"/>
  <c r="S1187" i="1"/>
  <c r="T1187" i="1"/>
  <c r="M1187" i="1"/>
  <c r="P1187" i="1"/>
  <c r="I1187" i="1"/>
  <c r="J1187" i="1"/>
  <c r="K1187" i="1"/>
  <c r="L1187" i="1"/>
  <c r="Q1186" i="1"/>
  <c r="R1186" i="1"/>
  <c r="S1186" i="1"/>
  <c r="T1186" i="1"/>
  <c r="M1186" i="1"/>
  <c r="P1186" i="1"/>
  <c r="I1186" i="1"/>
  <c r="J1186" i="1"/>
  <c r="K1186" i="1"/>
  <c r="L1186" i="1"/>
  <c r="Q1185" i="1"/>
  <c r="R1185" i="1"/>
  <c r="S1185" i="1"/>
  <c r="T1185" i="1"/>
  <c r="M1185" i="1"/>
  <c r="P1185" i="1"/>
  <c r="I1185" i="1"/>
  <c r="J1185" i="1"/>
  <c r="K1185" i="1"/>
  <c r="L1185" i="1"/>
  <c r="Q1184" i="1"/>
  <c r="R1184" i="1"/>
  <c r="S1184" i="1"/>
  <c r="T1184" i="1"/>
  <c r="M1184" i="1"/>
  <c r="P1184" i="1"/>
  <c r="I1184" i="1"/>
  <c r="J1184" i="1"/>
  <c r="K1184" i="1"/>
  <c r="L1184" i="1"/>
  <c r="Q1183" i="1"/>
  <c r="R1183" i="1"/>
  <c r="S1183" i="1"/>
  <c r="T1183" i="1"/>
  <c r="M1183" i="1"/>
  <c r="P1183" i="1"/>
  <c r="I1183" i="1"/>
  <c r="J1183" i="1"/>
  <c r="K1183" i="1"/>
  <c r="L1183" i="1"/>
  <c r="Q1182" i="1"/>
  <c r="R1182" i="1"/>
  <c r="S1182" i="1"/>
  <c r="T1182" i="1"/>
  <c r="M1182" i="1"/>
  <c r="P1182" i="1"/>
  <c r="I1182" i="1"/>
  <c r="J1182" i="1"/>
  <c r="K1182" i="1"/>
  <c r="L1182" i="1"/>
  <c r="Q1181" i="1"/>
  <c r="R1181" i="1"/>
  <c r="S1181" i="1"/>
  <c r="T1181" i="1"/>
  <c r="M1181" i="1"/>
  <c r="P1181" i="1"/>
  <c r="I1181" i="1"/>
  <c r="J1181" i="1"/>
  <c r="K1181" i="1"/>
  <c r="L1181" i="1"/>
  <c r="Q1180" i="1"/>
  <c r="R1180" i="1"/>
  <c r="S1180" i="1"/>
  <c r="T1180" i="1"/>
  <c r="M1180" i="1"/>
  <c r="P1180" i="1"/>
  <c r="I1180" i="1"/>
  <c r="J1180" i="1"/>
  <c r="K1180" i="1"/>
  <c r="L1180" i="1"/>
  <c r="Q1179" i="1"/>
  <c r="R1179" i="1"/>
  <c r="S1179" i="1"/>
  <c r="T1179" i="1"/>
  <c r="M1179" i="1"/>
  <c r="P1179" i="1"/>
  <c r="I1179" i="1"/>
  <c r="J1179" i="1"/>
  <c r="K1179" i="1"/>
  <c r="L1179" i="1"/>
  <c r="Q1178" i="1"/>
  <c r="R1178" i="1"/>
  <c r="S1178" i="1"/>
  <c r="T1178" i="1"/>
  <c r="M1178" i="1"/>
  <c r="P1178" i="1"/>
  <c r="I1178" i="1"/>
  <c r="J1178" i="1"/>
  <c r="K1178" i="1"/>
  <c r="L1178" i="1"/>
  <c r="Q1177" i="1"/>
  <c r="R1177" i="1"/>
  <c r="S1177" i="1"/>
  <c r="T1177" i="1"/>
  <c r="M1177" i="1"/>
  <c r="P1177" i="1"/>
  <c r="I1177" i="1"/>
  <c r="J1177" i="1"/>
  <c r="K1177" i="1"/>
  <c r="L1177" i="1"/>
  <c r="Q1176" i="1"/>
  <c r="R1176" i="1"/>
  <c r="S1176" i="1"/>
  <c r="T1176" i="1"/>
  <c r="M1176" i="1"/>
  <c r="P1176" i="1"/>
  <c r="I1176" i="1"/>
  <c r="J1176" i="1"/>
  <c r="K1176" i="1"/>
  <c r="L1176" i="1"/>
  <c r="Q1175" i="1"/>
  <c r="R1175" i="1"/>
  <c r="S1175" i="1"/>
  <c r="T1175" i="1"/>
  <c r="M1175" i="1"/>
  <c r="P1175" i="1"/>
  <c r="I1175" i="1"/>
  <c r="J1175" i="1"/>
  <c r="K1175" i="1"/>
  <c r="L1175" i="1"/>
  <c r="Q1174" i="1"/>
  <c r="R1174" i="1"/>
  <c r="S1174" i="1"/>
  <c r="T1174" i="1"/>
  <c r="M1174" i="1"/>
  <c r="P1174" i="1"/>
  <c r="I1174" i="1"/>
  <c r="J1174" i="1"/>
  <c r="K1174" i="1"/>
  <c r="L1174" i="1"/>
  <c r="Q1173" i="1"/>
  <c r="R1173" i="1"/>
  <c r="S1173" i="1"/>
  <c r="T1173" i="1"/>
  <c r="M1173" i="1"/>
  <c r="P1173" i="1"/>
  <c r="I1173" i="1"/>
  <c r="J1173" i="1"/>
  <c r="K1173" i="1"/>
  <c r="L1173" i="1"/>
  <c r="Q1172" i="1"/>
  <c r="R1172" i="1"/>
  <c r="S1172" i="1"/>
  <c r="T1172" i="1"/>
  <c r="M1172" i="1"/>
  <c r="P1172" i="1"/>
  <c r="I1172" i="1"/>
  <c r="J1172" i="1"/>
  <c r="K1172" i="1"/>
  <c r="L1172" i="1"/>
  <c r="Q1171" i="1"/>
  <c r="R1171" i="1"/>
  <c r="S1171" i="1"/>
  <c r="T1171" i="1"/>
  <c r="M1171" i="1"/>
  <c r="P1171" i="1"/>
  <c r="I1171" i="1"/>
  <c r="J1171" i="1"/>
  <c r="K1171" i="1"/>
  <c r="L1171" i="1"/>
  <c r="Q1170" i="1"/>
  <c r="R1170" i="1"/>
  <c r="S1170" i="1"/>
  <c r="T1170" i="1"/>
  <c r="M1170" i="1"/>
  <c r="P1170" i="1"/>
  <c r="I1170" i="1"/>
  <c r="J1170" i="1"/>
  <c r="K1170" i="1"/>
  <c r="L1170" i="1"/>
  <c r="Q1169" i="1"/>
  <c r="R1169" i="1"/>
  <c r="S1169" i="1"/>
  <c r="T1169" i="1"/>
  <c r="M1169" i="1"/>
  <c r="P1169" i="1"/>
  <c r="I1169" i="1"/>
  <c r="J1169" i="1"/>
  <c r="K1169" i="1"/>
  <c r="L1169" i="1"/>
  <c r="Q1168" i="1"/>
  <c r="R1168" i="1"/>
  <c r="S1168" i="1"/>
  <c r="T1168" i="1"/>
  <c r="M1168" i="1"/>
  <c r="P1168" i="1"/>
  <c r="I1168" i="1"/>
  <c r="J1168" i="1"/>
  <c r="K1168" i="1"/>
  <c r="L1168" i="1"/>
  <c r="Q1167" i="1"/>
  <c r="R1167" i="1"/>
  <c r="S1167" i="1"/>
  <c r="T1167" i="1"/>
  <c r="M1167" i="1"/>
  <c r="P1167" i="1"/>
  <c r="I1167" i="1"/>
  <c r="J1167" i="1"/>
  <c r="K1167" i="1"/>
  <c r="L1167" i="1"/>
  <c r="Q1166" i="1"/>
  <c r="R1166" i="1"/>
  <c r="S1166" i="1"/>
  <c r="T1166" i="1"/>
  <c r="M1166" i="1"/>
  <c r="P1166" i="1"/>
  <c r="I1166" i="1"/>
  <c r="J1166" i="1"/>
  <c r="K1166" i="1"/>
  <c r="L1166" i="1"/>
  <c r="Q1165" i="1"/>
  <c r="R1165" i="1"/>
  <c r="S1165" i="1"/>
  <c r="T1165" i="1"/>
  <c r="M1165" i="1"/>
  <c r="P1165" i="1"/>
  <c r="I1165" i="1"/>
  <c r="J1165" i="1"/>
  <c r="K1165" i="1"/>
  <c r="L1165" i="1"/>
  <c r="Q1164" i="1"/>
  <c r="R1164" i="1"/>
  <c r="S1164" i="1"/>
  <c r="T1164" i="1"/>
  <c r="M1164" i="1"/>
  <c r="P1164" i="1"/>
  <c r="I1164" i="1"/>
  <c r="J1164" i="1"/>
  <c r="K1164" i="1"/>
  <c r="L1164" i="1"/>
  <c r="Q1163" i="1"/>
  <c r="R1163" i="1"/>
  <c r="S1163" i="1"/>
  <c r="T1163" i="1"/>
  <c r="M1163" i="1"/>
  <c r="P1163" i="1"/>
  <c r="I1163" i="1"/>
  <c r="J1163" i="1"/>
  <c r="K1163" i="1"/>
  <c r="L1163" i="1"/>
  <c r="Q1162" i="1"/>
  <c r="R1162" i="1"/>
  <c r="S1162" i="1"/>
  <c r="T1162" i="1"/>
  <c r="M1162" i="1"/>
  <c r="P1162" i="1"/>
  <c r="I1162" i="1"/>
  <c r="J1162" i="1"/>
  <c r="K1162" i="1"/>
  <c r="L1162" i="1"/>
  <c r="Q1161" i="1"/>
  <c r="R1161" i="1"/>
  <c r="S1161" i="1"/>
  <c r="T1161" i="1"/>
  <c r="M1161" i="1"/>
  <c r="P1161" i="1"/>
  <c r="I1161" i="1"/>
  <c r="J1161" i="1"/>
  <c r="K1161" i="1"/>
  <c r="L1161" i="1"/>
  <c r="Q1160" i="1"/>
  <c r="R1160" i="1"/>
  <c r="S1160" i="1"/>
  <c r="T1160" i="1"/>
  <c r="M1160" i="1"/>
  <c r="P1160" i="1"/>
  <c r="I1160" i="1"/>
  <c r="J1160" i="1"/>
  <c r="K1160" i="1"/>
  <c r="L1160" i="1"/>
  <c r="Q1159" i="1"/>
  <c r="R1159" i="1"/>
  <c r="S1159" i="1"/>
  <c r="T1159" i="1"/>
  <c r="M1159" i="1"/>
  <c r="P1159" i="1"/>
  <c r="I1159" i="1"/>
  <c r="J1159" i="1"/>
  <c r="K1159" i="1"/>
  <c r="L1159" i="1"/>
  <c r="Q1158" i="1"/>
  <c r="R1158" i="1"/>
  <c r="S1158" i="1"/>
  <c r="T1158" i="1"/>
  <c r="M1158" i="1"/>
  <c r="P1158" i="1"/>
  <c r="I1158" i="1"/>
  <c r="J1158" i="1"/>
  <c r="K1158" i="1"/>
  <c r="L1158" i="1"/>
  <c r="Q1157" i="1"/>
  <c r="R1157" i="1"/>
  <c r="S1157" i="1"/>
  <c r="T1157" i="1"/>
  <c r="M1157" i="1"/>
  <c r="P1157" i="1"/>
  <c r="I1157" i="1"/>
  <c r="J1157" i="1"/>
  <c r="K1157" i="1"/>
  <c r="L1157" i="1"/>
  <c r="Q1156" i="1"/>
  <c r="R1156" i="1"/>
  <c r="S1156" i="1"/>
  <c r="T1156" i="1"/>
  <c r="M1156" i="1"/>
  <c r="P1156" i="1"/>
  <c r="I1156" i="1"/>
  <c r="J1156" i="1"/>
  <c r="K1156" i="1"/>
  <c r="L1156" i="1"/>
  <c r="Q1155" i="1"/>
  <c r="R1155" i="1"/>
  <c r="S1155" i="1"/>
  <c r="T1155" i="1"/>
  <c r="M1155" i="1"/>
  <c r="P1155" i="1"/>
  <c r="I1155" i="1"/>
  <c r="J1155" i="1"/>
  <c r="K1155" i="1"/>
  <c r="L1155" i="1"/>
  <c r="Q1154" i="1"/>
  <c r="R1154" i="1"/>
  <c r="S1154" i="1"/>
  <c r="T1154" i="1"/>
  <c r="M1154" i="1"/>
  <c r="P1154" i="1"/>
  <c r="I1154" i="1"/>
  <c r="J1154" i="1"/>
  <c r="K1154" i="1"/>
  <c r="L1154" i="1"/>
  <c r="Q1153" i="1"/>
  <c r="R1153" i="1"/>
  <c r="S1153" i="1"/>
  <c r="T1153" i="1"/>
  <c r="M1153" i="1"/>
  <c r="P1153" i="1"/>
  <c r="I1153" i="1"/>
  <c r="J1153" i="1"/>
  <c r="K1153" i="1"/>
  <c r="L1153" i="1"/>
  <c r="Q1152" i="1"/>
  <c r="R1152" i="1"/>
  <c r="S1152" i="1"/>
  <c r="T1152" i="1"/>
  <c r="M1152" i="1"/>
  <c r="P1152" i="1"/>
  <c r="I1152" i="1"/>
  <c r="J1152" i="1"/>
  <c r="K1152" i="1"/>
  <c r="L1152" i="1"/>
  <c r="Q1151" i="1"/>
  <c r="R1151" i="1"/>
  <c r="S1151" i="1"/>
  <c r="T1151" i="1"/>
  <c r="M1151" i="1"/>
  <c r="P1151" i="1"/>
  <c r="I1151" i="1"/>
  <c r="J1151" i="1"/>
  <c r="K1151" i="1"/>
  <c r="L1151" i="1"/>
  <c r="Q1150" i="1"/>
  <c r="R1150" i="1"/>
  <c r="S1150" i="1"/>
  <c r="T1150" i="1"/>
  <c r="M1150" i="1"/>
  <c r="P1150" i="1"/>
  <c r="I1150" i="1"/>
  <c r="J1150" i="1"/>
  <c r="K1150" i="1"/>
  <c r="L1150" i="1"/>
  <c r="Q1149" i="1"/>
  <c r="R1149" i="1"/>
  <c r="S1149" i="1"/>
  <c r="T1149" i="1"/>
  <c r="M1149" i="1"/>
  <c r="P1149" i="1"/>
  <c r="I1149" i="1"/>
  <c r="J1149" i="1"/>
  <c r="K1149" i="1"/>
  <c r="L1149" i="1"/>
  <c r="Q1148" i="1"/>
  <c r="R1148" i="1"/>
  <c r="S1148" i="1"/>
  <c r="T1148" i="1"/>
  <c r="M1148" i="1"/>
  <c r="P1148" i="1"/>
  <c r="I1148" i="1"/>
  <c r="J1148" i="1"/>
  <c r="K1148" i="1"/>
  <c r="L1148" i="1"/>
  <c r="Q1147" i="1"/>
  <c r="R1147" i="1"/>
  <c r="S1147" i="1"/>
  <c r="T1147" i="1"/>
  <c r="M1147" i="1"/>
  <c r="P1147" i="1"/>
  <c r="I1147" i="1"/>
  <c r="J1147" i="1"/>
  <c r="K1147" i="1"/>
  <c r="L1147" i="1"/>
  <c r="Q1146" i="1"/>
  <c r="R1146" i="1"/>
  <c r="S1146" i="1"/>
  <c r="T1146" i="1"/>
  <c r="M1146" i="1"/>
  <c r="P1146" i="1"/>
  <c r="I1146" i="1"/>
  <c r="J1146" i="1"/>
  <c r="K1146" i="1"/>
  <c r="L1146" i="1"/>
  <c r="Q1145" i="1"/>
  <c r="R1145" i="1"/>
  <c r="S1145" i="1"/>
  <c r="T1145" i="1"/>
  <c r="M1145" i="1"/>
  <c r="P1145" i="1"/>
  <c r="I1145" i="1"/>
  <c r="J1145" i="1"/>
  <c r="K1145" i="1"/>
  <c r="L1145" i="1"/>
  <c r="Q1144" i="1"/>
  <c r="R1144" i="1"/>
  <c r="S1144" i="1"/>
  <c r="T1144" i="1"/>
  <c r="M1144" i="1"/>
  <c r="P1144" i="1"/>
  <c r="I1144" i="1"/>
  <c r="J1144" i="1"/>
  <c r="K1144" i="1"/>
  <c r="L1144" i="1"/>
  <c r="Q1143" i="1"/>
  <c r="R1143" i="1"/>
  <c r="S1143" i="1"/>
  <c r="T1143" i="1"/>
  <c r="M1143" i="1"/>
  <c r="P1143" i="1"/>
  <c r="I1143" i="1"/>
  <c r="J1143" i="1"/>
  <c r="K1143" i="1"/>
  <c r="L1143" i="1"/>
  <c r="Q1142" i="1"/>
  <c r="R1142" i="1"/>
  <c r="S1142" i="1"/>
  <c r="T1142" i="1"/>
  <c r="M1142" i="1"/>
  <c r="P1142" i="1"/>
  <c r="I1142" i="1"/>
  <c r="J1142" i="1"/>
  <c r="K1142" i="1"/>
  <c r="L1142" i="1"/>
  <c r="Q1141" i="1"/>
  <c r="R1141" i="1"/>
  <c r="S1141" i="1"/>
  <c r="T1141" i="1"/>
  <c r="M1141" i="1"/>
  <c r="P1141" i="1"/>
  <c r="I1141" i="1"/>
  <c r="J1141" i="1"/>
  <c r="K1141" i="1"/>
  <c r="L1141" i="1"/>
  <c r="Q1140" i="1"/>
  <c r="R1140" i="1"/>
  <c r="S1140" i="1"/>
  <c r="T1140" i="1"/>
  <c r="M1140" i="1"/>
  <c r="P1140" i="1"/>
  <c r="I1140" i="1"/>
  <c r="J1140" i="1"/>
  <c r="K1140" i="1"/>
  <c r="L1140" i="1"/>
  <c r="Q1139" i="1"/>
  <c r="R1139" i="1"/>
  <c r="S1139" i="1"/>
  <c r="T1139" i="1"/>
  <c r="M1139" i="1"/>
  <c r="P1139" i="1"/>
  <c r="I1139" i="1"/>
  <c r="J1139" i="1"/>
  <c r="K1139" i="1"/>
  <c r="L1139" i="1"/>
  <c r="Q1138" i="1"/>
  <c r="R1138" i="1"/>
  <c r="S1138" i="1"/>
  <c r="T1138" i="1"/>
  <c r="M1138" i="1"/>
  <c r="P1138" i="1"/>
  <c r="I1138" i="1"/>
  <c r="J1138" i="1"/>
  <c r="K1138" i="1"/>
  <c r="L1138" i="1"/>
  <c r="Q1137" i="1"/>
  <c r="R1137" i="1"/>
  <c r="S1137" i="1"/>
  <c r="T1137" i="1"/>
  <c r="M1137" i="1"/>
  <c r="P1137" i="1"/>
  <c r="I1137" i="1"/>
  <c r="J1137" i="1"/>
  <c r="K1137" i="1"/>
  <c r="L1137" i="1"/>
  <c r="Q1136" i="1"/>
  <c r="R1136" i="1"/>
  <c r="S1136" i="1"/>
  <c r="T1136" i="1"/>
  <c r="M1136" i="1"/>
  <c r="P1136" i="1"/>
  <c r="I1136" i="1"/>
  <c r="J1136" i="1"/>
  <c r="K1136" i="1"/>
  <c r="L1136" i="1"/>
  <c r="Q1135" i="1"/>
  <c r="R1135" i="1"/>
  <c r="S1135" i="1"/>
  <c r="T1135" i="1"/>
  <c r="M1135" i="1"/>
  <c r="P1135" i="1"/>
  <c r="I1135" i="1"/>
  <c r="J1135" i="1"/>
  <c r="K1135" i="1"/>
  <c r="L1135" i="1"/>
  <c r="Q1134" i="1"/>
  <c r="R1134" i="1"/>
  <c r="S1134" i="1"/>
  <c r="T1134" i="1"/>
  <c r="M1134" i="1"/>
  <c r="P1134" i="1"/>
  <c r="I1134" i="1"/>
  <c r="J1134" i="1"/>
  <c r="K1134" i="1"/>
  <c r="L1134" i="1"/>
  <c r="Q1133" i="1"/>
  <c r="R1133" i="1"/>
  <c r="S1133" i="1"/>
  <c r="T1133" i="1"/>
  <c r="M1133" i="1"/>
  <c r="P1133" i="1"/>
  <c r="I1133" i="1"/>
  <c r="J1133" i="1"/>
  <c r="K1133" i="1"/>
  <c r="L1133" i="1"/>
  <c r="Q1132" i="1"/>
  <c r="R1132" i="1"/>
  <c r="S1132" i="1"/>
  <c r="T1132" i="1"/>
  <c r="M1132" i="1"/>
  <c r="P1132" i="1"/>
  <c r="I1132" i="1"/>
  <c r="J1132" i="1"/>
  <c r="K1132" i="1"/>
  <c r="L1132" i="1"/>
  <c r="Q1131" i="1"/>
  <c r="R1131" i="1"/>
  <c r="S1131" i="1"/>
  <c r="T1131" i="1"/>
  <c r="M1131" i="1"/>
  <c r="P1131" i="1"/>
  <c r="I1131" i="1"/>
  <c r="J1131" i="1"/>
  <c r="K1131" i="1"/>
  <c r="L1131" i="1"/>
  <c r="Q1130" i="1"/>
  <c r="R1130" i="1"/>
  <c r="S1130" i="1"/>
  <c r="T1130" i="1"/>
  <c r="M1130" i="1"/>
  <c r="P1130" i="1"/>
  <c r="I1130" i="1"/>
  <c r="J1130" i="1"/>
  <c r="K1130" i="1"/>
  <c r="L1130" i="1"/>
  <c r="Q1129" i="1"/>
  <c r="R1129" i="1"/>
  <c r="S1129" i="1"/>
  <c r="T1129" i="1"/>
  <c r="M1129" i="1"/>
  <c r="P1129" i="1"/>
  <c r="I1129" i="1"/>
  <c r="J1129" i="1"/>
  <c r="K1129" i="1"/>
  <c r="L1129" i="1"/>
  <c r="Q1128" i="1"/>
  <c r="R1128" i="1"/>
  <c r="S1128" i="1"/>
  <c r="T1128" i="1"/>
  <c r="M1128" i="1"/>
  <c r="P1128" i="1"/>
  <c r="I1128" i="1"/>
  <c r="J1128" i="1"/>
  <c r="K1128" i="1"/>
  <c r="L1128" i="1"/>
  <c r="Q1127" i="1"/>
  <c r="R1127" i="1"/>
  <c r="S1127" i="1"/>
  <c r="T1127" i="1"/>
  <c r="M1127" i="1"/>
  <c r="P1127" i="1"/>
  <c r="I1127" i="1"/>
  <c r="J1127" i="1"/>
  <c r="K1127" i="1"/>
  <c r="L1127" i="1"/>
  <c r="Q1126" i="1"/>
  <c r="R1126" i="1"/>
  <c r="S1126" i="1"/>
  <c r="T1126" i="1"/>
  <c r="M1126" i="1"/>
  <c r="P1126" i="1"/>
  <c r="I1126" i="1"/>
  <c r="J1126" i="1"/>
  <c r="K1126" i="1"/>
  <c r="L1126" i="1"/>
  <c r="Q1125" i="1"/>
  <c r="R1125" i="1"/>
  <c r="S1125" i="1"/>
  <c r="T1125" i="1"/>
  <c r="M1125" i="1"/>
  <c r="P1125" i="1"/>
  <c r="I1125" i="1"/>
  <c r="J1125" i="1"/>
  <c r="K1125" i="1"/>
  <c r="L1125" i="1"/>
  <c r="Q1124" i="1"/>
  <c r="R1124" i="1"/>
  <c r="S1124" i="1"/>
  <c r="T1124" i="1"/>
  <c r="M1124" i="1"/>
  <c r="P1124" i="1"/>
  <c r="I1124" i="1"/>
  <c r="J1124" i="1"/>
  <c r="K1124" i="1"/>
  <c r="L1124" i="1"/>
  <c r="Q1123" i="1"/>
  <c r="R1123" i="1"/>
  <c r="S1123" i="1"/>
  <c r="T1123" i="1"/>
  <c r="M1123" i="1"/>
  <c r="P1123" i="1"/>
  <c r="I1123" i="1"/>
  <c r="J1123" i="1"/>
  <c r="K1123" i="1"/>
  <c r="L1123" i="1"/>
  <c r="Q1122" i="1"/>
  <c r="R1122" i="1"/>
  <c r="S1122" i="1"/>
  <c r="T1122" i="1"/>
  <c r="M1122" i="1"/>
  <c r="P1122" i="1"/>
  <c r="I1122" i="1"/>
  <c r="J1122" i="1"/>
  <c r="K1122" i="1"/>
  <c r="L1122" i="1"/>
  <c r="Q1121" i="1"/>
  <c r="R1121" i="1"/>
  <c r="S1121" i="1"/>
  <c r="T1121" i="1"/>
  <c r="M1121" i="1"/>
  <c r="P1121" i="1"/>
  <c r="I1121" i="1"/>
  <c r="J1121" i="1"/>
  <c r="K1121" i="1"/>
  <c r="L1121" i="1"/>
  <c r="Q1120" i="1"/>
  <c r="R1120" i="1"/>
  <c r="S1120" i="1"/>
  <c r="T1120" i="1"/>
  <c r="M1120" i="1"/>
  <c r="P1120" i="1"/>
  <c r="I1120" i="1"/>
  <c r="J1120" i="1"/>
  <c r="K1120" i="1"/>
  <c r="L1120" i="1"/>
  <c r="Q1119" i="1"/>
  <c r="R1119" i="1"/>
  <c r="S1119" i="1"/>
  <c r="T1119" i="1"/>
  <c r="M1119" i="1"/>
  <c r="P1119" i="1"/>
  <c r="I1119" i="1"/>
  <c r="J1119" i="1"/>
  <c r="K1119" i="1"/>
  <c r="L1119" i="1"/>
  <c r="Q1118" i="1"/>
  <c r="R1118" i="1"/>
  <c r="S1118" i="1"/>
  <c r="T1118" i="1"/>
  <c r="M1118" i="1"/>
  <c r="P1118" i="1"/>
  <c r="I1118" i="1"/>
  <c r="J1118" i="1"/>
  <c r="K1118" i="1"/>
  <c r="L1118" i="1"/>
  <c r="Q1117" i="1"/>
  <c r="R1117" i="1"/>
  <c r="S1117" i="1"/>
  <c r="T1117" i="1"/>
  <c r="M1117" i="1"/>
  <c r="P1117" i="1"/>
  <c r="I1117" i="1"/>
  <c r="J1117" i="1"/>
  <c r="K1117" i="1"/>
  <c r="L1117" i="1"/>
  <c r="Q1116" i="1"/>
  <c r="R1116" i="1"/>
  <c r="S1116" i="1"/>
  <c r="T1116" i="1"/>
  <c r="M1116" i="1"/>
  <c r="P1116" i="1"/>
  <c r="I1116" i="1"/>
  <c r="J1116" i="1"/>
  <c r="K1116" i="1"/>
  <c r="L1116" i="1"/>
  <c r="Q1115" i="1"/>
  <c r="R1115" i="1"/>
  <c r="S1115" i="1"/>
  <c r="T1115" i="1"/>
  <c r="M1115" i="1"/>
  <c r="P1115" i="1"/>
  <c r="I1115" i="1"/>
  <c r="J1115" i="1"/>
  <c r="K1115" i="1"/>
  <c r="L1115" i="1"/>
  <c r="Q1114" i="1"/>
  <c r="R1114" i="1"/>
  <c r="S1114" i="1"/>
  <c r="T1114" i="1"/>
  <c r="M1114" i="1"/>
  <c r="P1114" i="1"/>
  <c r="I1114" i="1"/>
  <c r="J1114" i="1"/>
  <c r="K1114" i="1"/>
  <c r="L1114" i="1"/>
  <c r="Q1113" i="1"/>
  <c r="R1113" i="1"/>
  <c r="S1113" i="1"/>
  <c r="T1113" i="1"/>
  <c r="M1113" i="1"/>
  <c r="P1113" i="1"/>
  <c r="I1113" i="1"/>
  <c r="J1113" i="1"/>
  <c r="K1113" i="1"/>
  <c r="L1113" i="1"/>
  <c r="Q1112" i="1"/>
  <c r="R1112" i="1"/>
  <c r="S1112" i="1"/>
  <c r="T1112" i="1"/>
  <c r="M1112" i="1"/>
  <c r="P1112" i="1"/>
  <c r="I1112" i="1"/>
  <c r="J1112" i="1"/>
  <c r="K1112" i="1"/>
  <c r="L1112" i="1"/>
  <c r="Q1111" i="1"/>
  <c r="R1111" i="1"/>
  <c r="S1111" i="1"/>
  <c r="T1111" i="1"/>
  <c r="M1111" i="1"/>
  <c r="P1111" i="1"/>
  <c r="I1111" i="1"/>
  <c r="J1111" i="1"/>
  <c r="K1111" i="1"/>
  <c r="L1111" i="1"/>
  <c r="Q1110" i="1"/>
  <c r="R1110" i="1"/>
  <c r="S1110" i="1"/>
  <c r="T1110" i="1"/>
  <c r="M1110" i="1"/>
  <c r="P1110" i="1"/>
  <c r="I1110" i="1"/>
  <c r="J1110" i="1"/>
  <c r="K1110" i="1"/>
  <c r="L1110" i="1"/>
  <c r="Q1109" i="1"/>
  <c r="R1109" i="1"/>
  <c r="S1109" i="1"/>
  <c r="T1109" i="1"/>
  <c r="M1109" i="1"/>
  <c r="P1109" i="1"/>
  <c r="I1109" i="1"/>
  <c r="J1109" i="1"/>
  <c r="K1109" i="1"/>
  <c r="L1109" i="1"/>
  <c r="Q1108" i="1"/>
  <c r="R1108" i="1"/>
  <c r="S1108" i="1"/>
  <c r="T1108" i="1"/>
  <c r="M1108" i="1"/>
  <c r="P1108" i="1"/>
  <c r="I1108" i="1"/>
  <c r="J1108" i="1"/>
  <c r="K1108" i="1"/>
  <c r="L1108" i="1"/>
  <c r="Q1107" i="1"/>
  <c r="R1107" i="1"/>
  <c r="S1107" i="1"/>
  <c r="T1107" i="1"/>
  <c r="M1107" i="1"/>
  <c r="P1107" i="1"/>
  <c r="I1107" i="1"/>
  <c r="J1107" i="1"/>
  <c r="K1107" i="1"/>
  <c r="L1107" i="1"/>
  <c r="Q1106" i="1"/>
  <c r="R1106" i="1"/>
  <c r="S1106" i="1"/>
  <c r="T1106" i="1"/>
  <c r="M1106" i="1"/>
  <c r="P1106" i="1"/>
  <c r="I1106" i="1"/>
  <c r="J1106" i="1"/>
  <c r="K1106" i="1"/>
  <c r="L1106" i="1"/>
  <c r="Q1105" i="1"/>
  <c r="R1105" i="1"/>
  <c r="S1105" i="1"/>
  <c r="T1105" i="1"/>
  <c r="M1105" i="1"/>
  <c r="P1105" i="1"/>
  <c r="I1105" i="1"/>
  <c r="J1105" i="1"/>
  <c r="K1105" i="1"/>
  <c r="L1105" i="1"/>
  <c r="Q1104" i="1"/>
  <c r="R1104" i="1"/>
  <c r="S1104" i="1"/>
  <c r="T1104" i="1"/>
  <c r="M1104" i="1"/>
  <c r="P1104" i="1"/>
  <c r="I1104" i="1"/>
  <c r="J1104" i="1"/>
  <c r="K1104" i="1"/>
  <c r="L1104" i="1"/>
  <c r="Q1103" i="1"/>
  <c r="R1103" i="1"/>
  <c r="S1103" i="1"/>
  <c r="T1103" i="1"/>
  <c r="M1103" i="1"/>
  <c r="P1103" i="1"/>
  <c r="I1103" i="1"/>
  <c r="J1103" i="1"/>
  <c r="K1103" i="1"/>
  <c r="L1103" i="1"/>
  <c r="Q1102" i="1"/>
  <c r="R1102" i="1"/>
  <c r="S1102" i="1"/>
  <c r="T1102" i="1"/>
  <c r="M1102" i="1"/>
  <c r="P1102" i="1"/>
  <c r="I1102" i="1"/>
  <c r="J1102" i="1"/>
  <c r="K1102" i="1"/>
  <c r="L1102" i="1"/>
  <c r="Q1101" i="1"/>
  <c r="R1101" i="1"/>
  <c r="S1101" i="1"/>
  <c r="T1101" i="1"/>
  <c r="M1101" i="1"/>
  <c r="P1101" i="1"/>
  <c r="I1101" i="1"/>
  <c r="J1101" i="1"/>
  <c r="K1101" i="1"/>
  <c r="L1101" i="1"/>
  <c r="Q1100" i="1"/>
  <c r="R1100" i="1"/>
  <c r="S1100" i="1"/>
  <c r="T1100" i="1"/>
  <c r="M1100" i="1"/>
  <c r="P1100" i="1"/>
  <c r="I1100" i="1"/>
  <c r="J1100" i="1"/>
  <c r="K1100" i="1"/>
  <c r="L1100" i="1"/>
  <c r="Q1099" i="1"/>
  <c r="R1099" i="1"/>
  <c r="S1099" i="1"/>
  <c r="T1099" i="1"/>
  <c r="M1099" i="1"/>
  <c r="P1099" i="1"/>
  <c r="I1099" i="1"/>
  <c r="J1099" i="1"/>
  <c r="K1099" i="1"/>
  <c r="L1099" i="1"/>
  <c r="Q1098" i="1"/>
  <c r="R1098" i="1"/>
  <c r="S1098" i="1"/>
  <c r="T1098" i="1"/>
  <c r="M1098" i="1"/>
  <c r="P1098" i="1"/>
  <c r="I1098" i="1"/>
  <c r="J1098" i="1"/>
  <c r="K1098" i="1"/>
  <c r="L1098" i="1"/>
  <c r="Q1097" i="1"/>
  <c r="R1097" i="1"/>
  <c r="S1097" i="1"/>
  <c r="T1097" i="1"/>
  <c r="M1097" i="1"/>
  <c r="P1097" i="1"/>
  <c r="I1097" i="1"/>
  <c r="J1097" i="1"/>
  <c r="K1097" i="1"/>
  <c r="L1097" i="1"/>
  <c r="Q1096" i="1"/>
  <c r="R1096" i="1"/>
  <c r="S1096" i="1"/>
  <c r="T1096" i="1"/>
  <c r="M1096" i="1"/>
  <c r="P1096" i="1"/>
  <c r="I1096" i="1"/>
  <c r="J1096" i="1"/>
  <c r="K1096" i="1"/>
  <c r="L1096" i="1"/>
  <c r="Q1095" i="1"/>
  <c r="R1095" i="1"/>
  <c r="S1095" i="1"/>
  <c r="T1095" i="1"/>
  <c r="M1095" i="1"/>
  <c r="P1095" i="1"/>
  <c r="I1095" i="1"/>
  <c r="J1095" i="1"/>
  <c r="K1095" i="1"/>
  <c r="L1095" i="1"/>
  <c r="Q1094" i="1"/>
  <c r="R1094" i="1"/>
  <c r="S1094" i="1"/>
  <c r="T1094" i="1"/>
  <c r="M1094" i="1"/>
  <c r="P1094" i="1"/>
  <c r="I1094" i="1"/>
  <c r="J1094" i="1"/>
  <c r="K1094" i="1"/>
  <c r="L1094" i="1"/>
  <c r="Q1093" i="1"/>
  <c r="R1093" i="1"/>
  <c r="S1093" i="1"/>
  <c r="T1093" i="1"/>
  <c r="M1093" i="1"/>
  <c r="P1093" i="1"/>
  <c r="I1093" i="1"/>
  <c r="J1093" i="1"/>
  <c r="K1093" i="1"/>
  <c r="L1093" i="1"/>
  <c r="Q1092" i="1"/>
  <c r="R1092" i="1"/>
  <c r="S1092" i="1"/>
  <c r="T1092" i="1"/>
  <c r="M1092" i="1"/>
  <c r="P1092" i="1"/>
  <c r="I1092" i="1"/>
  <c r="J1092" i="1"/>
  <c r="K1092" i="1"/>
  <c r="L1092" i="1"/>
  <c r="Q1091" i="1"/>
  <c r="R1091" i="1"/>
  <c r="S1091" i="1"/>
  <c r="T1091" i="1"/>
  <c r="M1091" i="1"/>
  <c r="P1091" i="1"/>
  <c r="I1091" i="1"/>
  <c r="J1091" i="1"/>
  <c r="K1091" i="1"/>
  <c r="L1091" i="1"/>
  <c r="Q1090" i="1"/>
  <c r="R1090" i="1"/>
  <c r="S1090" i="1"/>
  <c r="T1090" i="1"/>
  <c r="M1090" i="1"/>
  <c r="P1090" i="1"/>
  <c r="I1090" i="1"/>
  <c r="J1090" i="1"/>
  <c r="K1090" i="1"/>
  <c r="L1090" i="1"/>
  <c r="Q1089" i="1"/>
  <c r="R1089" i="1"/>
  <c r="S1089" i="1"/>
  <c r="T1089" i="1"/>
  <c r="M1089" i="1"/>
  <c r="P1089" i="1"/>
  <c r="I1089" i="1"/>
  <c r="J1089" i="1"/>
  <c r="K1089" i="1"/>
  <c r="L1089" i="1"/>
  <c r="Q1088" i="1"/>
  <c r="R1088" i="1"/>
  <c r="S1088" i="1"/>
  <c r="T1088" i="1"/>
  <c r="M1088" i="1"/>
  <c r="P1088" i="1"/>
  <c r="I1088" i="1"/>
  <c r="J1088" i="1"/>
  <c r="K1088" i="1"/>
  <c r="L1088" i="1"/>
  <c r="Q1087" i="1"/>
  <c r="R1087" i="1"/>
  <c r="S1087" i="1"/>
  <c r="T1087" i="1"/>
  <c r="M1087" i="1"/>
  <c r="P1087" i="1"/>
  <c r="I1087" i="1"/>
  <c r="J1087" i="1"/>
  <c r="K1087" i="1"/>
  <c r="L1087" i="1"/>
  <c r="Q1086" i="1"/>
  <c r="R1086" i="1"/>
  <c r="S1086" i="1"/>
  <c r="T1086" i="1"/>
  <c r="M1086" i="1"/>
  <c r="P1086" i="1"/>
  <c r="I1086" i="1"/>
  <c r="J1086" i="1"/>
  <c r="K1086" i="1"/>
  <c r="L1086" i="1"/>
  <c r="Q1085" i="1"/>
  <c r="R1085" i="1"/>
  <c r="S1085" i="1"/>
  <c r="T1085" i="1"/>
  <c r="M1085" i="1"/>
  <c r="P1085" i="1"/>
  <c r="I1085" i="1"/>
  <c r="J1085" i="1"/>
  <c r="K1085" i="1"/>
  <c r="L1085" i="1"/>
  <c r="Q1084" i="1"/>
  <c r="R1084" i="1"/>
  <c r="S1084" i="1"/>
  <c r="T1084" i="1"/>
  <c r="M1084" i="1"/>
  <c r="P1084" i="1"/>
  <c r="I1084" i="1"/>
  <c r="J1084" i="1"/>
  <c r="K1084" i="1"/>
  <c r="L1084" i="1"/>
  <c r="Q1083" i="1"/>
  <c r="R1083" i="1"/>
  <c r="S1083" i="1"/>
  <c r="T1083" i="1"/>
  <c r="M1083" i="1"/>
  <c r="P1083" i="1"/>
  <c r="I1083" i="1"/>
  <c r="J1083" i="1"/>
  <c r="K1083" i="1"/>
  <c r="L1083" i="1"/>
  <c r="Q1082" i="1"/>
  <c r="R1082" i="1"/>
  <c r="S1082" i="1"/>
  <c r="T1082" i="1"/>
  <c r="M1082" i="1"/>
  <c r="P1082" i="1"/>
  <c r="I1082" i="1"/>
  <c r="J1082" i="1"/>
  <c r="K1082" i="1"/>
  <c r="L1082" i="1"/>
  <c r="Q1081" i="1"/>
  <c r="R1081" i="1"/>
  <c r="S1081" i="1"/>
  <c r="T1081" i="1"/>
  <c r="M1081" i="1"/>
  <c r="P1081" i="1"/>
  <c r="I1081" i="1"/>
  <c r="J1081" i="1"/>
  <c r="K1081" i="1"/>
  <c r="L1081" i="1"/>
  <c r="Q1080" i="1"/>
  <c r="R1080" i="1"/>
  <c r="S1080" i="1"/>
  <c r="T1080" i="1"/>
  <c r="M1080" i="1"/>
  <c r="P1080" i="1"/>
  <c r="I1080" i="1"/>
  <c r="J1080" i="1"/>
  <c r="K1080" i="1"/>
  <c r="L1080" i="1"/>
  <c r="Q1079" i="1"/>
  <c r="R1079" i="1"/>
  <c r="S1079" i="1"/>
  <c r="T1079" i="1"/>
  <c r="M1079" i="1"/>
  <c r="P1079" i="1"/>
  <c r="I1079" i="1"/>
  <c r="J1079" i="1"/>
  <c r="K1079" i="1"/>
  <c r="L1079" i="1"/>
  <c r="Q1078" i="1"/>
  <c r="R1078" i="1"/>
  <c r="S1078" i="1"/>
  <c r="T1078" i="1"/>
  <c r="M1078" i="1"/>
  <c r="P1078" i="1"/>
  <c r="I1078" i="1"/>
  <c r="J1078" i="1"/>
  <c r="K1078" i="1"/>
  <c r="L1078" i="1"/>
  <c r="Q1077" i="1"/>
  <c r="R1077" i="1"/>
  <c r="S1077" i="1"/>
  <c r="T1077" i="1"/>
  <c r="M1077" i="1"/>
  <c r="P1077" i="1"/>
  <c r="I1077" i="1"/>
  <c r="J1077" i="1"/>
  <c r="K1077" i="1"/>
  <c r="L1077" i="1"/>
  <c r="Q1076" i="1"/>
  <c r="R1076" i="1"/>
  <c r="S1076" i="1"/>
  <c r="T1076" i="1"/>
  <c r="M1076" i="1"/>
  <c r="P1076" i="1"/>
  <c r="I1076" i="1"/>
  <c r="J1076" i="1"/>
  <c r="K1076" i="1"/>
  <c r="L1076" i="1"/>
  <c r="Q1075" i="1"/>
  <c r="R1075" i="1"/>
  <c r="S1075" i="1"/>
  <c r="T1075" i="1"/>
  <c r="M1075" i="1"/>
  <c r="P1075" i="1"/>
  <c r="I1075" i="1"/>
  <c r="J1075" i="1"/>
  <c r="K1075" i="1"/>
  <c r="L1075" i="1"/>
  <c r="Q1074" i="1"/>
  <c r="R1074" i="1"/>
  <c r="S1074" i="1"/>
  <c r="T1074" i="1"/>
  <c r="M1074" i="1"/>
  <c r="P1074" i="1"/>
  <c r="I1074" i="1"/>
  <c r="J1074" i="1"/>
  <c r="K1074" i="1"/>
  <c r="L1074" i="1"/>
  <c r="Q1073" i="1"/>
  <c r="R1073" i="1"/>
  <c r="S1073" i="1"/>
  <c r="T1073" i="1"/>
  <c r="M1073" i="1"/>
  <c r="P1073" i="1"/>
  <c r="I1073" i="1"/>
  <c r="J1073" i="1"/>
  <c r="K1073" i="1"/>
  <c r="L1073" i="1"/>
  <c r="Q1072" i="1"/>
  <c r="R1072" i="1"/>
  <c r="S1072" i="1"/>
  <c r="T1072" i="1"/>
  <c r="M1072" i="1"/>
  <c r="P1072" i="1"/>
  <c r="I1072" i="1"/>
  <c r="J1072" i="1"/>
  <c r="K1072" i="1"/>
  <c r="L1072" i="1"/>
  <c r="Q1071" i="1"/>
  <c r="R1071" i="1"/>
  <c r="S1071" i="1"/>
  <c r="T1071" i="1"/>
  <c r="M1071" i="1"/>
  <c r="P1071" i="1"/>
  <c r="I1071" i="1"/>
  <c r="J1071" i="1"/>
  <c r="K1071" i="1"/>
  <c r="L1071" i="1"/>
  <c r="Q1070" i="1"/>
  <c r="R1070" i="1"/>
  <c r="S1070" i="1"/>
  <c r="T1070" i="1"/>
  <c r="M1070" i="1"/>
  <c r="P1070" i="1"/>
  <c r="I1070" i="1"/>
  <c r="J1070" i="1"/>
  <c r="K1070" i="1"/>
  <c r="L1070" i="1"/>
  <c r="Q1069" i="1"/>
  <c r="R1069" i="1"/>
  <c r="S1069" i="1"/>
  <c r="T1069" i="1"/>
  <c r="M1069" i="1"/>
  <c r="P1069" i="1"/>
  <c r="I1069" i="1"/>
  <c r="J1069" i="1"/>
  <c r="K1069" i="1"/>
  <c r="L1069" i="1"/>
  <c r="Q1068" i="1"/>
  <c r="R1068" i="1"/>
  <c r="S1068" i="1"/>
  <c r="T1068" i="1"/>
  <c r="M1068" i="1"/>
  <c r="P1068" i="1"/>
  <c r="I1068" i="1"/>
  <c r="J1068" i="1"/>
  <c r="K1068" i="1"/>
  <c r="L1068" i="1"/>
  <c r="Q1067" i="1"/>
  <c r="R1067" i="1"/>
  <c r="S1067" i="1"/>
  <c r="T1067" i="1"/>
  <c r="M1067" i="1"/>
  <c r="P1067" i="1"/>
  <c r="I1067" i="1"/>
  <c r="J1067" i="1"/>
  <c r="K1067" i="1"/>
  <c r="L1067" i="1"/>
  <c r="Q1066" i="1"/>
  <c r="R1066" i="1"/>
  <c r="S1066" i="1"/>
  <c r="T1066" i="1"/>
  <c r="M1066" i="1"/>
  <c r="P1066" i="1"/>
  <c r="I1066" i="1"/>
  <c r="J1066" i="1"/>
  <c r="K1066" i="1"/>
  <c r="L1066" i="1"/>
  <c r="Q1065" i="1"/>
  <c r="R1065" i="1"/>
  <c r="S1065" i="1"/>
  <c r="T1065" i="1"/>
  <c r="M1065" i="1"/>
  <c r="P1065" i="1"/>
  <c r="I1065" i="1"/>
  <c r="J1065" i="1"/>
  <c r="K1065" i="1"/>
  <c r="L1065" i="1"/>
  <c r="Q1064" i="1"/>
  <c r="R1064" i="1"/>
  <c r="S1064" i="1"/>
  <c r="T1064" i="1"/>
  <c r="M1064" i="1"/>
  <c r="P1064" i="1"/>
  <c r="I1064" i="1"/>
  <c r="J1064" i="1"/>
  <c r="K1064" i="1"/>
  <c r="L1064" i="1"/>
  <c r="Q1063" i="1"/>
  <c r="R1063" i="1"/>
  <c r="S1063" i="1"/>
  <c r="T1063" i="1"/>
  <c r="M1063" i="1"/>
  <c r="P1063" i="1"/>
  <c r="I1063" i="1"/>
  <c r="J1063" i="1"/>
  <c r="K1063" i="1"/>
  <c r="L1063" i="1"/>
  <c r="Q1062" i="1"/>
  <c r="R1062" i="1"/>
  <c r="S1062" i="1"/>
  <c r="T1062" i="1"/>
  <c r="M1062" i="1"/>
  <c r="P1062" i="1"/>
  <c r="I1062" i="1"/>
  <c r="J1062" i="1"/>
  <c r="K1062" i="1"/>
  <c r="L1062" i="1"/>
  <c r="Q1061" i="1"/>
  <c r="R1061" i="1"/>
  <c r="S1061" i="1"/>
  <c r="T1061" i="1"/>
  <c r="M1061" i="1"/>
  <c r="P1061" i="1"/>
  <c r="I1061" i="1"/>
  <c r="J1061" i="1"/>
  <c r="K1061" i="1"/>
  <c r="L1061" i="1"/>
  <c r="Q1060" i="1"/>
  <c r="R1060" i="1"/>
  <c r="S1060" i="1"/>
  <c r="T1060" i="1"/>
  <c r="M1060" i="1"/>
  <c r="P1060" i="1"/>
  <c r="I1060" i="1"/>
  <c r="J1060" i="1"/>
  <c r="K1060" i="1"/>
  <c r="L1060" i="1"/>
  <c r="Q1059" i="1"/>
  <c r="R1059" i="1"/>
  <c r="S1059" i="1"/>
  <c r="T1059" i="1"/>
  <c r="M1059" i="1"/>
  <c r="P1059" i="1"/>
  <c r="I1059" i="1"/>
  <c r="J1059" i="1"/>
  <c r="K1059" i="1"/>
  <c r="L1059" i="1"/>
  <c r="Q1058" i="1"/>
  <c r="R1058" i="1"/>
  <c r="S1058" i="1"/>
  <c r="T1058" i="1"/>
  <c r="M1058" i="1"/>
  <c r="P1058" i="1"/>
  <c r="I1058" i="1"/>
  <c r="J1058" i="1"/>
  <c r="K1058" i="1"/>
  <c r="L1058" i="1"/>
  <c r="Q1057" i="1"/>
  <c r="R1057" i="1"/>
  <c r="S1057" i="1"/>
  <c r="T1057" i="1"/>
  <c r="M1057" i="1"/>
  <c r="P1057" i="1"/>
  <c r="I1057" i="1"/>
  <c r="J1057" i="1"/>
  <c r="K1057" i="1"/>
  <c r="L1057" i="1"/>
  <c r="Q1056" i="1"/>
  <c r="R1056" i="1"/>
  <c r="S1056" i="1"/>
  <c r="T1056" i="1"/>
  <c r="M1056" i="1"/>
  <c r="P1056" i="1"/>
  <c r="I1056" i="1"/>
  <c r="J1056" i="1"/>
  <c r="K1056" i="1"/>
  <c r="L1056" i="1"/>
  <c r="Q1055" i="1"/>
  <c r="R1055" i="1"/>
  <c r="S1055" i="1"/>
  <c r="T1055" i="1"/>
  <c r="M1055" i="1"/>
  <c r="P1055" i="1"/>
  <c r="I1055" i="1"/>
  <c r="J1055" i="1"/>
  <c r="K1055" i="1"/>
  <c r="L1055" i="1"/>
  <c r="Q1054" i="1"/>
  <c r="R1054" i="1"/>
  <c r="S1054" i="1"/>
  <c r="T1054" i="1"/>
  <c r="M1054" i="1"/>
  <c r="P1054" i="1"/>
  <c r="I1054" i="1"/>
  <c r="J1054" i="1"/>
  <c r="K1054" i="1"/>
  <c r="L1054" i="1"/>
  <c r="Q1053" i="1"/>
  <c r="R1053" i="1"/>
  <c r="S1053" i="1"/>
  <c r="T1053" i="1"/>
  <c r="M1053" i="1"/>
  <c r="P1053" i="1"/>
  <c r="I1053" i="1"/>
  <c r="J1053" i="1"/>
  <c r="K1053" i="1"/>
  <c r="L1053" i="1"/>
  <c r="Q1052" i="1"/>
  <c r="R1052" i="1"/>
  <c r="S1052" i="1"/>
  <c r="T1052" i="1"/>
  <c r="M1052" i="1"/>
  <c r="P1052" i="1"/>
  <c r="I1052" i="1"/>
  <c r="J1052" i="1"/>
  <c r="K1052" i="1"/>
  <c r="L1052" i="1"/>
  <c r="Q1051" i="1"/>
  <c r="R1051" i="1"/>
  <c r="S1051" i="1"/>
  <c r="T1051" i="1"/>
  <c r="M1051" i="1"/>
  <c r="P1051" i="1"/>
  <c r="I1051" i="1"/>
  <c r="J1051" i="1"/>
  <c r="K1051" i="1"/>
  <c r="L1051" i="1"/>
  <c r="Q1050" i="1"/>
  <c r="R1050" i="1"/>
  <c r="S1050" i="1"/>
  <c r="T1050" i="1"/>
  <c r="M1050" i="1"/>
  <c r="P1050" i="1"/>
  <c r="I1050" i="1"/>
  <c r="J1050" i="1"/>
  <c r="K1050" i="1"/>
  <c r="L1050" i="1"/>
  <c r="Q1049" i="1"/>
  <c r="R1049" i="1"/>
  <c r="S1049" i="1"/>
  <c r="T1049" i="1"/>
  <c r="M1049" i="1"/>
  <c r="P1049" i="1"/>
  <c r="I1049" i="1"/>
  <c r="J1049" i="1"/>
  <c r="K1049" i="1"/>
  <c r="L1049" i="1"/>
  <c r="Q1048" i="1"/>
  <c r="R1048" i="1"/>
  <c r="S1048" i="1"/>
  <c r="T1048" i="1"/>
  <c r="M1048" i="1"/>
  <c r="P1048" i="1"/>
  <c r="I1048" i="1"/>
  <c r="J1048" i="1"/>
  <c r="K1048" i="1"/>
  <c r="L1048" i="1"/>
  <c r="Q1047" i="1"/>
  <c r="R1047" i="1"/>
  <c r="S1047" i="1"/>
  <c r="T1047" i="1"/>
  <c r="M1047" i="1"/>
  <c r="P1047" i="1"/>
  <c r="I1047" i="1"/>
  <c r="J1047" i="1"/>
  <c r="K1047" i="1"/>
  <c r="L1047" i="1"/>
  <c r="Q1046" i="1"/>
  <c r="R1046" i="1"/>
  <c r="S1046" i="1"/>
  <c r="T1046" i="1"/>
  <c r="M1046" i="1"/>
  <c r="P1046" i="1"/>
  <c r="I1046" i="1"/>
  <c r="J1046" i="1"/>
  <c r="K1046" i="1"/>
  <c r="L1046" i="1"/>
  <c r="Q1045" i="1"/>
  <c r="R1045" i="1"/>
  <c r="S1045" i="1"/>
  <c r="T1045" i="1"/>
  <c r="M1045" i="1"/>
  <c r="P1045" i="1"/>
  <c r="I1045" i="1"/>
  <c r="J1045" i="1"/>
  <c r="K1045" i="1"/>
  <c r="L1045" i="1"/>
  <c r="Q1044" i="1"/>
  <c r="R1044" i="1"/>
  <c r="S1044" i="1"/>
  <c r="T1044" i="1"/>
  <c r="M1044" i="1"/>
  <c r="P1044" i="1"/>
  <c r="I1044" i="1"/>
  <c r="J1044" i="1"/>
  <c r="K1044" i="1"/>
  <c r="L1044" i="1"/>
  <c r="Q1043" i="1"/>
  <c r="R1043" i="1"/>
  <c r="S1043" i="1"/>
  <c r="T1043" i="1"/>
  <c r="M1043" i="1"/>
  <c r="P1043" i="1"/>
  <c r="I1043" i="1"/>
  <c r="J1043" i="1"/>
  <c r="K1043" i="1"/>
  <c r="L1043" i="1"/>
  <c r="Q1042" i="1"/>
  <c r="R1042" i="1"/>
  <c r="S1042" i="1"/>
  <c r="T1042" i="1"/>
  <c r="M1042" i="1"/>
  <c r="P1042" i="1"/>
  <c r="I1042" i="1"/>
  <c r="J1042" i="1"/>
  <c r="K1042" i="1"/>
  <c r="L1042" i="1"/>
  <c r="Q1041" i="1"/>
  <c r="R1041" i="1"/>
  <c r="S1041" i="1"/>
  <c r="T1041" i="1"/>
  <c r="M1041" i="1"/>
  <c r="P1041" i="1"/>
  <c r="I1041" i="1"/>
  <c r="J1041" i="1"/>
  <c r="K1041" i="1"/>
  <c r="L1041" i="1"/>
  <c r="Q1040" i="1"/>
  <c r="R1040" i="1"/>
  <c r="S1040" i="1"/>
  <c r="T1040" i="1"/>
  <c r="M1040" i="1"/>
  <c r="P1040" i="1"/>
  <c r="I1040" i="1"/>
  <c r="J1040" i="1"/>
  <c r="K1040" i="1"/>
  <c r="L1040" i="1"/>
  <c r="Q1039" i="1"/>
  <c r="R1039" i="1"/>
  <c r="S1039" i="1"/>
  <c r="T1039" i="1"/>
  <c r="M1039" i="1"/>
  <c r="P1039" i="1"/>
  <c r="I1039" i="1"/>
  <c r="J1039" i="1"/>
  <c r="K1039" i="1"/>
  <c r="L1039" i="1"/>
  <c r="Q1038" i="1"/>
  <c r="R1038" i="1"/>
  <c r="S1038" i="1"/>
  <c r="T1038" i="1"/>
  <c r="M1038" i="1"/>
  <c r="P1038" i="1"/>
  <c r="I1038" i="1"/>
  <c r="J1038" i="1"/>
  <c r="K1038" i="1"/>
  <c r="L1038" i="1"/>
  <c r="Q1037" i="1"/>
  <c r="R1037" i="1"/>
  <c r="S1037" i="1"/>
  <c r="T1037" i="1"/>
  <c r="M1037" i="1"/>
  <c r="P1037" i="1"/>
  <c r="I1037" i="1"/>
  <c r="J1037" i="1"/>
  <c r="K1037" i="1"/>
  <c r="L1037" i="1"/>
  <c r="Q1036" i="1"/>
  <c r="R1036" i="1"/>
  <c r="S1036" i="1"/>
  <c r="T1036" i="1"/>
  <c r="M1036" i="1"/>
  <c r="P1036" i="1"/>
  <c r="I1036" i="1"/>
  <c r="J1036" i="1"/>
  <c r="K1036" i="1"/>
  <c r="L1036" i="1"/>
  <c r="Q1035" i="1"/>
  <c r="R1035" i="1"/>
  <c r="S1035" i="1"/>
  <c r="T1035" i="1"/>
  <c r="M1035" i="1"/>
  <c r="P1035" i="1"/>
  <c r="I1035" i="1"/>
  <c r="J1035" i="1"/>
  <c r="K1035" i="1"/>
  <c r="L1035" i="1"/>
  <c r="Q1034" i="1"/>
  <c r="R1034" i="1"/>
  <c r="S1034" i="1"/>
  <c r="T1034" i="1"/>
  <c r="M1034" i="1"/>
  <c r="P1034" i="1"/>
  <c r="I1034" i="1"/>
  <c r="J1034" i="1"/>
  <c r="K1034" i="1"/>
  <c r="L1034" i="1"/>
  <c r="Q1033" i="1"/>
  <c r="R1033" i="1"/>
  <c r="S1033" i="1"/>
  <c r="T1033" i="1"/>
  <c r="M1033" i="1"/>
  <c r="P1033" i="1"/>
  <c r="I1033" i="1"/>
  <c r="J1033" i="1"/>
  <c r="K1033" i="1"/>
  <c r="L1033" i="1"/>
  <c r="Q1032" i="1"/>
  <c r="R1032" i="1"/>
  <c r="S1032" i="1"/>
  <c r="T1032" i="1"/>
  <c r="M1032" i="1"/>
  <c r="P1032" i="1"/>
  <c r="I1032" i="1"/>
  <c r="J1032" i="1"/>
  <c r="K1032" i="1"/>
  <c r="L1032" i="1"/>
  <c r="Q1031" i="1"/>
  <c r="R1031" i="1"/>
  <c r="S1031" i="1"/>
  <c r="T1031" i="1"/>
  <c r="M1031" i="1"/>
  <c r="P1031" i="1"/>
  <c r="I1031" i="1"/>
  <c r="J1031" i="1"/>
  <c r="K1031" i="1"/>
  <c r="L1031" i="1"/>
  <c r="Q1030" i="1"/>
  <c r="R1030" i="1"/>
  <c r="S1030" i="1"/>
  <c r="T1030" i="1"/>
  <c r="M1030" i="1"/>
  <c r="P1030" i="1"/>
  <c r="I1030" i="1"/>
  <c r="J1030" i="1"/>
  <c r="K1030" i="1"/>
  <c r="L1030" i="1"/>
  <c r="Q1029" i="1"/>
  <c r="R1029" i="1"/>
  <c r="S1029" i="1"/>
  <c r="T1029" i="1"/>
  <c r="M1029" i="1"/>
  <c r="P1029" i="1"/>
  <c r="I1029" i="1"/>
  <c r="J1029" i="1"/>
  <c r="K1029" i="1"/>
  <c r="L1029" i="1"/>
  <c r="Q1028" i="1"/>
  <c r="R1028" i="1"/>
  <c r="S1028" i="1"/>
  <c r="T1028" i="1"/>
  <c r="M1028" i="1"/>
  <c r="P1028" i="1"/>
  <c r="I1028" i="1"/>
  <c r="J1028" i="1"/>
  <c r="K1028" i="1"/>
  <c r="L1028" i="1"/>
  <c r="Q1027" i="1"/>
  <c r="R1027" i="1"/>
  <c r="S1027" i="1"/>
  <c r="T1027" i="1"/>
  <c r="M1027" i="1"/>
  <c r="P1027" i="1"/>
  <c r="I1027" i="1"/>
  <c r="J1027" i="1"/>
  <c r="K1027" i="1"/>
  <c r="L1027" i="1"/>
  <c r="Q1026" i="1"/>
  <c r="R1026" i="1"/>
  <c r="S1026" i="1"/>
  <c r="T1026" i="1"/>
  <c r="M1026" i="1"/>
  <c r="P1026" i="1"/>
  <c r="I1026" i="1"/>
  <c r="J1026" i="1"/>
  <c r="K1026" i="1"/>
  <c r="L1026" i="1"/>
  <c r="Q1025" i="1"/>
  <c r="R1025" i="1"/>
  <c r="S1025" i="1"/>
  <c r="T1025" i="1"/>
  <c r="M1025" i="1"/>
  <c r="P1025" i="1"/>
  <c r="I1025" i="1"/>
  <c r="J1025" i="1"/>
  <c r="K1025" i="1"/>
  <c r="L1025" i="1"/>
  <c r="Q1024" i="1"/>
  <c r="R1024" i="1"/>
  <c r="S1024" i="1"/>
  <c r="T1024" i="1"/>
  <c r="M1024" i="1"/>
  <c r="P1024" i="1"/>
  <c r="I1024" i="1"/>
  <c r="J1024" i="1"/>
  <c r="K1024" i="1"/>
  <c r="L1024" i="1"/>
  <c r="Q1023" i="1"/>
  <c r="R1023" i="1"/>
  <c r="S1023" i="1"/>
  <c r="T1023" i="1"/>
  <c r="M1023" i="1"/>
  <c r="P1023" i="1"/>
  <c r="I1023" i="1"/>
  <c r="J1023" i="1"/>
  <c r="K1023" i="1"/>
  <c r="L1023" i="1"/>
  <c r="Q1022" i="1"/>
  <c r="R1022" i="1"/>
  <c r="S1022" i="1"/>
  <c r="T1022" i="1"/>
  <c r="M1022" i="1"/>
  <c r="P1022" i="1"/>
  <c r="I1022" i="1"/>
  <c r="J1022" i="1"/>
  <c r="K1022" i="1"/>
  <c r="L1022" i="1"/>
  <c r="Q1021" i="1"/>
  <c r="R1021" i="1"/>
  <c r="S1021" i="1"/>
  <c r="T1021" i="1"/>
  <c r="M1021" i="1"/>
  <c r="P1021" i="1"/>
  <c r="I1021" i="1"/>
  <c r="J1021" i="1"/>
  <c r="K1021" i="1"/>
  <c r="L1021" i="1"/>
  <c r="Q1020" i="1"/>
  <c r="R1020" i="1"/>
  <c r="S1020" i="1"/>
  <c r="T1020" i="1"/>
  <c r="M1020" i="1"/>
  <c r="P1020" i="1"/>
  <c r="I1020" i="1"/>
  <c r="J1020" i="1"/>
  <c r="K1020" i="1"/>
  <c r="L1020" i="1"/>
  <c r="Q1019" i="1"/>
  <c r="R1019" i="1"/>
  <c r="S1019" i="1"/>
  <c r="T1019" i="1"/>
  <c r="M1019" i="1"/>
  <c r="P1019" i="1"/>
  <c r="I1019" i="1"/>
  <c r="J1019" i="1"/>
  <c r="K1019" i="1"/>
  <c r="L1019" i="1"/>
  <c r="Q1018" i="1"/>
  <c r="R1018" i="1"/>
  <c r="S1018" i="1"/>
  <c r="T1018" i="1"/>
  <c r="M1018" i="1"/>
  <c r="P1018" i="1"/>
  <c r="I1018" i="1"/>
  <c r="J1018" i="1"/>
  <c r="K1018" i="1"/>
  <c r="L1018" i="1"/>
  <c r="Q1017" i="1"/>
  <c r="R1017" i="1"/>
  <c r="S1017" i="1"/>
  <c r="T1017" i="1"/>
  <c r="M1017" i="1"/>
  <c r="P1017" i="1"/>
  <c r="I1017" i="1"/>
  <c r="J1017" i="1"/>
  <c r="K1017" i="1"/>
  <c r="L1017" i="1"/>
  <c r="Q1016" i="1"/>
  <c r="R1016" i="1"/>
  <c r="S1016" i="1"/>
  <c r="T1016" i="1"/>
  <c r="M1016" i="1"/>
  <c r="P1016" i="1"/>
  <c r="I1016" i="1"/>
  <c r="J1016" i="1"/>
  <c r="K1016" i="1"/>
  <c r="L1016" i="1"/>
  <c r="Q1015" i="1"/>
  <c r="R1015" i="1"/>
  <c r="S1015" i="1"/>
  <c r="T1015" i="1"/>
  <c r="M1015" i="1"/>
  <c r="P1015" i="1"/>
  <c r="I1015" i="1"/>
  <c r="J1015" i="1"/>
  <c r="K1015" i="1"/>
  <c r="L1015" i="1"/>
  <c r="Q1014" i="1"/>
  <c r="R1014" i="1"/>
  <c r="S1014" i="1"/>
  <c r="T1014" i="1"/>
  <c r="M1014" i="1"/>
  <c r="P1014" i="1"/>
  <c r="I1014" i="1"/>
  <c r="J1014" i="1"/>
  <c r="K1014" i="1"/>
  <c r="L1014" i="1"/>
  <c r="Q1013" i="1"/>
  <c r="R1013" i="1"/>
  <c r="S1013" i="1"/>
  <c r="T1013" i="1"/>
  <c r="M1013" i="1"/>
  <c r="P1013" i="1"/>
  <c r="I1013" i="1"/>
  <c r="J1013" i="1"/>
  <c r="K1013" i="1"/>
  <c r="L1013" i="1"/>
  <c r="Q1012" i="1"/>
  <c r="R1012" i="1"/>
  <c r="S1012" i="1"/>
  <c r="T1012" i="1"/>
  <c r="M1012" i="1"/>
  <c r="P1012" i="1"/>
  <c r="I1012" i="1"/>
  <c r="J1012" i="1"/>
  <c r="K1012" i="1"/>
  <c r="L1012" i="1"/>
  <c r="Q1011" i="1"/>
  <c r="R1011" i="1"/>
  <c r="S1011" i="1"/>
  <c r="T1011" i="1"/>
  <c r="M1011" i="1"/>
  <c r="P1011" i="1"/>
  <c r="I1011" i="1"/>
  <c r="J1011" i="1"/>
  <c r="K1011" i="1"/>
  <c r="L1011" i="1"/>
  <c r="Q1010" i="1"/>
  <c r="R1010" i="1"/>
  <c r="S1010" i="1"/>
  <c r="T1010" i="1"/>
  <c r="M1010" i="1"/>
  <c r="P1010" i="1"/>
  <c r="I1010" i="1"/>
  <c r="J1010" i="1"/>
  <c r="K1010" i="1"/>
  <c r="L1010" i="1"/>
  <c r="Q1009" i="1"/>
  <c r="R1009" i="1"/>
  <c r="S1009" i="1"/>
  <c r="T1009" i="1"/>
  <c r="M1009" i="1"/>
  <c r="P1009" i="1"/>
  <c r="I1009" i="1"/>
  <c r="J1009" i="1"/>
  <c r="K1009" i="1"/>
  <c r="L1009" i="1"/>
  <c r="Q1008" i="1"/>
  <c r="R1008" i="1"/>
  <c r="S1008" i="1"/>
  <c r="T1008" i="1"/>
  <c r="M1008" i="1"/>
  <c r="P1008" i="1"/>
  <c r="I1008" i="1"/>
  <c r="J1008" i="1"/>
  <c r="K1008" i="1"/>
  <c r="L1008" i="1"/>
  <c r="Q1007" i="1"/>
  <c r="R1007" i="1"/>
  <c r="S1007" i="1"/>
  <c r="T1007" i="1"/>
  <c r="M1007" i="1"/>
  <c r="P1007" i="1"/>
  <c r="I1007" i="1"/>
  <c r="J1007" i="1"/>
  <c r="K1007" i="1"/>
  <c r="L1007" i="1"/>
  <c r="Q1006" i="1"/>
  <c r="R1006" i="1"/>
  <c r="S1006" i="1"/>
  <c r="T1006" i="1"/>
  <c r="M1006" i="1"/>
  <c r="P1006" i="1"/>
  <c r="I1006" i="1"/>
  <c r="J1006" i="1"/>
  <c r="K1006" i="1"/>
  <c r="L1006" i="1"/>
  <c r="Q1005" i="1"/>
  <c r="R1005" i="1"/>
  <c r="S1005" i="1"/>
  <c r="T1005" i="1"/>
  <c r="M1005" i="1"/>
  <c r="P1005" i="1"/>
  <c r="I1005" i="1"/>
  <c r="J1005" i="1"/>
  <c r="K1005" i="1"/>
  <c r="L1005" i="1"/>
  <c r="Q1004" i="1"/>
  <c r="R1004" i="1"/>
  <c r="S1004" i="1"/>
  <c r="T1004" i="1"/>
  <c r="M1004" i="1"/>
  <c r="P1004" i="1"/>
  <c r="I1004" i="1"/>
  <c r="J1004" i="1"/>
  <c r="K1004" i="1"/>
  <c r="L1004" i="1"/>
  <c r="Q1003" i="1"/>
  <c r="R1003" i="1"/>
  <c r="S1003" i="1"/>
  <c r="T1003" i="1"/>
  <c r="M1003" i="1"/>
  <c r="P1003" i="1"/>
  <c r="I1003" i="1"/>
  <c r="J1003" i="1"/>
  <c r="K1003" i="1"/>
  <c r="L1003" i="1"/>
  <c r="Q1002" i="1"/>
  <c r="R1002" i="1"/>
  <c r="S1002" i="1"/>
  <c r="T1002" i="1"/>
  <c r="M1002" i="1"/>
  <c r="P1002" i="1"/>
  <c r="I1002" i="1"/>
  <c r="J1002" i="1"/>
  <c r="K1002" i="1"/>
  <c r="L1002" i="1"/>
  <c r="Q1001" i="1"/>
  <c r="R1001" i="1"/>
  <c r="S1001" i="1"/>
  <c r="T1001" i="1"/>
  <c r="M1001" i="1"/>
  <c r="P1001" i="1"/>
  <c r="I1001" i="1"/>
  <c r="J1001" i="1"/>
  <c r="K1001" i="1"/>
  <c r="L1001" i="1"/>
  <c r="Q1000" i="1"/>
  <c r="R1000" i="1"/>
  <c r="S1000" i="1"/>
  <c r="T1000" i="1"/>
  <c r="M1000" i="1"/>
  <c r="P1000" i="1"/>
  <c r="I1000" i="1"/>
  <c r="J1000" i="1"/>
  <c r="K1000" i="1"/>
  <c r="L1000" i="1"/>
  <c r="Q999" i="1"/>
  <c r="R999" i="1"/>
  <c r="S999" i="1"/>
  <c r="T999" i="1"/>
  <c r="M999" i="1"/>
  <c r="P999" i="1"/>
  <c r="I999" i="1"/>
  <c r="J999" i="1"/>
  <c r="K999" i="1"/>
  <c r="L999" i="1"/>
  <c r="Q998" i="1"/>
  <c r="R998" i="1"/>
  <c r="S998" i="1"/>
  <c r="T998" i="1"/>
  <c r="M998" i="1"/>
  <c r="P998" i="1"/>
  <c r="I998" i="1"/>
  <c r="J998" i="1"/>
  <c r="K998" i="1"/>
  <c r="L998" i="1"/>
  <c r="Q997" i="1"/>
  <c r="R997" i="1"/>
  <c r="S997" i="1"/>
  <c r="T997" i="1"/>
  <c r="M997" i="1"/>
  <c r="P997" i="1"/>
  <c r="I997" i="1"/>
  <c r="J997" i="1"/>
  <c r="K997" i="1"/>
  <c r="L997" i="1"/>
  <c r="Q996" i="1"/>
  <c r="R996" i="1"/>
  <c r="S996" i="1"/>
  <c r="T996" i="1"/>
  <c r="M996" i="1"/>
  <c r="P996" i="1"/>
  <c r="I996" i="1"/>
  <c r="J996" i="1"/>
  <c r="K996" i="1"/>
  <c r="L996" i="1"/>
  <c r="Q995" i="1"/>
  <c r="R995" i="1"/>
  <c r="S995" i="1"/>
  <c r="T995" i="1"/>
  <c r="M995" i="1"/>
  <c r="P995" i="1"/>
  <c r="I995" i="1"/>
  <c r="J995" i="1"/>
  <c r="K995" i="1"/>
  <c r="L995" i="1"/>
  <c r="Q994" i="1"/>
  <c r="R994" i="1"/>
  <c r="S994" i="1"/>
  <c r="T994" i="1"/>
  <c r="M994" i="1"/>
  <c r="P994" i="1"/>
  <c r="I994" i="1"/>
  <c r="J994" i="1"/>
  <c r="K994" i="1"/>
  <c r="L994" i="1"/>
  <c r="Q993" i="1"/>
  <c r="R993" i="1"/>
  <c r="S993" i="1"/>
  <c r="T993" i="1"/>
  <c r="M993" i="1"/>
  <c r="P993" i="1"/>
  <c r="I993" i="1"/>
  <c r="J993" i="1"/>
  <c r="K993" i="1"/>
  <c r="L993" i="1"/>
  <c r="Q992" i="1"/>
  <c r="R992" i="1"/>
  <c r="S992" i="1"/>
  <c r="T992" i="1"/>
  <c r="M992" i="1"/>
  <c r="P992" i="1"/>
  <c r="I992" i="1"/>
  <c r="J992" i="1"/>
  <c r="K992" i="1"/>
  <c r="L992" i="1"/>
  <c r="Q991" i="1"/>
  <c r="R991" i="1"/>
  <c r="S991" i="1"/>
  <c r="T991" i="1"/>
  <c r="M991" i="1"/>
  <c r="P991" i="1"/>
  <c r="I991" i="1"/>
  <c r="J991" i="1"/>
  <c r="K991" i="1"/>
  <c r="L991" i="1"/>
  <c r="Q990" i="1"/>
  <c r="R990" i="1"/>
  <c r="S990" i="1"/>
  <c r="T990" i="1"/>
  <c r="M990" i="1"/>
  <c r="P990" i="1"/>
  <c r="I990" i="1"/>
  <c r="J990" i="1"/>
  <c r="K990" i="1"/>
  <c r="L990" i="1"/>
  <c r="Q989" i="1"/>
  <c r="R989" i="1"/>
  <c r="S989" i="1"/>
  <c r="T989" i="1"/>
  <c r="M989" i="1"/>
  <c r="P989" i="1"/>
  <c r="I989" i="1"/>
  <c r="J989" i="1"/>
  <c r="K989" i="1"/>
  <c r="L989" i="1"/>
  <c r="Q988" i="1"/>
  <c r="R988" i="1"/>
  <c r="S988" i="1"/>
  <c r="T988" i="1"/>
  <c r="M988" i="1"/>
  <c r="P988" i="1"/>
  <c r="I988" i="1"/>
  <c r="J988" i="1"/>
  <c r="K988" i="1"/>
  <c r="L988" i="1"/>
  <c r="Q987" i="1"/>
  <c r="R987" i="1"/>
  <c r="S987" i="1"/>
  <c r="T987" i="1"/>
  <c r="M987" i="1"/>
  <c r="P987" i="1"/>
  <c r="I987" i="1"/>
  <c r="J987" i="1"/>
  <c r="K987" i="1"/>
  <c r="L987" i="1"/>
  <c r="Q986" i="1"/>
  <c r="R986" i="1"/>
  <c r="S986" i="1"/>
  <c r="T986" i="1"/>
  <c r="M986" i="1"/>
  <c r="P986" i="1"/>
  <c r="I986" i="1"/>
  <c r="J986" i="1"/>
  <c r="K986" i="1"/>
  <c r="L986" i="1"/>
  <c r="Q985" i="1"/>
  <c r="R985" i="1"/>
  <c r="S985" i="1"/>
  <c r="T985" i="1"/>
  <c r="M985" i="1"/>
  <c r="P985" i="1"/>
  <c r="I985" i="1"/>
  <c r="J985" i="1"/>
  <c r="K985" i="1"/>
  <c r="L985" i="1"/>
  <c r="Q984" i="1"/>
  <c r="R984" i="1"/>
  <c r="S984" i="1"/>
  <c r="T984" i="1"/>
  <c r="M984" i="1"/>
  <c r="P984" i="1"/>
  <c r="I984" i="1"/>
  <c r="J984" i="1"/>
  <c r="K984" i="1"/>
  <c r="L984" i="1"/>
  <c r="Q983" i="1"/>
  <c r="R983" i="1"/>
  <c r="S983" i="1"/>
  <c r="T983" i="1"/>
  <c r="M983" i="1"/>
  <c r="P983" i="1"/>
  <c r="I983" i="1"/>
  <c r="J983" i="1"/>
  <c r="K983" i="1"/>
  <c r="L983" i="1"/>
  <c r="Q982" i="1"/>
  <c r="R982" i="1"/>
  <c r="S982" i="1"/>
  <c r="T982" i="1"/>
  <c r="M982" i="1"/>
  <c r="P982" i="1"/>
  <c r="I982" i="1"/>
  <c r="J982" i="1"/>
  <c r="K982" i="1"/>
  <c r="L982" i="1"/>
  <c r="Q981" i="1"/>
  <c r="R981" i="1"/>
  <c r="S981" i="1"/>
  <c r="T981" i="1"/>
  <c r="M981" i="1"/>
  <c r="P981" i="1"/>
  <c r="I981" i="1"/>
  <c r="J981" i="1"/>
  <c r="K981" i="1"/>
  <c r="L981" i="1"/>
  <c r="Q980" i="1"/>
  <c r="R980" i="1"/>
  <c r="S980" i="1"/>
  <c r="T980" i="1"/>
  <c r="M980" i="1"/>
  <c r="P980" i="1"/>
  <c r="I980" i="1"/>
  <c r="J980" i="1"/>
  <c r="K980" i="1"/>
  <c r="L980" i="1"/>
  <c r="Q979" i="1"/>
  <c r="R979" i="1"/>
  <c r="S979" i="1"/>
  <c r="T979" i="1"/>
  <c r="M979" i="1"/>
  <c r="P979" i="1"/>
  <c r="I979" i="1"/>
  <c r="J979" i="1"/>
  <c r="K979" i="1"/>
  <c r="L979" i="1"/>
  <c r="Q978" i="1"/>
  <c r="R978" i="1"/>
  <c r="S978" i="1"/>
  <c r="T978" i="1"/>
  <c r="M978" i="1"/>
  <c r="P978" i="1"/>
  <c r="I978" i="1"/>
  <c r="J978" i="1"/>
  <c r="K978" i="1"/>
  <c r="L978" i="1"/>
  <c r="Q977" i="1"/>
  <c r="R977" i="1"/>
  <c r="S977" i="1"/>
  <c r="T977" i="1"/>
  <c r="M977" i="1"/>
  <c r="P977" i="1"/>
  <c r="I977" i="1"/>
  <c r="J977" i="1"/>
  <c r="K977" i="1"/>
  <c r="L977" i="1"/>
  <c r="Q976" i="1"/>
  <c r="R976" i="1"/>
  <c r="S976" i="1"/>
  <c r="T976" i="1"/>
  <c r="M976" i="1"/>
  <c r="P976" i="1"/>
  <c r="I976" i="1"/>
  <c r="J976" i="1"/>
  <c r="K976" i="1"/>
  <c r="L976" i="1"/>
  <c r="Q975" i="1"/>
  <c r="R975" i="1"/>
  <c r="S975" i="1"/>
  <c r="T975" i="1"/>
  <c r="M975" i="1"/>
  <c r="P975" i="1"/>
  <c r="I975" i="1"/>
  <c r="J975" i="1"/>
  <c r="K975" i="1"/>
  <c r="L975" i="1"/>
  <c r="Q974" i="1"/>
  <c r="R974" i="1"/>
  <c r="S974" i="1"/>
  <c r="T974" i="1"/>
  <c r="M974" i="1"/>
  <c r="P974" i="1"/>
  <c r="I974" i="1"/>
  <c r="J974" i="1"/>
  <c r="K974" i="1"/>
  <c r="L974" i="1"/>
  <c r="Q973" i="1"/>
  <c r="R973" i="1"/>
  <c r="S973" i="1"/>
  <c r="T973" i="1"/>
  <c r="M973" i="1"/>
  <c r="P973" i="1"/>
  <c r="I973" i="1"/>
  <c r="J973" i="1"/>
  <c r="K973" i="1"/>
  <c r="L973" i="1"/>
  <c r="Q972" i="1"/>
  <c r="R972" i="1"/>
  <c r="S972" i="1"/>
  <c r="T972" i="1"/>
  <c r="M972" i="1"/>
  <c r="P972" i="1"/>
  <c r="I972" i="1"/>
  <c r="J972" i="1"/>
  <c r="K972" i="1"/>
  <c r="L972" i="1"/>
  <c r="Q971" i="1"/>
  <c r="R971" i="1"/>
  <c r="S971" i="1"/>
  <c r="T971" i="1"/>
  <c r="M971" i="1"/>
  <c r="P971" i="1"/>
  <c r="I971" i="1"/>
  <c r="J971" i="1"/>
  <c r="K971" i="1"/>
  <c r="L971" i="1"/>
  <c r="Q970" i="1"/>
  <c r="R970" i="1"/>
  <c r="S970" i="1"/>
  <c r="T970" i="1"/>
  <c r="M970" i="1"/>
  <c r="P970" i="1"/>
  <c r="I970" i="1"/>
  <c r="J970" i="1"/>
  <c r="K970" i="1"/>
  <c r="L970" i="1"/>
  <c r="Q969" i="1"/>
  <c r="R969" i="1"/>
  <c r="S969" i="1"/>
  <c r="T969" i="1"/>
  <c r="M969" i="1"/>
  <c r="P969" i="1"/>
  <c r="I969" i="1"/>
  <c r="J969" i="1"/>
  <c r="K969" i="1"/>
  <c r="L969" i="1"/>
  <c r="Q968" i="1"/>
  <c r="R968" i="1"/>
  <c r="S968" i="1"/>
  <c r="T968" i="1"/>
  <c r="M968" i="1"/>
  <c r="P968" i="1"/>
  <c r="I968" i="1"/>
  <c r="J968" i="1"/>
  <c r="K968" i="1"/>
  <c r="L968" i="1"/>
  <c r="Q967" i="1"/>
  <c r="R967" i="1"/>
  <c r="S967" i="1"/>
  <c r="T967" i="1"/>
  <c r="M967" i="1"/>
  <c r="P967" i="1"/>
  <c r="I967" i="1"/>
  <c r="J967" i="1"/>
  <c r="K967" i="1"/>
  <c r="L967" i="1"/>
  <c r="Q966" i="1"/>
  <c r="R966" i="1"/>
  <c r="S966" i="1"/>
  <c r="T966" i="1"/>
  <c r="M966" i="1"/>
  <c r="P966" i="1"/>
  <c r="I966" i="1"/>
  <c r="J966" i="1"/>
  <c r="K966" i="1"/>
  <c r="L966" i="1"/>
  <c r="Q965" i="1"/>
  <c r="R965" i="1"/>
  <c r="S965" i="1"/>
  <c r="T965" i="1"/>
  <c r="M965" i="1"/>
  <c r="P965" i="1"/>
  <c r="I965" i="1"/>
  <c r="J965" i="1"/>
  <c r="K965" i="1"/>
  <c r="L965" i="1"/>
  <c r="Q964" i="1"/>
  <c r="R964" i="1"/>
  <c r="S964" i="1"/>
  <c r="T964" i="1"/>
  <c r="M964" i="1"/>
  <c r="P964" i="1"/>
  <c r="I964" i="1"/>
  <c r="J964" i="1"/>
  <c r="K964" i="1"/>
  <c r="L964" i="1"/>
  <c r="Q963" i="1"/>
  <c r="R963" i="1"/>
  <c r="S963" i="1"/>
  <c r="T963" i="1"/>
  <c r="M963" i="1"/>
  <c r="P963" i="1"/>
  <c r="I963" i="1"/>
  <c r="J963" i="1"/>
  <c r="K963" i="1"/>
  <c r="L963" i="1"/>
  <c r="Q962" i="1"/>
  <c r="R962" i="1"/>
  <c r="S962" i="1"/>
  <c r="T962" i="1"/>
  <c r="M962" i="1"/>
  <c r="P962" i="1"/>
  <c r="I962" i="1"/>
  <c r="J962" i="1"/>
  <c r="K962" i="1"/>
  <c r="L962" i="1"/>
  <c r="Q961" i="1"/>
  <c r="R961" i="1"/>
  <c r="S961" i="1"/>
  <c r="T961" i="1"/>
  <c r="M961" i="1"/>
  <c r="P961" i="1"/>
  <c r="I961" i="1"/>
  <c r="J961" i="1"/>
  <c r="K961" i="1"/>
  <c r="L961" i="1"/>
  <c r="Q960" i="1"/>
  <c r="R960" i="1"/>
  <c r="S960" i="1"/>
  <c r="T960" i="1"/>
  <c r="M960" i="1"/>
  <c r="P960" i="1"/>
  <c r="I960" i="1"/>
  <c r="J960" i="1"/>
  <c r="K960" i="1"/>
  <c r="L960" i="1"/>
  <c r="Q959" i="1"/>
  <c r="R959" i="1"/>
  <c r="S959" i="1"/>
  <c r="T959" i="1"/>
  <c r="M959" i="1"/>
  <c r="P959" i="1"/>
  <c r="I959" i="1"/>
  <c r="J959" i="1"/>
  <c r="K959" i="1"/>
  <c r="L959" i="1"/>
  <c r="Q958" i="1"/>
  <c r="R958" i="1"/>
  <c r="S958" i="1"/>
  <c r="T958" i="1"/>
  <c r="M958" i="1"/>
  <c r="P958" i="1"/>
  <c r="I958" i="1"/>
  <c r="J958" i="1"/>
  <c r="K958" i="1"/>
  <c r="L958" i="1"/>
  <c r="Q957" i="1"/>
  <c r="R957" i="1"/>
  <c r="S957" i="1"/>
  <c r="T957" i="1"/>
  <c r="M957" i="1"/>
  <c r="P957" i="1"/>
  <c r="I957" i="1"/>
  <c r="J957" i="1"/>
  <c r="K957" i="1"/>
  <c r="L957" i="1"/>
  <c r="Q956" i="1"/>
  <c r="R956" i="1"/>
  <c r="S956" i="1"/>
  <c r="T956" i="1"/>
  <c r="M956" i="1"/>
  <c r="P956" i="1"/>
  <c r="I956" i="1"/>
  <c r="J956" i="1"/>
  <c r="K956" i="1"/>
  <c r="L956" i="1"/>
  <c r="Q955" i="1"/>
  <c r="R955" i="1"/>
  <c r="S955" i="1"/>
  <c r="T955" i="1"/>
  <c r="M955" i="1"/>
  <c r="P955" i="1"/>
  <c r="I955" i="1"/>
  <c r="J955" i="1"/>
  <c r="K955" i="1"/>
  <c r="L955" i="1"/>
  <c r="Q954" i="1"/>
  <c r="R954" i="1"/>
  <c r="S954" i="1"/>
  <c r="T954" i="1"/>
  <c r="M954" i="1"/>
  <c r="P954" i="1"/>
  <c r="I954" i="1"/>
  <c r="J954" i="1"/>
  <c r="K954" i="1"/>
  <c r="L954" i="1"/>
  <c r="Q953" i="1"/>
  <c r="R953" i="1"/>
  <c r="S953" i="1"/>
  <c r="T953" i="1"/>
  <c r="M953" i="1"/>
  <c r="P953" i="1"/>
  <c r="I953" i="1"/>
  <c r="J953" i="1"/>
  <c r="K953" i="1"/>
  <c r="L953" i="1"/>
  <c r="Q952" i="1"/>
  <c r="R952" i="1"/>
  <c r="S952" i="1"/>
  <c r="T952" i="1"/>
  <c r="M952" i="1"/>
  <c r="P952" i="1"/>
  <c r="I952" i="1"/>
  <c r="J952" i="1"/>
  <c r="K952" i="1"/>
  <c r="L952" i="1"/>
  <c r="Q951" i="1"/>
  <c r="R951" i="1"/>
  <c r="S951" i="1"/>
  <c r="T951" i="1"/>
  <c r="M951" i="1"/>
  <c r="P951" i="1"/>
  <c r="I951" i="1"/>
  <c r="J951" i="1"/>
  <c r="K951" i="1"/>
  <c r="L951" i="1"/>
  <c r="Q950" i="1"/>
  <c r="R950" i="1"/>
  <c r="S950" i="1"/>
  <c r="T950" i="1"/>
  <c r="M950" i="1"/>
  <c r="P950" i="1"/>
  <c r="I950" i="1"/>
  <c r="J950" i="1"/>
  <c r="K950" i="1"/>
  <c r="L950" i="1"/>
  <c r="Q949" i="1"/>
  <c r="R949" i="1"/>
  <c r="S949" i="1"/>
  <c r="T949" i="1"/>
  <c r="M949" i="1"/>
  <c r="P949" i="1"/>
  <c r="I949" i="1"/>
  <c r="J949" i="1"/>
  <c r="K949" i="1"/>
  <c r="L949" i="1"/>
  <c r="Q948" i="1"/>
  <c r="R948" i="1"/>
  <c r="S948" i="1"/>
  <c r="T948" i="1"/>
  <c r="M948" i="1"/>
  <c r="P948" i="1"/>
  <c r="I948" i="1"/>
  <c r="J948" i="1"/>
  <c r="K948" i="1"/>
  <c r="L948" i="1"/>
  <c r="Q947" i="1"/>
  <c r="R947" i="1"/>
  <c r="S947" i="1"/>
  <c r="T947" i="1"/>
  <c r="M947" i="1"/>
  <c r="P947" i="1"/>
  <c r="I947" i="1"/>
  <c r="J947" i="1"/>
  <c r="K947" i="1"/>
  <c r="L947" i="1"/>
  <c r="Q946" i="1"/>
  <c r="R946" i="1"/>
  <c r="S946" i="1"/>
  <c r="T946" i="1"/>
  <c r="M946" i="1"/>
  <c r="P946" i="1"/>
  <c r="I946" i="1"/>
  <c r="J946" i="1"/>
  <c r="K946" i="1"/>
  <c r="L946" i="1"/>
  <c r="Q945" i="1"/>
  <c r="R945" i="1"/>
  <c r="S945" i="1"/>
  <c r="T945" i="1"/>
  <c r="M945" i="1"/>
  <c r="P945" i="1"/>
  <c r="I945" i="1"/>
  <c r="J945" i="1"/>
  <c r="K945" i="1"/>
  <c r="L945" i="1"/>
  <c r="Q944" i="1"/>
  <c r="R944" i="1"/>
  <c r="S944" i="1"/>
  <c r="T944" i="1"/>
  <c r="M944" i="1"/>
  <c r="P944" i="1"/>
  <c r="I944" i="1"/>
  <c r="J944" i="1"/>
  <c r="K944" i="1"/>
  <c r="L944" i="1"/>
  <c r="Q943" i="1"/>
  <c r="R943" i="1"/>
  <c r="S943" i="1"/>
  <c r="T943" i="1"/>
  <c r="M943" i="1"/>
  <c r="P943" i="1"/>
  <c r="I943" i="1"/>
  <c r="J943" i="1"/>
  <c r="K943" i="1"/>
  <c r="L943" i="1"/>
  <c r="Q942" i="1"/>
  <c r="R942" i="1"/>
  <c r="S942" i="1"/>
  <c r="T942" i="1"/>
  <c r="M942" i="1"/>
  <c r="P942" i="1"/>
  <c r="I942" i="1"/>
  <c r="J942" i="1"/>
  <c r="K942" i="1"/>
  <c r="L942" i="1"/>
  <c r="Q941" i="1"/>
  <c r="R941" i="1"/>
  <c r="S941" i="1"/>
  <c r="T941" i="1"/>
  <c r="M941" i="1"/>
  <c r="P941" i="1"/>
  <c r="I941" i="1"/>
  <c r="J941" i="1"/>
  <c r="K941" i="1"/>
  <c r="L941" i="1"/>
  <c r="Q940" i="1"/>
  <c r="R940" i="1"/>
  <c r="S940" i="1"/>
  <c r="T940" i="1"/>
  <c r="M940" i="1"/>
  <c r="P940" i="1"/>
  <c r="I940" i="1"/>
  <c r="J940" i="1"/>
  <c r="K940" i="1"/>
  <c r="L940" i="1"/>
  <c r="Q939" i="1"/>
  <c r="R939" i="1"/>
  <c r="S939" i="1"/>
  <c r="T939" i="1"/>
  <c r="M939" i="1"/>
  <c r="P939" i="1"/>
  <c r="I939" i="1"/>
  <c r="J939" i="1"/>
  <c r="K939" i="1"/>
  <c r="L939" i="1"/>
  <c r="Q938" i="1"/>
  <c r="R938" i="1"/>
  <c r="S938" i="1"/>
  <c r="T938" i="1"/>
  <c r="M938" i="1"/>
  <c r="P938" i="1"/>
  <c r="I938" i="1"/>
  <c r="J938" i="1"/>
  <c r="K938" i="1"/>
  <c r="L938" i="1"/>
  <c r="Q937" i="1"/>
  <c r="R937" i="1"/>
  <c r="S937" i="1"/>
  <c r="T937" i="1"/>
  <c r="M937" i="1"/>
  <c r="P937" i="1"/>
  <c r="I937" i="1"/>
  <c r="J937" i="1"/>
  <c r="K937" i="1"/>
  <c r="L937" i="1"/>
  <c r="Q936" i="1"/>
  <c r="R936" i="1"/>
  <c r="S936" i="1"/>
  <c r="T936" i="1"/>
  <c r="M936" i="1"/>
  <c r="P936" i="1"/>
  <c r="I936" i="1"/>
  <c r="J936" i="1"/>
  <c r="K936" i="1"/>
  <c r="L936" i="1"/>
  <c r="Q935" i="1"/>
  <c r="R935" i="1"/>
  <c r="S935" i="1"/>
  <c r="T935" i="1"/>
  <c r="M935" i="1"/>
  <c r="P935" i="1"/>
  <c r="I935" i="1"/>
  <c r="J935" i="1"/>
  <c r="K935" i="1"/>
  <c r="L935" i="1"/>
  <c r="Q934" i="1"/>
  <c r="R934" i="1"/>
  <c r="S934" i="1"/>
  <c r="T934" i="1"/>
  <c r="M934" i="1"/>
  <c r="P934" i="1"/>
  <c r="I934" i="1"/>
  <c r="J934" i="1"/>
  <c r="K934" i="1"/>
  <c r="L934" i="1"/>
  <c r="Q933" i="1"/>
  <c r="R933" i="1"/>
  <c r="S933" i="1"/>
  <c r="T933" i="1"/>
  <c r="M933" i="1"/>
  <c r="P933" i="1"/>
  <c r="I933" i="1"/>
  <c r="J933" i="1"/>
  <c r="K933" i="1"/>
  <c r="L933" i="1"/>
  <c r="Q932" i="1"/>
  <c r="R932" i="1"/>
  <c r="S932" i="1"/>
  <c r="T932" i="1"/>
  <c r="M932" i="1"/>
  <c r="P932" i="1"/>
  <c r="I932" i="1"/>
  <c r="J932" i="1"/>
  <c r="K932" i="1"/>
  <c r="L932" i="1"/>
  <c r="Q931" i="1"/>
  <c r="R931" i="1"/>
  <c r="S931" i="1"/>
  <c r="T931" i="1"/>
  <c r="M931" i="1"/>
  <c r="P931" i="1"/>
  <c r="I931" i="1"/>
  <c r="J931" i="1"/>
  <c r="K931" i="1"/>
  <c r="L931" i="1"/>
  <c r="Q930" i="1"/>
  <c r="R930" i="1"/>
  <c r="S930" i="1"/>
  <c r="T930" i="1"/>
  <c r="M930" i="1"/>
  <c r="P930" i="1"/>
  <c r="I930" i="1"/>
  <c r="J930" i="1"/>
  <c r="K930" i="1"/>
  <c r="L930" i="1"/>
  <c r="Q929" i="1"/>
  <c r="R929" i="1"/>
  <c r="S929" i="1"/>
  <c r="T929" i="1"/>
  <c r="M929" i="1"/>
  <c r="P929" i="1"/>
  <c r="I929" i="1"/>
  <c r="J929" i="1"/>
  <c r="K929" i="1"/>
  <c r="L929" i="1"/>
  <c r="Q928" i="1"/>
  <c r="R928" i="1"/>
  <c r="S928" i="1"/>
  <c r="T928" i="1"/>
  <c r="M928" i="1"/>
  <c r="P928" i="1"/>
  <c r="I928" i="1"/>
  <c r="J928" i="1"/>
  <c r="K928" i="1"/>
  <c r="L928" i="1"/>
  <c r="Q927" i="1"/>
  <c r="R927" i="1"/>
  <c r="S927" i="1"/>
  <c r="T927" i="1"/>
  <c r="M927" i="1"/>
  <c r="P927" i="1"/>
  <c r="I927" i="1"/>
  <c r="J927" i="1"/>
  <c r="K927" i="1"/>
  <c r="L927" i="1"/>
  <c r="Q926" i="1"/>
  <c r="R926" i="1"/>
  <c r="S926" i="1"/>
  <c r="T926" i="1"/>
  <c r="M926" i="1"/>
  <c r="P926" i="1"/>
  <c r="I926" i="1"/>
  <c r="J926" i="1"/>
  <c r="K926" i="1"/>
  <c r="L926" i="1"/>
  <c r="Q925" i="1"/>
  <c r="R925" i="1"/>
  <c r="S925" i="1"/>
  <c r="T925" i="1"/>
  <c r="M925" i="1"/>
  <c r="P925" i="1"/>
  <c r="I925" i="1"/>
  <c r="J925" i="1"/>
  <c r="K925" i="1"/>
  <c r="L925" i="1"/>
  <c r="Q924" i="1"/>
  <c r="R924" i="1"/>
  <c r="S924" i="1"/>
  <c r="T924" i="1"/>
  <c r="M924" i="1"/>
  <c r="P924" i="1"/>
  <c r="I924" i="1"/>
  <c r="J924" i="1"/>
  <c r="K924" i="1"/>
  <c r="L924" i="1"/>
  <c r="Q923" i="1"/>
  <c r="R923" i="1"/>
  <c r="S923" i="1"/>
  <c r="T923" i="1"/>
  <c r="M923" i="1"/>
  <c r="P923" i="1"/>
  <c r="I923" i="1"/>
  <c r="J923" i="1"/>
  <c r="K923" i="1"/>
  <c r="L923" i="1"/>
  <c r="Q922" i="1"/>
  <c r="R922" i="1"/>
  <c r="S922" i="1"/>
  <c r="T922" i="1"/>
  <c r="M922" i="1"/>
  <c r="P922" i="1"/>
  <c r="I922" i="1"/>
  <c r="J922" i="1"/>
  <c r="K922" i="1"/>
  <c r="L922" i="1"/>
  <c r="Q921" i="1"/>
  <c r="R921" i="1"/>
  <c r="S921" i="1"/>
  <c r="T921" i="1"/>
  <c r="M921" i="1"/>
  <c r="P921" i="1"/>
  <c r="I921" i="1"/>
  <c r="J921" i="1"/>
  <c r="K921" i="1"/>
  <c r="L921" i="1"/>
  <c r="Q920" i="1"/>
  <c r="R920" i="1"/>
  <c r="S920" i="1"/>
  <c r="T920" i="1"/>
  <c r="M920" i="1"/>
  <c r="P920" i="1"/>
  <c r="I920" i="1"/>
  <c r="J920" i="1"/>
  <c r="K920" i="1"/>
  <c r="L920" i="1"/>
  <c r="Q919" i="1"/>
  <c r="R919" i="1"/>
  <c r="S919" i="1"/>
  <c r="T919" i="1"/>
  <c r="M919" i="1"/>
  <c r="P919" i="1"/>
  <c r="I919" i="1"/>
  <c r="J919" i="1"/>
  <c r="K919" i="1"/>
  <c r="L919" i="1"/>
  <c r="Q918" i="1"/>
  <c r="R918" i="1"/>
  <c r="S918" i="1"/>
  <c r="T918" i="1"/>
  <c r="M918" i="1"/>
  <c r="P918" i="1"/>
  <c r="I918" i="1"/>
  <c r="J918" i="1"/>
  <c r="K918" i="1"/>
  <c r="L918" i="1"/>
  <c r="Q917" i="1"/>
  <c r="R917" i="1"/>
  <c r="S917" i="1"/>
  <c r="T917" i="1"/>
  <c r="M917" i="1"/>
  <c r="P917" i="1"/>
  <c r="I917" i="1"/>
  <c r="J917" i="1"/>
  <c r="K917" i="1"/>
  <c r="L917" i="1"/>
  <c r="Q916" i="1"/>
  <c r="R916" i="1"/>
  <c r="S916" i="1"/>
  <c r="T916" i="1"/>
  <c r="M916" i="1"/>
  <c r="P916" i="1"/>
  <c r="I916" i="1"/>
  <c r="J916" i="1"/>
  <c r="K916" i="1"/>
  <c r="L916" i="1"/>
  <c r="Q915" i="1"/>
  <c r="R915" i="1"/>
  <c r="S915" i="1"/>
  <c r="T915" i="1"/>
  <c r="M915" i="1"/>
  <c r="P915" i="1"/>
  <c r="I915" i="1"/>
  <c r="J915" i="1"/>
  <c r="K915" i="1"/>
  <c r="L915" i="1"/>
  <c r="Q914" i="1"/>
  <c r="R914" i="1"/>
  <c r="S914" i="1"/>
  <c r="T914" i="1"/>
  <c r="M914" i="1"/>
  <c r="P914" i="1"/>
  <c r="I914" i="1"/>
  <c r="J914" i="1"/>
  <c r="K914" i="1"/>
  <c r="L914" i="1"/>
  <c r="Q913" i="1"/>
  <c r="R913" i="1"/>
  <c r="S913" i="1"/>
  <c r="T913" i="1"/>
  <c r="M913" i="1"/>
  <c r="P913" i="1"/>
  <c r="I913" i="1"/>
  <c r="J913" i="1"/>
  <c r="K913" i="1"/>
  <c r="L913" i="1"/>
  <c r="Q912" i="1"/>
  <c r="R912" i="1"/>
  <c r="S912" i="1"/>
  <c r="T912" i="1"/>
  <c r="M912" i="1"/>
  <c r="P912" i="1"/>
  <c r="I912" i="1"/>
  <c r="J912" i="1"/>
  <c r="K912" i="1"/>
  <c r="L912" i="1"/>
  <c r="Q911" i="1"/>
  <c r="R911" i="1"/>
  <c r="S911" i="1"/>
  <c r="T911" i="1"/>
  <c r="M911" i="1"/>
  <c r="P911" i="1"/>
  <c r="I911" i="1"/>
  <c r="J911" i="1"/>
  <c r="K911" i="1"/>
  <c r="L911" i="1"/>
  <c r="Q910" i="1"/>
  <c r="R910" i="1"/>
  <c r="S910" i="1"/>
  <c r="T910" i="1"/>
  <c r="M910" i="1"/>
  <c r="P910" i="1"/>
  <c r="I910" i="1"/>
  <c r="J910" i="1"/>
  <c r="K910" i="1"/>
  <c r="L910" i="1"/>
  <c r="Q909" i="1"/>
  <c r="R909" i="1"/>
  <c r="S909" i="1"/>
  <c r="T909" i="1"/>
  <c r="M909" i="1"/>
  <c r="P909" i="1"/>
  <c r="I909" i="1"/>
  <c r="J909" i="1"/>
  <c r="K909" i="1"/>
  <c r="L909" i="1"/>
  <c r="Q908" i="1"/>
  <c r="R908" i="1"/>
  <c r="S908" i="1"/>
  <c r="T908" i="1"/>
  <c r="M908" i="1"/>
  <c r="P908" i="1"/>
  <c r="I908" i="1"/>
  <c r="J908" i="1"/>
  <c r="K908" i="1"/>
  <c r="L908" i="1"/>
  <c r="Q907" i="1"/>
  <c r="R907" i="1"/>
  <c r="S907" i="1"/>
  <c r="T907" i="1"/>
  <c r="M907" i="1"/>
  <c r="P907" i="1"/>
  <c r="I907" i="1"/>
  <c r="J907" i="1"/>
  <c r="K907" i="1"/>
  <c r="L907" i="1"/>
  <c r="Q906" i="1"/>
  <c r="R906" i="1"/>
  <c r="S906" i="1"/>
  <c r="T906" i="1"/>
  <c r="M906" i="1"/>
  <c r="P906" i="1"/>
  <c r="I906" i="1"/>
  <c r="J906" i="1"/>
  <c r="K906" i="1"/>
  <c r="L906" i="1"/>
  <c r="Q905" i="1"/>
  <c r="R905" i="1"/>
  <c r="S905" i="1"/>
  <c r="T905" i="1"/>
  <c r="M905" i="1"/>
  <c r="P905" i="1"/>
  <c r="I905" i="1"/>
  <c r="J905" i="1"/>
  <c r="K905" i="1"/>
  <c r="L905" i="1"/>
  <c r="Q904" i="1"/>
  <c r="R904" i="1"/>
  <c r="S904" i="1"/>
  <c r="T904" i="1"/>
  <c r="M904" i="1"/>
  <c r="P904" i="1"/>
  <c r="I904" i="1"/>
  <c r="J904" i="1"/>
  <c r="K904" i="1"/>
  <c r="L904" i="1"/>
  <c r="Q903" i="1"/>
  <c r="R903" i="1"/>
  <c r="S903" i="1"/>
  <c r="T903" i="1"/>
  <c r="M903" i="1"/>
  <c r="P903" i="1"/>
  <c r="I903" i="1"/>
  <c r="J903" i="1"/>
  <c r="K903" i="1"/>
  <c r="L903" i="1"/>
  <c r="Q902" i="1"/>
  <c r="R902" i="1"/>
  <c r="S902" i="1"/>
  <c r="T902" i="1"/>
  <c r="M902" i="1"/>
  <c r="P902" i="1"/>
  <c r="I902" i="1"/>
  <c r="J902" i="1"/>
  <c r="K902" i="1"/>
  <c r="L902" i="1"/>
  <c r="Q901" i="1"/>
  <c r="R901" i="1"/>
  <c r="S901" i="1"/>
  <c r="T901" i="1"/>
  <c r="M901" i="1"/>
  <c r="P901" i="1"/>
  <c r="I901" i="1"/>
  <c r="J901" i="1"/>
  <c r="K901" i="1"/>
  <c r="L901" i="1"/>
  <c r="Q900" i="1"/>
  <c r="R900" i="1"/>
  <c r="S900" i="1"/>
  <c r="T900" i="1"/>
  <c r="M900" i="1"/>
  <c r="P900" i="1"/>
  <c r="I900" i="1"/>
  <c r="J900" i="1"/>
  <c r="K900" i="1"/>
  <c r="L900" i="1"/>
  <c r="Q899" i="1"/>
  <c r="R899" i="1"/>
  <c r="S899" i="1"/>
  <c r="T899" i="1"/>
  <c r="M899" i="1"/>
  <c r="P899" i="1"/>
  <c r="I899" i="1"/>
  <c r="J899" i="1"/>
  <c r="K899" i="1"/>
  <c r="L899" i="1"/>
  <c r="Q898" i="1"/>
  <c r="R898" i="1"/>
  <c r="S898" i="1"/>
  <c r="T898" i="1"/>
  <c r="M898" i="1"/>
  <c r="P898" i="1"/>
  <c r="I898" i="1"/>
  <c r="J898" i="1"/>
  <c r="K898" i="1"/>
  <c r="L898" i="1"/>
  <c r="Q897" i="1"/>
  <c r="R897" i="1"/>
  <c r="S897" i="1"/>
  <c r="T897" i="1"/>
  <c r="M897" i="1"/>
  <c r="P897" i="1"/>
  <c r="I897" i="1"/>
  <c r="J897" i="1"/>
  <c r="K897" i="1"/>
  <c r="L897" i="1"/>
  <c r="Q896" i="1"/>
  <c r="R896" i="1"/>
  <c r="S896" i="1"/>
  <c r="T896" i="1"/>
  <c r="M896" i="1"/>
  <c r="P896" i="1"/>
  <c r="I896" i="1"/>
  <c r="J896" i="1"/>
  <c r="K896" i="1"/>
  <c r="L896" i="1"/>
  <c r="Q895" i="1"/>
  <c r="R895" i="1"/>
  <c r="S895" i="1"/>
  <c r="T895" i="1"/>
  <c r="M895" i="1"/>
  <c r="P895" i="1"/>
  <c r="I895" i="1"/>
  <c r="J895" i="1"/>
  <c r="K895" i="1"/>
  <c r="L895" i="1"/>
  <c r="Q894" i="1"/>
  <c r="R894" i="1"/>
  <c r="S894" i="1"/>
  <c r="T894" i="1"/>
  <c r="M894" i="1"/>
  <c r="P894" i="1"/>
  <c r="I894" i="1"/>
  <c r="J894" i="1"/>
  <c r="K894" i="1"/>
  <c r="L894" i="1"/>
  <c r="Q893" i="1"/>
  <c r="R893" i="1"/>
  <c r="S893" i="1"/>
  <c r="T893" i="1"/>
  <c r="M893" i="1"/>
  <c r="P893" i="1"/>
  <c r="I893" i="1"/>
  <c r="J893" i="1"/>
  <c r="K893" i="1"/>
  <c r="L893" i="1"/>
  <c r="Q892" i="1"/>
  <c r="R892" i="1"/>
  <c r="S892" i="1"/>
  <c r="T892" i="1"/>
  <c r="M892" i="1"/>
  <c r="P892" i="1"/>
  <c r="I892" i="1"/>
  <c r="J892" i="1"/>
  <c r="K892" i="1"/>
  <c r="L892" i="1"/>
  <c r="Q891" i="1"/>
  <c r="R891" i="1"/>
  <c r="S891" i="1"/>
  <c r="T891" i="1"/>
  <c r="M891" i="1"/>
  <c r="P891" i="1"/>
  <c r="I891" i="1"/>
  <c r="J891" i="1"/>
  <c r="K891" i="1"/>
  <c r="L891" i="1"/>
  <c r="Q890" i="1"/>
  <c r="R890" i="1"/>
  <c r="S890" i="1"/>
  <c r="T890" i="1"/>
  <c r="M890" i="1"/>
  <c r="P890" i="1"/>
  <c r="I890" i="1"/>
  <c r="J890" i="1"/>
  <c r="K890" i="1"/>
  <c r="L890" i="1"/>
  <c r="Q889" i="1"/>
  <c r="R889" i="1"/>
  <c r="S889" i="1"/>
  <c r="T889" i="1"/>
  <c r="M889" i="1"/>
  <c r="P889" i="1"/>
  <c r="I889" i="1"/>
  <c r="J889" i="1"/>
  <c r="K889" i="1"/>
  <c r="L889" i="1"/>
  <c r="Q888" i="1"/>
  <c r="R888" i="1"/>
  <c r="S888" i="1"/>
  <c r="T888" i="1"/>
  <c r="M888" i="1"/>
  <c r="P888" i="1"/>
  <c r="I888" i="1"/>
  <c r="J888" i="1"/>
  <c r="K888" i="1"/>
  <c r="L888" i="1"/>
  <c r="Q887" i="1"/>
  <c r="R887" i="1"/>
  <c r="S887" i="1"/>
  <c r="T887" i="1"/>
  <c r="M887" i="1"/>
  <c r="P887" i="1"/>
  <c r="I887" i="1"/>
  <c r="J887" i="1"/>
  <c r="K887" i="1"/>
  <c r="L887" i="1"/>
  <c r="Q886" i="1"/>
  <c r="R886" i="1"/>
  <c r="S886" i="1"/>
  <c r="T886" i="1"/>
  <c r="M886" i="1"/>
  <c r="P886" i="1"/>
  <c r="I886" i="1"/>
  <c r="J886" i="1"/>
  <c r="K886" i="1"/>
  <c r="L886" i="1"/>
  <c r="Q885" i="1"/>
  <c r="R885" i="1"/>
  <c r="S885" i="1"/>
  <c r="T885" i="1"/>
  <c r="M885" i="1"/>
  <c r="P885" i="1"/>
  <c r="I885" i="1"/>
  <c r="J885" i="1"/>
  <c r="K885" i="1"/>
  <c r="L885" i="1"/>
  <c r="Q884" i="1"/>
  <c r="R884" i="1"/>
  <c r="S884" i="1"/>
  <c r="T884" i="1"/>
  <c r="M884" i="1"/>
  <c r="P884" i="1"/>
  <c r="I884" i="1"/>
  <c r="J884" i="1"/>
  <c r="K884" i="1"/>
  <c r="L884" i="1"/>
  <c r="Q883" i="1"/>
  <c r="R883" i="1"/>
  <c r="S883" i="1"/>
  <c r="T883" i="1"/>
  <c r="M883" i="1"/>
  <c r="P883" i="1"/>
  <c r="I883" i="1"/>
  <c r="J883" i="1"/>
  <c r="K883" i="1"/>
  <c r="L883" i="1"/>
  <c r="Q882" i="1"/>
  <c r="R882" i="1"/>
  <c r="S882" i="1"/>
  <c r="T882" i="1"/>
  <c r="M882" i="1"/>
  <c r="P882" i="1"/>
  <c r="I882" i="1"/>
  <c r="J882" i="1"/>
  <c r="K882" i="1"/>
  <c r="L882" i="1"/>
  <c r="Q881" i="1"/>
  <c r="R881" i="1"/>
  <c r="S881" i="1"/>
  <c r="T881" i="1"/>
  <c r="M881" i="1"/>
  <c r="P881" i="1"/>
  <c r="I881" i="1"/>
  <c r="J881" i="1"/>
  <c r="K881" i="1"/>
  <c r="L881" i="1"/>
  <c r="Q880" i="1"/>
  <c r="R880" i="1"/>
  <c r="S880" i="1"/>
  <c r="T880" i="1"/>
  <c r="M880" i="1"/>
  <c r="P880" i="1"/>
  <c r="I880" i="1"/>
  <c r="J880" i="1"/>
  <c r="K880" i="1"/>
  <c r="L880" i="1"/>
  <c r="Q879" i="1"/>
  <c r="R879" i="1"/>
  <c r="S879" i="1"/>
  <c r="T879" i="1"/>
  <c r="M879" i="1"/>
  <c r="P879" i="1"/>
  <c r="I879" i="1"/>
  <c r="J879" i="1"/>
  <c r="K879" i="1"/>
  <c r="L879" i="1"/>
  <c r="Q878" i="1"/>
  <c r="R878" i="1"/>
  <c r="S878" i="1"/>
  <c r="T878" i="1"/>
  <c r="M878" i="1"/>
  <c r="P878" i="1"/>
  <c r="I878" i="1"/>
  <c r="J878" i="1"/>
  <c r="K878" i="1"/>
  <c r="L878" i="1"/>
  <c r="Q877" i="1"/>
  <c r="R877" i="1"/>
  <c r="S877" i="1"/>
  <c r="T877" i="1"/>
  <c r="M877" i="1"/>
  <c r="P877" i="1"/>
  <c r="I877" i="1"/>
  <c r="J877" i="1"/>
  <c r="K877" i="1"/>
  <c r="L877" i="1"/>
  <c r="Q876" i="1"/>
  <c r="R876" i="1"/>
  <c r="S876" i="1"/>
  <c r="T876" i="1"/>
  <c r="M876" i="1"/>
  <c r="P876" i="1"/>
  <c r="I876" i="1"/>
  <c r="J876" i="1"/>
  <c r="K876" i="1"/>
  <c r="L876" i="1"/>
  <c r="Q875" i="1"/>
  <c r="R875" i="1"/>
  <c r="S875" i="1"/>
  <c r="T875" i="1"/>
  <c r="M875" i="1"/>
  <c r="P875" i="1"/>
  <c r="I875" i="1"/>
  <c r="J875" i="1"/>
  <c r="K875" i="1"/>
  <c r="L875" i="1"/>
  <c r="Q874" i="1"/>
  <c r="R874" i="1"/>
  <c r="S874" i="1"/>
  <c r="T874" i="1"/>
  <c r="M874" i="1"/>
  <c r="P874" i="1"/>
  <c r="I874" i="1"/>
  <c r="J874" i="1"/>
  <c r="K874" i="1"/>
  <c r="L874" i="1"/>
  <c r="Q873" i="1"/>
  <c r="R873" i="1"/>
  <c r="S873" i="1"/>
  <c r="T873" i="1"/>
  <c r="M873" i="1"/>
  <c r="P873" i="1"/>
  <c r="I873" i="1"/>
  <c r="J873" i="1"/>
  <c r="K873" i="1"/>
  <c r="L873" i="1"/>
  <c r="Q872" i="1"/>
  <c r="R872" i="1"/>
  <c r="S872" i="1"/>
  <c r="T872" i="1"/>
  <c r="M872" i="1"/>
  <c r="P872" i="1"/>
  <c r="I872" i="1"/>
  <c r="J872" i="1"/>
  <c r="K872" i="1"/>
  <c r="L872" i="1"/>
  <c r="Q871" i="1"/>
  <c r="R871" i="1"/>
  <c r="S871" i="1"/>
  <c r="T871" i="1"/>
  <c r="M871" i="1"/>
  <c r="P871" i="1"/>
  <c r="I871" i="1"/>
  <c r="J871" i="1"/>
  <c r="K871" i="1"/>
  <c r="L871" i="1"/>
  <c r="Q870" i="1"/>
  <c r="R870" i="1"/>
  <c r="S870" i="1"/>
  <c r="T870" i="1"/>
  <c r="M870" i="1"/>
  <c r="P870" i="1"/>
  <c r="I870" i="1"/>
  <c r="J870" i="1"/>
  <c r="K870" i="1"/>
  <c r="L870" i="1"/>
  <c r="Q869" i="1"/>
  <c r="R869" i="1"/>
  <c r="S869" i="1"/>
  <c r="T869" i="1"/>
  <c r="M869" i="1"/>
  <c r="P869" i="1"/>
  <c r="I869" i="1"/>
  <c r="J869" i="1"/>
  <c r="K869" i="1"/>
  <c r="L869" i="1"/>
  <c r="Q868" i="1"/>
  <c r="R868" i="1"/>
  <c r="S868" i="1"/>
  <c r="T868" i="1"/>
  <c r="M868" i="1"/>
  <c r="P868" i="1"/>
  <c r="I868" i="1"/>
  <c r="J868" i="1"/>
  <c r="K868" i="1"/>
  <c r="L868" i="1"/>
  <c r="Q867" i="1"/>
  <c r="R867" i="1"/>
  <c r="S867" i="1"/>
  <c r="T867" i="1"/>
  <c r="M867" i="1"/>
  <c r="P867" i="1"/>
  <c r="I867" i="1"/>
  <c r="J867" i="1"/>
  <c r="K867" i="1"/>
  <c r="L867" i="1"/>
  <c r="Q866" i="1"/>
  <c r="R866" i="1"/>
  <c r="S866" i="1"/>
  <c r="T866" i="1"/>
  <c r="M866" i="1"/>
  <c r="P866" i="1"/>
  <c r="I866" i="1"/>
  <c r="J866" i="1"/>
  <c r="K866" i="1"/>
  <c r="L866" i="1"/>
  <c r="Q865" i="1"/>
  <c r="R865" i="1"/>
  <c r="S865" i="1"/>
  <c r="T865" i="1"/>
  <c r="M865" i="1"/>
  <c r="P865" i="1"/>
  <c r="I865" i="1"/>
  <c r="J865" i="1"/>
  <c r="K865" i="1"/>
  <c r="L865" i="1"/>
  <c r="Q864" i="1"/>
  <c r="R864" i="1"/>
  <c r="S864" i="1"/>
  <c r="T864" i="1"/>
  <c r="M864" i="1"/>
  <c r="P864" i="1"/>
  <c r="I864" i="1"/>
  <c r="J864" i="1"/>
  <c r="K864" i="1"/>
  <c r="L864" i="1"/>
  <c r="Q863" i="1"/>
  <c r="R863" i="1"/>
  <c r="S863" i="1"/>
  <c r="T863" i="1"/>
  <c r="M863" i="1"/>
  <c r="P863" i="1"/>
  <c r="I863" i="1"/>
  <c r="J863" i="1"/>
  <c r="K863" i="1"/>
  <c r="L863" i="1"/>
  <c r="Q862" i="1"/>
  <c r="R862" i="1"/>
  <c r="S862" i="1"/>
  <c r="T862" i="1"/>
  <c r="M862" i="1"/>
  <c r="P862" i="1"/>
  <c r="I862" i="1"/>
  <c r="J862" i="1"/>
  <c r="K862" i="1"/>
  <c r="L862" i="1"/>
  <c r="Q861" i="1"/>
  <c r="R861" i="1"/>
  <c r="S861" i="1"/>
  <c r="T861" i="1"/>
  <c r="M861" i="1"/>
  <c r="P861" i="1"/>
  <c r="I861" i="1"/>
  <c r="J861" i="1"/>
  <c r="K861" i="1"/>
  <c r="L861" i="1"/>
  <c r="Q860" i="1"/>
  <c r="R860" i="1"/>
  <c r="S860" i="1"/>
  <c r="T860" i="1"/>
  <c r="M860" i="1"/>
  <c r="P860" i="1"/>
  <c r="I860" i="1"/>
  <c r="J860" i="1"/>
  <c r="K860" i="1"/>
  <c r="L860" i="1"/>
  <c r="Q859" i="1"/>
  <c r="R859" i="1"/>
  <c r="S859" i="1"/>
  <c r="T859" i="1"/>
  <c r="M859" i="1"/>
  <c r="P859" i="1"/>
  <c r="I859" i="1"/>
  <c r="J859" i="1"/>
  <c r="K859" i="1"/>
  <c r="L859" i="1"/>
  <c r="Q858" i="1"/>
  <c r="R858" i="1"/>
  <c r="S858" i="1"/>
  <c r="T858" i="1"/>
  <c r="M858" i="1"/>
  <c r="P858" i="1"/>
  <c r="I858" i="1"/>
  <c r="J858" i="1"/>
  <c r="K858" i="1"/>
  <c r="L858" i="1"/>
  <c r="Q857" i="1"/>
  <c r="R857" i="1"/>
  <c r="S857" i="1"/>
  <c r="T857" i="1"/>
  <c r="M857" i="1"/>
  <c r="P857" i="1"/>
  <c r="I857" i="1"/>
  <c r="J857" i="1"/>
  <c r="K857" i="1"/>
  <c r="L857" i="1"/>
  <c r="Q856" i="1"/>
  <c r="R856" i="1"/>
  <c r="S856" i="1"/>
  <c r="T856" i="1"/>
  <c r="M856" i="1"/>
  <c r="P856" i="1"/>
  <c r="I856" i="1"/>
  <c r="J856" i="1"/>
  <c r="K856" i="1"/>
  <c r="L856" i="1"/>
  <c r="Q855" i="1"/>
  <c r="R855" i="1"/>
  <c r="S855" i="1"/>
  <c r="T855" i="1"/>
  <c r="M855" i="1"/>
  <c r="P855" i="1"/>
  <c r="I855" i="1"/>
  <c r="J855" i="1"/>
  <c r="K855" i="1"/>
  <c r="L855" i="1"/>
  <c r="Q854" i="1"/>
  <c r="R854" i="1"/>
  <c r="S854" i="1"/>
  <c r="T854" i="1"/>
  <c r="M854" i="1"/>
  <c r="P854" i="1"/>
  <c r="I854" i="1"/>
  <c r="J854" i="1"/>
  <c r="K854" i="1"/>
  <c r="L854" i="1"/>
  <c r="Q853" i="1"/>
  <c r="R853" i="1"/>
  <c r="S853" i="1"/>
  <c r="T853" i="1"/>
  <c r="M853" i="1"/>
  <c r="P853" i="1"/>
  <c r="I853" i="1"/>
  <c r="J853" i="1"/>
  <c r="K853" i="1"/>
  <c r="L853" i="1"/>
  <c r="Q852" i="1"/>
  <c r="R852" i="1"/>
  <c r="S852" i="1"/>
  <c r="T852" i="1"/>
  <c r="M852" i="1"/>
  <c r="P852" i="1"/>
  <c r="I852" i="1"/>
  <c r="J852" i="1"/>
  <c r="K852" i="1"/>
  <c r="L852" i="1"/>
  <c r="Q851" i="1"/>
  <c r="R851" i="1"/>
  <c r="S851" i="1"/>
  <c r="T851" i="1"/>
  <c r="M851" i="1"/>
  <c r="P851" i="1"/>
  <c r="I851" i="1"/>
  <c r="J851" i="1"/>
  <c r="K851" i="1"/>
  <c r="L851" i="1"/>
  <c r="Q850" i="1"/>
  <c r="R850" i="1"/>
  <c r="S850" i="1"/>
  <c r="T850" i="1"/>
  <c r="M850" i="1"/>
  <c r="P850" i="1"/>
  <c r="I850" i="1"/>
  <c r="J850" i="1"/>
  <c r="K850" i="1"/>
  <c r="L850" i="1"/>
  <c r="Q849" i="1"/>
  <c r="R849" i="1"/>
  <c r="S849" i="1"/>
  <c r="T849" i="1"/>
  <c r="M849" i="1"/>
  <c r="P849" i="1"/>
  <c r="I849" i="1"/>
  <c r="J849" i="1"/>
  <c r="K849" i="1"/>
  <c r="L849" i="1"/>
  <c r="Q848" i="1"/>
  <c r="R848" i="1"/>
  <c r="S848" i="1"/>
  <c r="T848" i="1"/>
  <c r="M848" i="1"/>
  <c r="P848" i="1"/>
  <c r="I848" i="1"/>
  <c r="J848" i="1"/>
  <c r="K848" i="1"/>
  <c r="L848" i="1"/>
  <c r="Q847" i="1"/>
  <c r="R847" i="1"/>
  <c r="S847" i="1"/>
  <c r="T847" i="1"/>
  <c r="M847" i="1"/>
  <c r="P847" i="1"/>
  <c r="I847" i="1"/>
  <c r="J847" i="1"/>
  <c r="K847" i="1"/>
  <c r="L847" i="1"/>
  <c r="Q846" i="1"/>
  <c r="R846" i="1"/>
  <c r="S846" i="1"/>
  <c r="T846" i="1"/>
  <c r="M846" i="1"/>
  <c r="P846" i="1"/>
  <c r="I846" i="1"/>
  <c r="J846" i="1"/>
  <c r="K846" i="1"/>
  <c r="L846" i="1"/>
  <c r="Q845" i="1"/>
  <c r="R845" i="1"/>
  <c r="S845" i="1"/>
  <c r="T845" i="1"/>
  <c r="M845" i="1"/>
  <c r="P845" i="1"/>
  <c r="I845" i="1"/>
  <c r="J845" i="1"/>
  <c r="K845" i="1"/>
  <c r="L845" i="1"/>
  <c r="Q844" i="1"/>
  <c r="R844" i="1"/>
  <c r="S844" i="1"/>
  <c r="T844" i="1"/>
  <c r="M844" i="1"/>
  <c r="P844" i="1"/>
  <c r="I844" i="1"/>
  <c r="J844" i="1"/>
  <c r="K844" i="1"/>
  <c r="L844" i="1"/>
  <c r="Q843" i="1"/>
  <c r="R843" i="1"/>
  <c r="S843" i="1"/>
  <c r="T843" i="1"/>
  <c r="M843" i="1"/>
  <c r="P843" i="1"/>
  <c r="I843" i="1"/>
  <c r="J843" i="1"/>
  <c r="K843" i="1"/>
  <c r="L843" i="1"/>
  <c r="Q842" i="1"/>
  <c r="R842" i="1"/>
  <c r="S842" i="1"/>
  <c r="T842" i="1"/>
  <c r="M842" i="1"/>
  <c r="P842" i="1"/>
  <c r="I842" i="1"/>
  <c r="J842" i="1"/>
  <c r="K842" i="1"/>
  <c r="L842" i="1"/>
  <c r="Q841" i="1"/>
  <c r="R841" i="1"/>
  <c r="S841" i="1"/>
  <c r="T841" i="1"/>
  <c r="M841" i="1"/>
  <c r="P841" i="1"/>
  <c r="I841" i="1"/>
  <c r="J841" i="1"/>
  <c r="K841" i="1"/>
  <c r="L841" i="1"/>
  <c r="Q840" i="1"/>
  <c r="R840" i="1"/>
  <c r="S840" i="1"/>
  <c r="T840" i="1"/>
  <c r="M840" i="1"/>
  <c r="P840" i="1"/>
  <c r="I840" i="1"/>
  <c r="J840" i="1"/>
  <c r="K840" i="1"/>
  <c r="L840" i="1"/>
  <c r="Q839" i="1"/>
  <c r="R839" i="1"/>
  <c r="S839" i="1"/>
  <c r="T839" i="1"/>
  <c r="M839" i="1"/>
  <c r="P839" i="1"/>
  <c r="I839" i="1"/>
  <c r="J839" i="1"/>
  <c r="K839" i="1"/>
  <c r="L839" i="1"/>
  <c r="Q838" i="1"/>
  <c r="R838" i="1"/>
  <c r="S838" i="1"/>
  <c r="T838" i="1"/>
  <c r="M838" i="1"/>
  <c r="P838" i="1"/>
  <c r="I838" i="1"/>
  <c r="J838" i="1"/>
  <c r="K838" i="1"/>
  <c r="L838" i="1"/>
  <c r="Q837" i="1"/>
  <c r="R837" i="1"/>
  <c r="S837" i="1"/>
  <c r="T837" i="1"/>
  <c r="M837" i="1"/>
  <c r="P837" i="1"/>
  <c r="I837" i="1"/>
  <c r="J837" i="1"/>
  <c r="K837" i="1"/>
  <c r="L837" i="1"/>
  <c r="Q836" i="1"/>
  <c r="R836" i="1"/>
  <c r="S836" i="1"/>
  <c r="T836" i="1"/>
  <c r="M836" i="1"/>
  <c r="P836" i="1"/>
  <c r="I836" i="1"/>
  <c r="J836" i="1"/>
  <c r="K836" i="1"/>
  <c r="L836" i="1"/>
  <c r="Q835" i="1"/>
  <c r="R835" i="1"/>
  <c r="S835" i="1"/>
  <c r="T835" i="1"/>
  <c r="M835" i="1"/>
  <c r="P835" i="1"/>
  <c r="I835" i="1"/>
  <c r="J835" i="1"/>
  <c r="K835" i="1"/>
  <c r="L835" i="1"/>
  <c r="Q834" i="1"/>
  <c r="R834" i="1"/>
  <c r="S834" i="1"/>
  <c r="T834" i="1"/>
  <c r="M834" i="1"/>
  <c r="P834" i="1"/>
  <c r="I834" i="1"/>
  <c r="J834" i="1"/>
  <c r="K834" i="1"/>
  <c r="L834" i="1"/>
  <c r="Q833" i="1"/>
  <c r="R833" i="1"/>
  <c r="S833" i="1"/>
  <c r="T833" i="1"/>
  <c r="M833" i="1"/>
  <c r="P833" i="1"/>
  <c r="I833" i="1"/>
  <c r="J833" i="1"/>
  <c r="K833" i="1"/>
  <c r="L833" i="1"/>
  <c r="Q832" i="1"/>
  <c r="R832" i="1"/>
  <c r="S832" i="1"/>
  <c r="T832" i="1"/>
  <c r="M832" i="1"/>
  <c r="P832" i="1"/>
  <c r="I832" i="1"/>
  <c r="J832" i="1"/>
  <c r="K832" i="1"/>
  <c r="L832" i="1"/>
  <c r="Q831" i="1"/>
  <c r="R831" i="1"/>
  <c r="S831" i="1"/>
  <c r="T831" i="1"/>
  <c r="M831" i="1"/>
  <c r="P831" i="1"/>
  <c r="I831" i="1"/>
  <c r="J831" i="1"/>
  <c r="K831" i="1"/>
  <c r="L831" i="1"/>
  <c r="Q830" i="1"/>
  <c r="R830" i="1"/>
  <c r="S830" i="1"/>
  <c r="T830" i="1"/>
  <c r="M830" i="1"/>
  <c r="P830" i="1"/>
  <c r="I830" i="1"/>
  <c r="J830" i="1"/>
  <c r="K830" i="1"/>
  <c r="L830" i="1"/>
  <c r="Q829" i="1"/>
  <c r="R829" i="1"/>
  <c r="S829" i="1"/>
  <c r="T829" i="1"/>
  <c r="M829" i="1"/>
  <c r="P829" i="1"/>
  <c r="I829" i="1"/>
  <c r="J829" i="1"/>
  <c r="K829" i="1"/>
  <c r="L829" i="1"/>
  <c r="Q828" i="1"/>
  <c r="R828" i="1"/>
  <c r="S828" i="1"/>
  <c r="T828" i="1"/>
  <c r="M828" i="1"/>
  <c r="P828" i="1"/>
  <c r="I828" i="1"/>
  <c r="J828" i="1"/>
  <c r="K828" i="1"/>
  <c r="L828" i="1"/>
  <c r="Q827" i="1"/>
  <c r="R827" i="1"/>
  <c r="S827" i="1"/>
  <c r="T827" i="1"/>
  <c r="M827" i="1"/>
  <c r="P827" i="1"/>
  <c r="I827" i="1"/>
  <c r="J827" i="1"/>
  <c r="K827" i="1"/>
  <c r="L827" i="1"/>
  <c r="Q826" i="1"/>
  <c r="R826" i="1"/>
  <c r="S826" i="1"/>
  <c r="T826" i="1"/>
  <c r="M826" i="1"/>
  <c r="P826" i="1"/>
  <c r="I826" i="1"/>
  <c r="J826" i="1"/>
  <c r="K826" i="1"/>
  <c r="L826" i="1"/>
  <c r="Q825" i="1"/>
  <c r="R825" i="1"/>
  <c r="S825" i="1"/>
  <c r="T825" i="1"/>
  <c r="M825" i="1"/>
  <c r="P825" i="1"/>
  <c r="I825" i="1"/>
  <c r="J825" i="1"/>
  <c r="K825" i="1"/>
  <c r="L825" i="1"/>
  <c r="Q824" i="1"/>
  <c r="R824" i="1"/>
  <c r="S824" i="1"/>
  <c r="T824" i="1"/>
  <c r="M824" i="1"/>
  <c r="P824" i="1"/>
  <c r="I824" i="1"/>
  <c r="J824" i="1"/>
  <c r="K824" i="1"/>
  <c r="L824" i="1"/>
  <c r="Q823" i="1"/>
  <c r="R823" i="1"/>
  <c r="S823" i="1"/>
  <c r="T823" i="1"/>
  <c r="M823" i="1"/>
  <c r="P823" i="1"/>
  <c r="I823" i="1"/>
  <c r="J823" i="1"/>
  <c r="K823" i="1"/>
  <c r="L823" i="1"/>
  <c r="Q822" i="1"/>
  <c r="R822" i="1"/>
  <c r="S822" i="1"/>
  <c r="T822" i="1"/>
  <c r="M822" i="1"/>
  <c r="P822" i="1"/>
  <c r="I822" i="1"/>
  <c r="J822" i="1"/>
  <c r="K822" i="1"/>
  <c r="L822" i="1"/>
  <c r="Q821" i="1"/>
  <c r="R821" i="1"/>
  <c r="S821" i="1"/>
  <c r="T821" i="1"/>
  <c r="M821" i="1"/>
  <c r="P821" i="1"/>
  <c r="I821" i="1"/>
  <c r="J821" i="1"/>
  <c r="K821" i="1"/>
  <c r="L821" i="1"/>
  <c r="Q820" i="1"/>
  <c r="R820" i="1"/>
  <c r="S820" i="1"/>
  <c r="T820" i="1"/>
  <c r="M820" i="1"/>
  <c r="P820" i="1"/>
  <c r="I820" i="1"/>
  <c r="J820" i="1"/>
  <c r="K820" i="1"/>
  <c r="L820" i="1"/>
  <c r="Q819" i="1"/>
  <c r="R819" i="1"/>
  <c r="S819" i="1"/>
  <c r="T819" i="1"/>
  <c r="M819" i="1"/>
  <c r="P819" i="1"/>
  <c r="I819" i="1"/>
  <c r="J819" i="1"/>
  <c r="K819" i="1"/>
  <c r="L819" i="1"/>
  <c r="Q818" i="1"/>
  <c r="R818" i="1"/>
  <c r="S818" i="1"/>
  <c r="T818" i="1"/>
  <c r="M818" i="1"/>
  <c r="P818" i="1"/>
  <c r="I818" i="1"/>
  <c r="J818" i="1"/>
  <c r="K818" i="1"/>
  <c r="L818" i="1"/>
  <c r="Q817" i="1"/>
  <c r="R817" i="1"/>
  <c r="S817" i="1"/>
  <c r="T817" i="1"/>
  <c r="M817" i="1"/>
  <c r="P817" i="1"/>
  <c r="I817" i="1"/>
  <c r="J817" i="1"/>
  <c r="K817" i="1"/>
  <c r="L817" i="1"/>
  <c r="Q816" i="1"/>
  <c r="R816" i="1"/>
  <c r="S816" i="1"/>
  <c r="T816" i="1"/>
  <c r="M816" i="1"/>
  <c r="P816" i="1"/>
  <c r="I816" i="1"/>
  <c r="J816" i="1"/>
  <c r="K816" i="1"/>
  <c r="L816" i="1"/>
  <c r="Q815" i="1"/>
  <c r="R815" i="1"/>
  <c r="S815" i="1"/>
  <c r="T815" i="1"/>
  <c r="M815" i="1"/>
  <c r="P815" i="1"/>
  <c r="I815" i="1"/>
  <c r="J815" i="1"/>
  <c r="K815" i="1"/>
  <c r="L815" i="1"/>
  <c r="Q814" i="1"/>
  <c r="R814" i="1"/>
  <c r="S814" i="1"/>
  <c r="T814" i="1"/>
  <c r="M814" i="1"/>
  <c r="P814" i="1"/>
  <c r="I814" i="1"/>
  <c r="J814" i="1"/>
  <c r="K814" i="1"/>
  <c r="L814" i="1"/>
  <c r="Q813" i="1"/>
  <c r="R813" i="1"/>
  <c r="S813" i="1"/>
  <c r="T813" i="1"/>
  <c r="M813" i="1"/>
  <c r="P813" i="1"/>
  <c r="I813" i="1"/>
  <c r="J813" i="1"/>
  <c r="K813" i="1"/>
  <c r="L813" i="1"/>
  <c r="Q812" i="1"/>
  <c r="R812" i="1"/>
  <c r="S812" i="1"/>
  <c r="T812" i="1"/>
  <c r="M812" i="1"/>
  <c r="P812" i="1"/>
  <c r="I812" i="1"/>
  <c r="J812" i="1"/>
  <c r="K812" i="1"/>
  <c r="L812" i="1"/>
  <c r="Q811" i="1"/>
  <c r="R811" i="1"/>
  <c r="S811" i="1"/>
  <c r="T811" i="1"/>
  <c r="M811" i="1"/>
  <c r="P811" i="1"/>
  <c r="I811" i="1"/>
  <c r="J811" i="1"/>
  <c r="K811" i="1"/>
  <c r="L811" i="1"/>
  <c r="Q810" i="1"/>
  <c r="R810" i="1"/>
  <c r="S810" i="1"/>
  <c r="T810" i="1"/>
  <c r="M810" i="1"/>
  <c r="P810" i="1"/>
  <c r="I810" i="1"/>
  <c r="J810" i="1"/>
  <c r="K810" i="1"/>
  <c r="L810" i="1"/>
  <c r="Q809" i="1"/>
  <c r="R809" i="1"/>
  <c r="S809" i="1"/>
  <c r="T809" i="1"/>
  <c r="M809" i="1"/>
  <c r="P809" i="1"/>
  <c r="I809" i="1"/>
  <c r="J809" i="1"/>
  <c r="K809" i="1"/>
  <c r="L809" i="1"/>
  <c r="Q808" i="1"/>
  <c r="R808" i="1"/>
  <c r="S808" i="1"/>
  <c r="T808" i="1"/>
  <c r="M808" i="1"/>
  <c r="P808" i="1"/>
  <c r="I808" i="1"/>
  <c r="J808" i="1"/>
  <c r="K808" i="1"/>
  <c r="L808" i="1"/>
  <c r="Q807" i="1"/>
  <c r="R807" i="1"/>
  <c r="S807" i="1"/>
  <c r="T807" i="1"/>
  <c r="M807" i="1"/>
  <c r="P807" i="1"/>
  <c r="I807" i="1"/>
  <c r="J807" i="1"/>
  <c r="K807" i="1"/>
  <c r="L807" i="1"/>
  <c r="Q806" i="1"/>
  <c r="R806" i="1"/>
  <c r="S806" i="1"/>
  <c r="T806" i="1"/>
  <c r="M806" i="1"/>
  <c r="P806" i="1"/>
  <c r="I806" i="1"/>
  <c r="J806" i="1"/>
  <c r="K806" i="1"/>
  <c r="L806" i="1"/>
  <c r="Q805" i="1"/>
  <c r="R805" i="1"/>
  <c r="S805" i="1"/>
  <c r="T805" i="1"/>
  <c r="M805" i="1"/>
  <c r="P805" i="1"/>
  <c r="I805" i="1"/>
  <c r="J805" i="1"/>
  <c r="K805" i="1"/>
  <c r="L805" i="1"/>
  <c r="Q804" i="1"/>
  <c r="R804" i="1"/>
  <c r="S804" i="1"/>
  <c r="T804" i="1"/>
  <c r="M804" i="1"/>
  <c r="P804" i="1"/>
  <c r="I804" i="1"/>
  <c r="J804" i="1"/>
  <c r="K804" i="1"/>
  <c r="L804" i="1"/>
  <c r="Q803" i="1"/>
  <c r="R803" i="1"/>
  <c r="S803" i="1"/>
  <c r="T803" i="1"/>
  <c r="M803" i="1"/>
  <c r="P803" i="1"/>
  <c r="I803" i="1"/>
  <c r="J803" i="1"/>
  <c r="K803" i="1"/>
  <c r="L803" i="1"/>
  <c r="Q802" i="1"/>
  <c r="R802" i="1"/>
  <c r="S802" i="1"/>
  <c r="T802" i="1"/>
  <c r="M802" i="1"/>
  <c r="P802" i="1"/>
  <c r="I802" i="1"/>
  <c r="J802" i="1"/>
  <c r="K802" i="1"/>
  <c r="L802" i="1"/>
  <c r="Q801" i="1"/>
  <c r="R801" i="1"/>
  <c r="S801" i="1"/>
  <c r="T801" i="1"/>
  <c r="M801" i="1"/>
  <c r="P801" i="1"/>
  <c r="I801" i="1"/>
  <c r="J801" i="1"/>
  <c r="K801" i="1"/>
  <c r="L801" i="1"/>
  <c r="Q800" i="1"/>
  <c r="R800" i="1"/>
  <c r="S800" i="1"/>
  <c r="T800" i="1"/>
  <c r="M800" i="1"/>
  <c r="P800" i="1"/>
  <c r="I800" i="1"/>
  <c r="J800" i="1"/>
  <c r="K800" i="1"/>
  <c r="L800" i="1"/>
  <c r="Q799" i="1"/>
  <c r="R799" i="1"/>
  <c r="S799" i="1"/>
  <c r="T799" i="1"/>
  <c r="M799" i="1"/>
  <c r="P799" i="1"/>
  <c r="I799" i="1"/>
  <c r="J799" i="1"/>
  <c r="K799" i="1"/>
  <c r="L799" i="1"/>
  <c r="Q798" i="1"/>
  <c r="R798" i="1"/>
  <c r="S798" i="1"/>
  <c r="T798" i="1"/>
  <c r="M798" i="1"/>
  <c r="P798" i="1"/>
  <c r="I798" i="1"/>
  <c r="J798" i="1"/>
  <c r="K798" i="1"/>
  <c r="L798" i="1"/>
  <c r="Q797" i="1"/>
  <c r="R797" i="1"/>
  <c r="S797" i="1"/>
  <c r="T797" i="1"/>
  <c r="M797" i="1"/>
  <c r="P797" i="1"/>
  <c r="I797" i="1"/>
  <c r="J797" i="1"/>
  <c r="K797" i="1"/>
  <c r="L797" i="1"/>
  <c r="Q796" i="1"/>
  <c r="R796" i="1"/>
  <c r="S796" i="1"/>
  <c r="T796" i="1"/>
  <c r="M796" i="1"/>
  <c r="P796" i="1"/>
  <c r="I796" i="1"/>
  <c r="J796" i="1"/>
  <c r="K796" i="1"/>
  <c r="L796" i="1"/>
  <c r="Q795" i="1"/>
  <c r="R795" i="1"/>
  <c r="S795" i="1"/>
  <c r="T795" i="1"/>
  <c r="M795" i="1"/>
  <c r="P795" i="1"/>
  <c r="I795" i="1"/>
  <c r="J795" i="1"/>
  <c r="K795" i="1"/>
  <c r="L795" i="1"/>
  <c r="Q794" i="1"/>
  <c r="R794" i="1"/>
  <c r="S794" i="1"/>
  <c r="T794" i="1"/>
  <c r="M794" i="1"/>
  <c r="P794" i="1"/>
  <c r="I794" i="1"/>
  <c r="J794" i="1"/>
  <c r="K794" i="1"/>
  <c r="L794" i="1"/>
  <c r="Q793" i="1"/>
  <c r="R793" i="1"/>
  <c r="S793" i="1"/>
  <c r="T793" i="1"/>
  <c r="M793" i="1"/>
  <c r="P793" i="1"/>
  <c r="I793" i="1"/>
  <c r="J793" i="1"/>
  <c r="K793" i="1"/>
  <c r="L793" i="1"/>
  <c r="Q792" i="1"/>
  <c r="R792" i="1"/>
  <c r="S792" i="1"/>
  <c r="T792" i="1"/>
  <c r="M792" i="1"/>
  <c r="P792" i="1"/>
  <c r="I792" i="1"/>
  <c r="J792" i="1"/>
  <c r="K792" i="1"/>
  <c r="L792" i="1"/>
  <c r="Q791" i="1"/>
  <c r="R791" i="1"/>
  <c r="S791" i="1"/>
  <c r="T791" i="1"/>
  <c r="M791" i="1"/>
  <c r="P791" i="1"/>
  <c r="I791" i="1"/>
  <c r="J791" i="1"/>
  <c r="K791" i="1"/>
  <c r="L791" i="1"/>
  <c r="Q790" i="1"/>
  <c r="R790" i="1"/>
  <c r="S790" i="1"/>
  <c r="T790" i="1"/>
  <c r="M790" i="1"/>
  <c r="P790" i="1"/>
  <c r="I790" i="1"/>
  <c r="J790" i="1"/>
  <c r="K790" i="1"/>
  <c r="L790" i="1"/>
  <c r="Q789" i="1"/>
  <c r="R789" i="1"/>
  <c r="S789" i="1"/>
  <c r="T789" i="1"/>
  <c r="M789" i="1"/>
  <c r="P789" i="1"/>
  <c r="I789" i="1"/>
  <c r="J789" i="1"/>
  <c r="K789" i="1"/>
  <c r="L789" i="1"/>
  <c r="Q788" i="1"/>
  <c r="R788" i="1"/>
  <c r="S788" i="1"/>
  <c r="T788" i="1"/>
  <c r="M788" i="1"/>
  <c r="P788" i="1"/>
  <c r="I788" i="1"/>
  <c r="J788" i="1"/>
  <c r="K788" i="1"/>
  <c r="L788" i="1"/>
  <c r="Q787" i="1"/>
  <c r="R787" i="1"/>
  <c r="S787" i="1"/>
  <c r="T787" i="1"/>
  <c r="M787" i="1"/>
  <c r="P787" i="1"/>
  <c r="I787" i="1"/>
  <c r="J787" i="1"/>
  <c r="K787" i="1"/>
  <c r="L787" i="1"/>
  <c r="Q786" i="1"/>
  <c r="R786" i="1"/>
  <c r="S786" i="1"/>
  <c r="T786" i="1"/>
  <c r="M786" i="1"/>
  <c r="P786" i="1"/>
  <c r="I786" i="1"/>
  <c r="J786" i="1"/>
  <c r="K786" i="1"/>
  <c r="L786" i="1"/>
  <c r="Q785" i="1"/>
  <c r="R785" i="1"/>
  <c r="S785" i="1"/>
  <c r="T785" i="1"/>
  <c r="M785" i="1"/>
  <c r="P785" i="1"/>
  <c r="I785" i="1"/>
  <c r="J785" i="1"/>
  <c r="K785" i="1"/>
  <c r="L785" i="1"/>
  <c r="Q784" i="1"/>
  <c r="R784" i="1"/>
  <c r="S784" i="1"/>
  <c r="T784" i="1"/>
  <c r="M784" i="1"/>
  <c r="P784" i="1"/>
  <c r="I784" i="1"/>
  <c r="J784" i="1"/>
  <c r="K784" i="1"/>
  <c r="L784" i="1"/>
  <c r="Q783" i="1"/>
  <c r="R783" i="1"/>
  <c r="S783" i="1"/>
  <c r="T783" i="1"/>
  <c r="M783" i="1"/>
  <c r="P783" i="1"/>
  <c r="I783" i="1"/>
  <c r="J783" i="1"/>
  <c r="K783" i="1"/>
  <c r="L783" i="1"/>
  <c r="Q782" i="1"/>
  <c r="R782" i="1"/>
  <c r="S782" i="1"/>
  <c r="T782" i="1"/>
  <c r="M782" i="1"/>
  <c r="P782" i="1"/>
  <c r="I782" i="1"/>
  <c r="J782" i="1"/>
  <c r="K782" i="1"/>
  <c r="L782" i="1"/>
  <c r="Q781" i="1"/>
  <c r="R781" i="1"/>
  <c r="S781" i="1"/>
  <c r="T781" i="1"/>
  <c r="M781" i="1"/>
  <c r="P781" i="1"/>
  <c r="I781" i="1"/>
  <c r="J781" i="1"/>
  <c r="K781" i="1"/>
  <c r="L781" i="1"/>
  <c r="Q780" i="1"/>
  <c r="R780" i="1"/>
  <c r="S780" i="1"/>
  <c r="T780" i="1"/>
  <c r="M780" i="1"/>
  <c r="P780" i="1"/>
  <c r="I780" i="1"/>
  <c r="J780" i="1"/>
  <c r="K780" i="1"/>
  <c r="L780" i="1"/>
  <c r="Q779" i="1"/>
  <c r="R779" i="1"/>
  <c r="S779" i="1"/>
  <c r="T779" i="1"/>
  <c r="M779" i="1"/>
  <c r="P779" i="1"/>
  <c r="I779" i="1"/>
  <c r="J779" i="1"/>
  <c r="K779" i="1"/>
  <c r="L779" i="1"/>
  <c r="Q778" i="1"/>
  <c r="R778" i="1"/>
  <c r="S778" i="1"/>
  <c r="T778" i="1"/>
  <c r="M778" i="1"/>
  <c r="P778" i="1"/>
  <c r="I778" i="1"/>
  <c r="J778" i="1"/>
  <c r="K778" i="1"/>
  <c r="L778" i="1"/>
  <c r="Q777" i="1"/>
  <c r="R777" i="1"/>
  <c r="S777" i="1"/>
  <c r="T777" i="1"/>
  <c r="M777" i="1"/>
  <c r="P777" i="1"/>
  <c r="I777" i="1"/>
  <c r="J777" i="1"/>
  <c r="K777" i="1"/>
  <c r="L777" i="1"/>
  <c r="Q776" i="1"/>
  <c r="R776" i="1"/>
  <c r="S776" i="1"/>
  <c r="T776" i="1"/>
  <c r="M776" i="1"/>
  <c r="P776" i="1"/>
  <c r="I776" i="1"/>
  <c r="J776" i="1"/>
  <c r="K776" i="1"/>
  <c r="L776" i="1"/>
  <c r="Q775" i="1"/>
  <c r="R775" i="1"/>
  <c r="S775" i="1"/>
  <c r="T775" i="1"/>
  <c r="M775" i="1"/>
  <c r="P775" i="1"/>
  <c r="I775" i="1"/>
  <c r="J775" i="1"/>
  <c r="K775" i="1"/>
  <c r="L775" i="1"/>
  <c r="Q774" i="1"/>
  <c r="R774" i="1"/>
  <c r="S774" i="1"/>
  <c r="T774" i="1"/>
  <c r="M774" i="1"/>
  <c r="P774" i="1"/>
  <c r="I774" i="1"/>
  <c r="J774" i="1"/>
  <c r="K774" i="1"/>
  <c r="L774" i="1"/>
  <c r="Q773" i="1"/>
  <c r="R773" i="1"/>
  <c r="S773" i="1"/>
  <c r="T773" i="1"/>
  <c r="M773" i="1"/>
  <c r="P773" i="1"/>
  <c r="I773" i="1"/>
  <c r="J773" i="1"/>
  <c r="K773" i="1"/>
  <c r="L773" i="1"/>
  <c r="Q772" i="1"/>
  <c r="R772" i="1"/>
  <c r="S772" i="1"/>
  <c r="T772" i="1"/>
  <c r="M772" i="1"/>
  <c r="P772" i="1"/>
  <c r="I772" i="1"/>
  <c r="J772" i="1"/>
  <c r="K772" i="1"/>
  <c r="L772" i="1"/>
  <c r="Q771" i="1"/>
  <c r="R771" i="1"/>
  <c r="S771" i="1"/>
  <c r="T771" i="1"/>
  <c r="M771" i="1"/>
  <c r="P771" i="1"/>
  <c r="I771" i="1"/>
  <c r="J771" i="1"/>
  <c r="K771" i="1"/>
  <c r="L771" i="1"/>
  <c r="Q770" i="1"/>
  <c r="R770" i="1"/>
  <c r="S770" i="1"/>
  <c r="T770" i="1"/>
  <c r="M770" i="1"/>
  <c r="P770" i="1"/>
  <c r="I770" i="1"/>
  <c r="J770" i="1"/>
  <c r="K770" i="1"/>
  <c r="L770" i="1"/>
  <c r="Q769" i="1"/>
  <c r="R769" i="1"/>
  <c r="S769" i="1"/>
  <c r="T769" i="1"/>
  <c r="M769" i="1"/>
  <c r="P769" i="1"/>
  <c r="I769" i="1"/>
  <c r="J769" i="1"/>
  <c r="K769" i="1"/>
  <c r="L769" i="1"/>
  <c r="Q768" i="1"/>
  <c r="R768" i="1"/>
  <c r="S768" i="1"/>
  <c r="T768" i="1"/>
  <c r="M768" i="1"/>
  <c r="P768" i="1"/>
  <c r="I768" i="1"/>
  <c r="J768" i="1"/>
  <c r="K768" i="1"/>
  <c r="L768" i="1"/>
  <c r="Q767" i="1"/>
  <c r="R767" i="1"/>
  <c r="S767" i="1"/>
  <c r="T767" i="1"/>
  <c r="M767" i="1"/>
  <c r="P767" i="1"/>
  <c r="I767" i="1"/>
  <c r="J767" i="1"/>
  <c r="K767" i="1"/>
  <c r="L767" i="1"/>
  <c r="Q766" i="1"/>
  <c r="R766" i="1"/>
  <c r="S766" i="1"/>
  <c r="T766" i="1"/>
  <c r="M766" i="1"/>
  <c r="P766" i="1"/>
  <c r="I766" i="1"/>
  <c r="J766" i="1"/>
  <c r="K766" i="1"/>
  <c r="L766" i="1"/>
  <c r="Q765" i="1"/>
  <c r="R765" i="1"/>
  <c r="S765" i="1"/>
  <c r="T765" i="1"/>
  <c r="M765" i="1"/>
  <c r="P765" i="1"/>
  <c r="I765" i="1"/>
  <c r="J765" i="1"/>
  <c r="K765" i="1"/>
  <c r="L765" i="1"/>
  <c r="Q764" i="1"/>
  <c r="R764" i="1"/>
  <c r="S764" i="1"/>
  <c r="T764" i="1"/>
  <c r="M764" i="1"/>
  <c r="P764" i="1"/>
  <c r="I764" i="1"/>
  <c r="J764" i="1"/>
  <c r="K764" i="1"/>
  <c r="L764" i="1"/>
  <c r="Q763" i="1"/>
  <c r="R763" i="1"/>
  <c r="S763" i="1"/>
  <c r="T763" i="1"/>
  <c r="M763" i="1"/>
  <c r="P763" i="1"/>
  <c r="I763" i="1"/>
  <c r="J763" i="1"/>
  <c r="K763" i="1"/>
  <c r="L763" i="1"/>
  <c r="Q762" i="1"/>
  <c r="R762" i="1"/>
  <c r="S762" i="1"/>
  <c r="T762" i="1"/>
  <c r="M762" i="1"/>
  <c r="P762" i="1"/>
  <c r="I762" i="1"/>
  <c r="J762" i="1"/>
  <c r="K762" i="1"/>
  <c r="L762" i="1"/>
  <c r="Q761" i="1"/>
  <c r="R761" i="1"/>
  <c r="S761" i="1"/>
  <c r="T761" i="1"/>
  <c r="M761" i="1"/>
  <c r="P761" i="1"/>
  <c r="I761" i="1"/>
  <c r="J761" i="1"/>
  <c r="K761" i="1"/>
  <c r="L761" i="1"/>
  <c r="Q760" i="1"/>
  <c r="R760" i="1"/>
  <c r="S760" i="1"/>
  <c r="T760" i="1"/>
  <c r="M760" i="1"/>
  <c r="P760" i="1"/>
  <c r="I760" i="1"/>
  <c r="J760" i="1"/>
  <c r="K760" i="1"/>
  <c r="L760" i="1"/>
  <c r="Q759" i="1"/>
  <c r="R759" i="1"/>
  <c r="S759" i="1"/>
  <c r="T759" i="1"/>
  <c r="M759" i="1"/>
  <c r="P759" i="1"/>
  <c r="I759" i="1"/>
  <c r="J759" i="1"/>
  <c r="K759" i="1"/>
  <c r="L759" i="1"/>
  <c r="Q758" i="1"/>
  <c r="R758" i="1"/>
  <c r="S758" i="1"/>
  <c r="T758" i="1"/>
  <c r="M758" i="1"/>
  <c r="P758" i="1"/>
  <c r="I758" i="1"/>
  <c r="J758" i="1"/>
  <c r="K758" i="1"/>
  <c r="L758" i="1"/>
  <c r="Q757" i="1"/>
  <c r="R757" i="1"/>
  <c r="S757" i="1"/>
  <c r="T757" i="1"/>
  <c r="M757" i="1"/>
  <c r="P757" i="1"/>
  <c r="I757" i="1"/>
  <c r="J757" i="1"/>
  <c r="K757" i="1"/>
  <c r="L757" i="1"/>
  <c r="Q756" i="1"/>
  <c r="R756" i="1"/>
  <c r="S756" i="1"/>
  <c r="T756" i="1"/>
  <c r="M756" i="1"/>
  <c r="P756" i="1"/>
  <c r="I756" i="1"/>
  <c r="J756" i="1"/>
  <c r="K756" i="1"/>
  <c r="L756" i="1"/>
  <c r="Q755" i="1"/>
  <c r="R755" i="1"/>
  <c r="S755" i="1"/>
  <c r="T755" i="1"/>
  <c r="M755" i="1"/>
  <c r="P755" i="1"/>
  <c r="I755" i="1"/>
  <c r="J755" i="1"/>
  <c r="K755" i="1"/>
  <c r="L755" i="1"/>
  <c r="Q754" i="1"/>
  <c r="R754" i="1"/>
  <c r="S754" i="1"/>
  <c r="T754" i="1"/>
  <c r="M754" i="1"/>
  <c r="P754" i="1"/>
  <c r="I754" i="1"/>
  <c r="J754" i="1"/>
  <c r="K754" i="1"/>
  <c r="L754" i="1"/>
  <c r="Q753" i="1"/>
  <c r="R753" i="1"/>
  <c r="S753" i="1"/>
  <c r="T753" i="1"/>
  <c r="M753" i="1"/>
  <c r="P753" i="1"/>
  <c r="I753" i="1"/>
  <c r="J753" i="1"/>
  <c r="K753" i="1"/>
  <c r="L753" i="1"/>
  <c r="Q752" i="1"/>
  <c r="R752" i="1"/>
  <c r="S752" i="1"/>
  <c r="T752" i="1"/>
  <c r="M752" i="1"/>
  <c r="P752" i="1"/>
  <c r="I752" i="1"/>
  <c r="J752" i="1"/>
  <c r="K752" i="1"/>
  <c r="L752" i="1"/>
  <c r="Q751" i="1"/>
  <c r="R751" i="1"/>
  <c r="S751" i="1"/>
  <c r="T751" i="1"/>
  <c r="M751" i="1"/>
  <c r="P751" i="1"/>
  <c r="I751" i="1"/>
  <c r="J751" i="1"/>
  <c r="K751" i="1"/>
  <c r="L751" i="1"/>
  <c r="Q750" i="1"/>
  <c r="R750" i="1"/>
  <c r="S750" i="1"/>
  <c r="T750" i="1"/>
  <c r="M750" i="1"/>
  <c r="P750" i="1"/>
  <c r="I750" i="1"/>
  <c r="J750" i="1"/>
  <c r="K750" i="1"/>
  <c r="L750" i="1"/>
  <c r="Q749" i="1"/>
  <c r="R749" i="1"/>
  <c r="S749" i="1"/>
  <c r="T749" i="1"/>
  <c r="M749" i="1"/>
  <c r="P749" i="1"/>
  <c r="I749" i="1"/>
  <c r="J749" i="1"/>
  <c r="K749" i="1"/>
  <c r="L749" i="1"/>
  <c r="Q748" i="1"/>
  <c r="R748" i="1"/>
  <c r="S748" i="1"/>
  <c r="T748" i="1"/>
  <c r="M748" i="1"/>
  <c r="P748" i="1"/>
  <c r="I748" i="1"/>
  <c r="J748" i="1"/>
  <c r="K748" i="1"/>
  <c r="L748" i="1"/>
  <c r="Q747" i="1"/>
  <c r="R747" i="1"/>
  <c r="S747" i="1"/>
  <c r="T747" i="1"/>
  <c r="M747" i="1"/>
  <c r="P747" i="1"/>
  <c r="I747" i="1"/>
  <c r="J747" i="1"/>
  <c r="K747" i="1"/>
  <c r="L747" i="1"/>
  <c r="Q746" i="1"/>
  <c r="R746" i="1"/>
  <c r="S746" i="1"/>
  <c r="T746" i="1"/>
  <c r="M746" i="1"/>
  <c r="P746" i="1"/>
  <c r="I746" i="1"/>
  <c r="J746" i="1"/>
  <c r="K746" i="1"/>
  <c r="L746" i="1"/>
  <c r="Q745" i="1"/>
  <c r="R745" i="1"/>
  <c r="S745" i="1"/>
  <c r="T745" i="1"/>
  <c r="M745" i="1"/>
  <c r="P745" i="1"/>
  <c r="I745" i="1"/>
  <c r="J745" i="1"/>
  <c r="K745" i="1"/>
  <c r="L745" i="1"/>
  <c r="Q744" i="1"/>
  <c r="R744" i="1"/>
  <c r="S744" i="1"/>
  <c r="T744" i="1"/>
  <c r="M744" i="1"/>
  <c r="P744" i="1"/>
  <c r="I744" i="1"/>
  <c r="J744" i="1"/>
  <c r="K744" i="1"/>
  <c r="L744" i="1"/>
  <c r="Q743" i="1"/>
  <c r="R743" i="1"/>
  <c r="S743" i="1"/>
  <c r="T743" i="1"/>
  <c r="M743" i="1"/>
  <c r="P743" i="1"/>
  <c r="I743" i="1"/>
  <c r="J743" i="1"/>
  <c r="K743" i="1"/>
  <c r="L743" i="1"/>
  <c r="Q742" i="1"/>
  <c r="R742" i="1"/>
  <c r="S742" i="1"/>
  <c r="T742" i="1"/>
  <c r="M742" i="1"/>
  <c r="P742" i="1"/>
  <c r="I742" i="1"/>
  <c r="J742" i="1"/>
  <c r="K742" i="1"/>
  <c r="L742" i="1"/>
  <c r="Q741" i="1"/>
  <c r="R741" i="1"/>
  <c r="S741" i="1"/>
  <c r="T741" i="1"/>
  <c r="M741" i="1"/>
  <c r="P741" i="1"/>
  <c r="I741" i="1"/>
  <c r="J741" i="1"/>
  <c r="K741" i="1"/>
  <c r="L741" i="1"/>
  <c r="Q740" i="1"/>
  <c r="R740" i="1"/>
  <c r="S740" i="1"/>
  <c r="T740" i="1"/>
  <c r="M740" i="1"/>
  <c r="P740" i="1"/>
  <c r="I740" i="1"/>
  <c r="J740" i="1"/>
  <c r="K740" i="1"/>
  <c r="L740" i="1"/>
  <c r="Q739" i="1"/>
  <c r="R739" i="1"/>
  <c r="S739" i="1"/>
  <c r="T739" i="1"/>
  <c r="M739" i="1"/>
  <c r="P739" i="1"/>
  <c r="I739" i="1"/>
  <c r="J739" i="1"/>
  <c r="K739" i="1"/>
  <c r="L739" i="1"/>
  <c r="Q738" i="1"/>
  <c r="R738" i="1"/>
  <c r="S738" i="1"/>
  <c r="T738" i="1"/>
  <c r="M738" i="1"/>
  <c r="P738" i="1"/>
  <c r="I738" i="1"/>
  <c r="J738" i="1"/>
  <c r="K738" i="1"/>
  <c r="L738" i="1"/>
  <c r="Q737" i="1"/>
  <c r="R737" i="1"/>
  <c r="S737" i="1"/>
  <c r="T737" i="1"/>
  <c r="M737" i="1"/>
  <c r="P737" i="1"/>
  <c r="I737" i="1"/>
  <c r="J737" i="1"/>
  <c r="K737" i="1"/>
  <c r="L737" i="1"/>
  <c r="Q736" i="1"/>
  <c r="R736" i="1"/>
  <c r="S736" i="1"/>
  <c r="T736" i="1"/>
  <c r="M736" i="1"/>
  <c r="P736" i="1"/>
  <c r="I736" i="1"/>
  <c r="J736" i="1"/>
  <c r="K736" i="1"/>
  <c r="L736" i="1"/>
  <c r="Q735" i="1"/>
  <c r="R735" i="1"/>
  <c r="S735" i="1"/>
  <c r="T735" i="1"/>
  <c r="M735" i="1"/>
  <c r="P735" i="1"/>
  <c r="I735" i="1"/>
  <c r="J735" i="1"/>
  <c r="K735" i="1"/>
  <c r="L735" i="1"/>
  <c r="Q734" i="1"/>
  <c r="R734" i="1"/>
  <c r="S734" i="1"/>
  <c r="T734" i="1"/>
  <c r="M734" i="1"/>
  <c r="P734" i="1"/>
  <c r="I734" i="1"/>
  <c r="J734" i="1"/>
  <c r="K734" i="1"/>
  <c r="L734" i="1"/>
  <c r="Q733" i="1"/>
  <c r="R733" i="1"/>
  <c r="S733" i="1"/>
  <c r="T733" i="1"/>
  <c r="M733" i="1"/>
  <c r="P733" i="1"/>
  <c r="I733" i="1"/>
  <c r="J733" i="1"/>
  <c r="K733" i="1"/>
  <c r="L733" i="1"/>
  <c r="Q732" i="1"/>
  <c r="R732" i="1"/>
  <c r="S732" i="1"/>
  <c r="T732" i="1"/>
  <c r="M732" i="1"/>
  <c r="P732" i="1"/>
  <c r="I732" i="1"/>
  <c r="J732" i="1"/>
  <c r="K732" i="1"/>
  <c r="L732" i="1"/>
  <c r="Q731" i="1"/>
  <c r="R731" i="1"/>
  <c r="S731" i="1"/>
  <c r="T731" i="1"/>
  <c r="M731" i="1"/>
  <c r="P731" i="1"/>
  <c r="I731" i="1"/>
  <c r="J731" i="1"/>
  <c r="K731" i="1"/>
  <c r="L731" i="1"/>
  <c r="Q730" i="1"/>
  <c r="R730" i="1"/>
  <c r="S730" i="1"/>
  <c r="T730" i="1"/>
  <c r="M730" i="1"/>
  <c r="P730" i="1"/>
  <c r="I730" i="1"/>
  <c r="J730" i="1"/>
  <c r="K730" i="1"/>
  <c r="L730" i="1"/>
  <c r="Q729" i="1"/>
  <c r="R729" i="1"/>
  <c r="S729" i="1"/>
  <c r="T729" i="1"/>
  <c r="M729" i="1"/>
  <c r="P729" i="1"/>
  <c r="I729" i="1"/>
  <c r="J729" i="1"/>
  <c r="K729" i="1"/>
  <c r="L729" i="1"/>
  <c r="Q728" i="1"/>
  <c r="R728" i="1"/>
  <c r="S728" i="1"/>
  <c r="T728" i="1"/>
  <c r="M728" i="1"/>
  <c r="P728" i="1"/>
  <c r="I728" i="1"/>
  <c r="J728" i="1"/>
  <c r="K728" i="1"/>
  <c r="L728" i="1"/>
  <c r="Q727" i="1"/>
  <c r="R727" i="1"/>
  <c r="S727" i="1"/>
  <c r="T727" i="1"/>
  <c r="M727" i="1"/>
  <c r="P727" i="1"/>
  <c r="I727" i="1"/>
  <c r="J727" i="1"/>
  <c r="K727" i="1"/>
  <c r="L727" i="1"/>
  <c r="Q726" i="1"/>
  <c r="R726" i="1"/>
  <c r="S726" i="1"/>
  <c r="T726" i="1"/>
  <c r="M726" i="1"/>
  <c r="P726" i="1"/>
  <c r="I726" i="1"/>
  <c r="J726" i="1"/>
  <c r="K726" i="1"/>
  <c r="L726" i="1"/>
  <c r="Q725" i="1"/>
  <c r="R725" i="1"/>
  <c r="S725" i="1"/>
  <c r="T725" i="1"/>
  <c r="M725" i="1"/>
  <c r="P725" i="1"/>
  <c r="I725" i="1"/>
  <c r="J725" i="1"/>
  <c r="K725" i="1"/>
  <c r="L725" i="1"/>
  <c r="Q724" i="1"/>
  <c r="R724" i="1"/>
  <c r="S724" i="1"/>
  <c r="T724" i="1"/>
  <c r="M724" i="1"/>
  <c r="P724" i="1"/>
  <c r="I724" i="1"/>
  <c r="J724" i="1"/>
  <c r="K724" i="1"/>
  <c r="L724" i="1"/>
  <c r="Q723" i="1"/>
  <c r="R723" i="1"/>
  <c r="S723" i="1"/>
  <c r="T723" i="1"/>
  <c r="M723" i="1"/>
  <c r="P723" i="1"/>
  <c r="I723" i="1"/>
  <c r="J723" i="1"/>
  <c r="K723" i="1"/>
  <c r="L723" i="1"/>
  <c r="Q722" i="1"/>
  <c r="R722" i="1"/>
  <c r="S722" i="1"/>
  <c r="T722" i="1"/>
  <c r="M722" i="1"/>
  <c r="P722" i="1"/>
  <c r="I722" i="1"/>
  <c r="J722" i="1"/>
  <c r="K722" i="1"/>
  <c r="L722" i="1"/>
  <c r="Q721" i="1"/>
  <c r="R721" i="1"/>
  <c r="S721" i="1"/>
  <c r="T721" i="1"/>
  <c r="M721" i="1"/>
  <c r="P721" i="1"/>
  <c r="I721" i="1"/>
  <c r="J721" i="1"/>
  <c r="K721" i="1"/>
  <c r="L721" i="1"/>
  <c r="Q720" i="1"/>
  <c r="R720" i="1"/>
  <c r="S720" i="1"/>
  <c r="T720" i="1"/>
  <c r="M720" i="1"/>
  <c r="P720" i="1"/>
  <c r="I720" i="1"/>
  <c r="J720" i="1"/>
  <c r="K720" i="1"/>
  <c r="L720" i="1"/>
  <c r="Q719" i="1"/>
  <c r="R719" i="1"/>
  <c r="S719" i="1"/>
  <c r="T719" i="1"/>
  <c r="M719" i="1"/>
  <c r="P719" i="1"/>
  <c r="I719" i="1"/>
  <c r="J719" i="1"/>
  <c r="K719" i="1"/>
  <c r="L719" i="1"/>
  <c r="Q718" i="1"/>
  <c r="R718" i="1"/>
  <c r="S718" i="1"/>
  <c r="T718" i="1"/>
  <c r="M718" i="1"/>
  <c r="P718" i="1"/>
  <c r="I718" i="1"/>
  <c r="J718" i="1"/>
  <c r="K718" i="1"/>
  <c r="L718" i="1"/>
  <c r="Q717" i="1"/>
  <c r="R717" i="1"/>
  <c r="S717" i="1"/>
  <c r="T717" i="1"/>
  <c r="M717" i="1"/>
  <c r="P717" i="1"/>
  <c r="I717" i="1"/>
  <c r="J717" i="1"/>
  <c r="K717" i="1"/>
  <c r="L717" i="1"/>
  <c r="Q716" i="1"/>
  <c r="R716" i="1"/>
  <c r="S716" i="1"/>
  <c r="T716" i="1"/>
  <c r="M716" i="1"/>
  <c r="P716" i="1"/>
  <c r="I716" i="1"/>
  <c r="J716" i="1"/>
  <c r="K716" i="1"/>
  <c r="L716" i="1"/>
  <c r="Q715" i="1"/>
  <c r="R715" i="1"/>
  <c r="S715" i="1"/>
  <c r="T715" i="1"/>
  <c r="M715" i="1"/>
  <c r="P715" i="1"/>
  <c r="I715" i="1"/>
  <c r="J715" i="1"/>
  <c r="K715" i="1"/>
  <c r="L715" i="1"/>
  <c r="Q714" i="1"/>
  <c r="R714" i="1"/>
  <c r="S714" i="1"/>
  <c r="T714" i="1"/>
  <c r="M714" i="1"/>
  <c r="P714" i="1"/>
  <c r="I714" i="1"/>
  <c r="J714" i="1"/>
  <c r="K714" i="1"/>
  <c r="L714" i="1"/>
  <c r="Q713" i="1"/>
  <c r="R713" i="1"/>
  <c r="S713" i="1"/>
  <c r="T713" i="1"/>
  <c r="M713" i="1"/>
  <c r="P713" i="1"/>
  <c r="I713" i="1"/>
  <c r="J713" i="1"/>
  <c r="K713" i="1"/>
  <c r="L713" i="1"/>
  <c r="Q712" i="1"/>
  <c r="R712" i="1"/>
  <c r="S712" i="1"/>
  <c r="T712" i="1"/>
  <c r="M712" i="1"/>
  <c r="P712" i="1"/>
  <c r="I712" i="1"/>
  <c r="J712" i="1"/>
  <c r="K712" i="1"/>
  <c r="L712" i="1"/>
  <c r="Q711" i="1"/>
  <c r="R711" i="1"/>
  <c r="S711" i="1"/>
  <c r="T711" i="1"/>
  <c r="M711" i="1"/>
  <c r="P711" i="1"/>
  <c r="I711" i="1"/>
  <c r="J711" i="1"/>
  <c r="K711" i="1"/>
  <c r="L711" i="1"/>
  <c r="Q710" i="1"/>
  <c r="R710" i="1"/>
  <c r="S710" i="1"/>
  <c r="T710" i="1"/>
  <c r="M710" i="1"/>
  <c r="P710" i="1"/>
  <c r="I710" i="1"/>
  <c r="J710" i="1"/>
  <c r="K710" i="1"/>
  <c r="L710" i="1"/>
  <c r="Q709" i="1"/>
  <c r="R709" i="1"/>
  <c r="S709" i="1"/>
  <c r="T709" i="1"/>
  <c r="M709" i="1"/>
  <c r="P709" i="1"/>
  <c r="I709" i="1"/>
  <c r="J709" i="1"/>
  <c r="K709" i="1"/>
  <c r="L709" i="1"/>
  <c r="Q708" i="1"/>
  <c r="R708" i="1"/>
  <c r="S708" i="1"/>
  <c r="T708" i="1"/>
  <c r="M708" i="1"/>
  <c r="P708" i="1"/>
  <c r="I708" i="1"/>
  <c r="J708" i="1"/>
  <c r="K708" i="1"/>
  <c r="L708" i="1"/>
  <c r="Q707" i="1"/>
  <c r="R707" i="1"/>
  <c r="S707" i="1"/>
  <c r="T707" i="1"/>
  <c r="M707" i="1"/>
  <c r="P707" i="1"/>
  <c r="I707" i="1"/>
  <c r="J707" i="1"/>
  <c r="K707" i="1"/>
  <c r="L707" i="1"/>
  <c r="Q706" i="1"/>
  <c r="R706" i="1"/>
  <c r="S706" i="1"/>
  <c r="T706" i="1"/>
  <c r="M706" i="1"/>
  <c r="P706" i="1"/>
  <c r="I706" i="1"/>
  <c r="J706" i="1"/>
  <c r="K706" i="1"/>
  <c r="L706" i="1"/>
  <c r="Q705" i="1"/>
  <c r="R705" i="1"/>
  <c r="S705" i="1"/>
  <c r="T705" i="1"/>
  <c r="M705" i="1"/>
  <c r="P705" i="1"/>
  <c r="I705" i="1"/>
  <c r="J705" i="1"/>
  <c r="K705" i="1"/>
  <c r="L705" i="1"/>
  <c r="Q704" i="1"/>
  <c r="R704" i="1"/>
  <c r="S704" i="1"/>
  <c r="T704" i="1"/>
  <c r="M704" i="1"/>
  <c r="P704" i="1"/>
  <c r="I704" i="1"/>
  <c r="J704" i="1"/>
  <c r="K704" i="1"/>
  <c r="L704" i="1"/>
  <c r="Q703" i="1"/>
  <c r="R703" i="1"/>
  <c r="S703" i="1"/>
  <c r="T703" i="1"/>
  <c r="M703" i="1"/>
  <c r="P703" i="1"/>
  <c r="I703" i="1"/>
  <c r="J703" i="1"/>
  <c r="K703" i="1"/>
  <c r="L703" i="1"/>
  <c r="Q702" i="1"/>
  <c r="R702" i="1"/>
  <c r="S702" i="1"/>
  <c r="T702" i="1"/>
  <c r="M702" i="1"/>
  <c r="P702" i="1"/>
  <c r="I702" i="1"/>
  <c r="J702" i="1"/>
  <c r="K702" i="1"/>
  <c r="L702" i="1"/>
  <c r="Q701" i="1"/>
  <c r="R701" i="1"/>
  <c r="S701" i="1"/>
  <c r="T701" i="1"/>
  <c r="M701" i="1"/>
  <c r="P701" i="1"/>
  <c r="I701" i="1"/>
  <c r="J701" i="1"/>
  <c r="K701" i="1"/>
  <c r="L701" i="1"/>
  <c r="Q700" i="1"/>
  <c r="R700" i="1"/>
  <c r="S700" i="1"/>
  <c r="T700" i="1"/>
  <c r="M700" i="1"/>
  <c r="P700" i="1"/>
  <c r="I700" i="1"/>
  <c r="J700" i="1"/>
  <c r="K700" i="1"/>
  <c r="L700" i="1"/>
  <c r="Q699" i="1"/>
  <c r="R699" i="1"/>
  <c r="S699" i="1"/>
  <c r="T699" i="1"/>
  <c r="M699" i="1"/>
  <c r="P699" i="1"/>
  <c r="I699" i="1"/>
  <c r="J699" i="1"/>
  <c r="K699" i="1"/>
  <c r="L699" i="1"/>
  <c r="Q698" i="1"/>
  <c r="R698" i="1"/>
  <c r="S698" i="1"/>
  <c r="T698" i="1"/>
  <c r="M698" i="1"/>
  <c r="P698" i="1"/>
  <c r="I698" i="1"/>
  <c r="J698" i="1"/>
  <c r="K698" i="1"/>
  <c r="L698" i="1"/>
  <c r="Q697" i="1"/>
  <c r="R697" i="1"/>
  <c r="S697" i="1"/>
  <c r="T697" i="1"/>
  <c r="M697" i="1"/>
  <c r="P697" i="1"/>
  <c r="I697" i="1"/>
  <c r="J697" i="1"/>
  <c r="K697" i="1"/>
  <c r="L697" i="1"/>
  <c r="Q696" i="1"/>
  <c r="R696" i="1"/>
  <c r="S696" i="1"/>
  <c r="T696" i="1"/>
  <c r="M696" i="1"/>
  <c r="P696" i="1"/>
  <c r="I696" i="1"/>
  <c r="J696" i="1"/>
  <c r="K696" i="1"/>
  <c r="L696" i="1"/>
  <c r="Q695" i="1"/>
  <c r="R695" i="1"/>
  <c r="S695" i="1"/>
  <c r="T695" i="1"/>
  <c r="M695" i="1"/>
  <c r="P695" i="1"/>
  <c r="I695" i="1"/>
  <c r="J695" i="1"/>
  <c r="K695" i="1"/>
  <c r="L695" i="1"/>
  <c r="Q694" i="1"/>
  <c r="R694" i="1"/>
  <c r="S694" i="1"/>
  <c r="T694" i="1"/>
  <c r="M694" i="1"/>
  <c r="P694" i="1"/>
  <c r="I694" i="1"/>
  <c r="J694" i="1"/>
  <c r="K694" i="1"/>
  <c r="L694" i="1"/>
  <c r="Q693" i="1"/>
  <c r="R693" i="1"/>
  <c r="S693" i="1"/>
  <c r="T693" i="1"/>
  <c r="M693" i="1"/>
  <c r="P693" i="1"/>
  <c r="I693" i="1"/>
  <c r="J693" i="1"/>
  <c r="K693" i="1"/>
  <c r="L693" i="1"/>
  <c r="Q692" i="1"/>
  <c r="R692" i="1"/>
  <c r="S692" i="1"/>
  <c r="T692" i="1"/>
  <c r="M692" i="1"/>
  <c r="P692" i="1"/>
  <c r="I692" i="1"/>
  <c r="J692" i="1"/>
  <c r="K692" i="1"/>
  <c r="L692" i="1"/>
  <c r="Q691" i="1"/>
  <c r="R691" i="1"/>
  <c r="S691" i="1"/>
  <c r="T691" i="1"/>
  <c r="M691" i="1"/>
  <c r="P691" i="1"/>
  <c r="I691" i="1"/>
  <c r="J691" i="1"/>
  <c r="K691" i="1"/>
  <c r="L691" i="1"/>
  <c r="Q690" i="1"/>
  <c r="R690" i="1"/>
  <c r="S690" i="1"/>
  <c r="T690" i="1"/>
  <c r="M690" i="1"/>
  <c r="P690" i="1"/>
  <c r="I690" i="1"/>
  <c r="J690" i="1"/>
  <c r="K690" i="1"/>
  <c r="L690" i="1"/>
  <c r="Q689" i="1"/>
  <c r="R689" i="1"/>
  <c r="S689" i="1"/>
  <c r="T689" i="1"/>
  <c r="M689" i="1"/>
  <c r="P689" i="1"/>
  <c r="I689" i="1"/>
  <c r="J689" i="1"/>
  <c r="K689" i="1"/>
  <c r="L689" i="1"/>
  <c r="Q688" i="1"/>
  <c r="R688" i="1"/>
  <c r="S688" i="1"/>
  <c r="T688" i="1"/>
  <c r="M688" i="1"/>
  <c r="P688" i="1"/>
  <c r="I688" i="1"/>
  <c r="J688" i="1"/>
  <c r="K688" i="1"/>
  <c r="L688" i="1"/>
  <c r="Q687" i="1"/>
  <c r="R687" i="1"/>
  <c r="S687" i="1"/>
  <c r="T687" i="1"/>
  <c r="M687" i="1"/>
  <c r="P687" i="1"/>
  <c r="I687" i="1"/>
  <c r="J687" i="1"/>
  <c r="K687" i="1"/>
  <c r="L687" i="1"/>
  <c r="Q686" i="1"/>
  <c r="R686" i="1"/>
  <c r="S686" i="1"/>
  <c r="T686" i="1"/>
  <c r="M686" i="1"/>
  <c r="P686" i="1"/>
  <c r="I686" i="1"/>
  <c r="J686" i="1"/>
  <c r="K686" i="1"/>
  <c r="L686" i="1"/>
  <c r="Q685" i="1"/>
  <c r="R685" i="1"/>
  <c r="S685" i="1"/>
  <c r="T685" i="1"/>
  <c r="M685" i="1"/>
  <c r="P685" i="1"/>
  <c r="I685" i="1"/>
  <c r="J685" i="1"/>
  <c r="K685" i="1"/>
  <c r="L685" i="1"/>
  <c r="Q684" i="1"/>
  <c r="R684" i="1"/>
  <c r="S684" i="1"/>
  <c r="T684" i="1"/>
  <c r="M684" i="1"/>
  <c r="P684" i="1"/>
  <c r="I684" i="1"/>
  <c r="J684" i="1"/>
  <c r="K684" i="1"/>
  <c r="L684" i="1"/>
  <c r="Q683" i="1"/>
  <c r="R683" i="1"/>
  <c r="S683" i="1"/>
  <c r="T683" i="1"/>
  <c r="M683" i="1"/>
  <c r="P683" i="1"/>
  <c r="I683" i="1"/>
  <c r="J683" i="1"/>
  <c r="K683" i="1"/>
  <c r="L683" i="1"/>
  <c r="Q682" i="1"/>
  <c r="R682" i="1"/>
  <c r="S682" i="1"/>
  <c r="T682" i="1"/>
  <c r="M682" i="1"/>
  <c r="P682" i="1"/>
  <c r="I682" i="1"/>
  <c r="J682" i="1"/>
  <c r="K682" i="1"/>
  <c r="L682" i="1"/>
  <c r="Q681" i="1"/>
  <c r="R681" i="1"/>
  <c r="S681" i="1"/>
  <c r="T681" i="1"/>
  <c r="M681" i="1"/>
  <c r="P681" i="1"/>
  <c r="I681" i="1"/>
  <c r="J681" i="1"/>
  <c r="K681" i="1"/>
  <c r="L681" i="1"/>
  <c r="Q680" i="1"/>
  <c r="R680" i="1"/>
  <c r="S680" i="1"/>
  <c r="T680" i="1"/>
  <c r="M680" i="1"/>
  <c r="P680" i="1"/>
  <c r="I680" i="1"/>
  <c r="J680" i="1"/>
  <c r="K680" i="1"/>
  <c r="L680" i="1"/>
  <c r="Q679" i="1"/>
  <c r="R679" i="1"/>
  <c r="S679" i="1"/>
  <c r="T679" i="1"/>
  <c r="M679" i="1"/>
  <c r="P679" i="1"/>
  <c r="I679" i="1"/>
  <c r="J679" i="1"/>
  <c r="K679" i="1"/>
  <c r="L679" i="1"/>
  <c r="Q678" i="1"/>
  <c r="R678" i="1"/>
  <c r="S678" i="1"/>
  <c r="T678" i="1"/>
  <c r="M678" i="1"/>
  <c r="P678" i="1"/>
  <c r="I678" i="1"/>
  <c r="J678" i="1"/>
  <c r="K678" i="1"/>
  <c r="L678" i="1"/>
  <c r="Q677" i="1"/>
  <c r="R677" i="1"/>
  <c r="S677" i="1"/>
  <c r="T677" i="1"/>
  <c r="M677" i="1"/>
  <c r="P677" i="1"/>
  <c r="I677" i="1"/>
  <c r="J677" i="1"/>
  <c r="K677" i="1"/>
  <c r="L677" i="1"/>
  <c r="Q676" i="1"/>
  <c r="R676" i="1"/>
  <c r="S676" i="1"/>
  <c r="T676" i="1"/>
  <c r="M676" i="1"/>
  <c r="P676" i="1"/>
  <c r="I676" i="1"/>
  <c r="J676" i="1"/>
  <c r="K676" i="1"/>
  <c r="L676" i="1"/>
  <c r="Q675" i="1"/>
  <c r="R675" i="1"/>
  <c r="S675" i="1"/>
  <c r="T675" i="1"/>
  <c r="M675" i="1"/>
  <c r="P675" i="1"/>
  <c r="I675" i="1"/>
  <c r="J675" i="1"/>
  <c r="K675" i="1"/>
  <c r="L675" i="1"/>
  <c r="Q674" i="1"/>
  <c r="R674" i="1"/>
  <c r="S674" i="1"/>
  <c r="T674" i="1"/>
  <c r="M674" i="1"/>
  <c r="P674" i="1"/>
  <c r="I674" i="1"/>
  <c r="J674" i="1"/>
  <c r="K674" i="1"/>
  <c r="L674" i="1"/>
  <c r="Q673" i="1"/>
  <c r="R673" i="1"/>
  <c r="S673" i="1"/>
  <c r="T673" i="1"/>
  <c r="M673" i="1"/>
  <c r="P673" i="1"/>
  <c r="I673" i="1"/>
  <c r="J673" i="1"/>
  <c r="K673" i="1"/>
  <c r="L673" i="1"/>
  <c r="Q672" i="1"/>
  <c r="R672" i="1"/>
  <c r="S672" i="1"/>
  <c r="T672" i="1"/>
  <c r="M672" i="1"/>
  <c r="P672" i="1"/>
  <c r="I672" i="1"/>
  <c r="J672" i="1"/>
  <c r="K672" i="1"/>
  <c r="L672" i="1"/>
  <c r="Q671" i="1"/>
  <c r="R671" i="1"/>
  <c r="S671" i="1"/>
  <c r="T671" i="1"/>
  <c r="M671" i="1"/>
  <c r="P671" i="1"/>
  <c r="I671" i="1"/>
  <c r="J671" i="1"/>
  <c r="K671" i="1"/>
  <c r="L671" i="1"/>
  <c r="Q670" i="1"/>
  <c r="R670" i="1"/>
  <c r="S670" i="1"/>
  <c r="T670" i="1"/>
  <c r="M670" i="1"/>
  <c r="P670" i="1"/>
  <c r="I670" i="1"/>
  <c r="J670" i="1"/>
  <c r="K670" i="1"/>
  <c r="L670" i="1"/>
  <c r="Q669" i="1"/>
  <c r="R669" i="1"/>
  <c r="S669" i="1"/>
  <c r="T669" i="1"/>
  <c r="M669" i="1"/>
  <c r="P669" i="1"/>
  <c r="I669" i="1"/>
  <c r="J669" i="1"/>
  <c r="K669" i="1"/>
  <c r="L669" i="1"/>
  <c r="Q668" i="1"/>
  <c r="R668" i="1"/>
  <c r="S668" i="1"/>
  <c r="T668" i="1"/>
  <c r="M668" i="1"/>
  <c r="P668" i="1"/>
  <c r="I668" i="1"/>
  <c r="J668" i="1"/>
  <c r="K668" i="1"/>
  <c r="L668" i="1"/>
  <c r="Q667" i="1"/>
  <c r="R667" i="1"/>
  <c r="S667" i="1"/>
  <c r="T667" i="1"/>
  <c r="M667" i="1"/>
  <c r="P667" i="1"/>
  <c r="I667" i="1"/>
  <c r="J667" i="1"/>
  <c r="K667" i="1"/>
  <c r="L667" i="1"/>
  <c r="Q666" i="1"/>
  <c r="R666" i="1"/>
  <c r="S666" i="1"/>
  <c r="T666" i="1"/>
  <c r="M666" i="1"/>
  <c r="P666" i="1"/>
  <c r="I666" i="1"/>
  <c r="J666" i="1"/>
  <c r="K666" i="1"/>
  <c r="L666" i="1"/>
  <c r="Q665" i="1"/>
  <c r="R665" i="1"/>
  <c r="S665" i="1"/>
  <c r="T665" i="1"/>
  <c r="M665" i="1"/>
  <c r="P665" i="1"/>
  <c r="I665" i="1"/>
  <c r="J665" i="1"/>
  <c r="K665" i="1"/>
  <c r="L665" i="1"/>
  <c r="Q664" i="1"/>
  <c r="R664" i="1"/>
  <c r="S664" i="1"/>
  <c r="T664" i="1"/>
  <c r="M664" i="1"/>
  <c r="P664" i="1"/>
  <c r="I664" i="1"/>
  <c r="J664" i="1"/>
  <c r="K664" i="1"/>
  <c r="L664" i="1"/>
  <c r="Q663" i="1"/>
  <c r="R663" i="1"/>
  <c r="S663" i="1"/>
  <c r="T663" i="1"/>
  <c r="M663" i="1"/>
  <c r="P663" i="1"/>
  <c r="I663" i="1"/>
  <c r="J663" i="1"/>
  <c r="K663" i="1"/>
  <c r="L663" i="1"/>
  <c r="Q662" i="1"/>
  <c r="R662" i="1"/>
  <c r="S662" i="1"/>
  <c r="T662" i="1"/>
  <c r="M662" i="1"/>
  <c r="P662" i="1"/>
  <c r="I662" i="1"/>
  <c r="J662" i="1"/>
  <c r="K662" i="1"/>
  <c r="L662" i="1"/>
  <c r="Q661" i="1"/>
  <c r="R661" i="1"/>
  <c r="S661" i="1"/>
  <c r="T661" i="1"/>
  <c r="M661" i="1"/>
  <c r="P661" i="1"/>
  <c r="I661" i="1"/>
  <c r="J661" i="1"/>
  <c r="K661" i="1"/>
  <c r="L661" i="1"/>
  <c r="Q660" i="1"/>
  <c r="R660" i="1"/>
  <c r="S660" i="1"/>
  <c r="T660" i="1"/>
  <c r="M660" i="1"/>
  <c r="P660" i="1"/>
  <c r="I660" i="1"/>
  <c r="J660" i="1"/>
  <c r="K660" i="1"/>
  <c r="L660" i="1"/>
  <c r="Q659" i="1"/>
  <c r="R659" i="1"/>
  <c r="S659" i="1"/>
  <c r="T659" i="1"/>
  <c r="M659" i="1"/>
  <c r="P659" i="1"/>
  <c r="I659" i="1"/>
  <c r="J659" i="1"/>
  <c r="K659" i="1"/>
  <c r="L659" i="1"/>
  <c r="Q658" i="1"/>
  <c r="R658" i="1"/>
  <c r="S658" i="1"/>
  <c r="T658" i="1"/>
  <c r="M658" i="1"/>
  <c r="P658" i="1"/>
  <c r="I658" i="1"/>
  <c r="J658" i="1"/>
  <c r="K658" i="1"/>
  <c r="L658" i="1"/>
  <c r="Q657" i="1"/>
  <c r="R657" i="1"/>
  <c r="S657" i="1"/>
  <c r="T657" i="1"/>
  <c r="M657" i="1"/>
  <c r="P657" i="1"/>
  <c r="I657" i="1"/>
  <c r="J657" i="1"/>
  <c r="K657" i="1"/>
  <c r="L657" i="1"/>
  <c r="Q656" i="1"/>
  <c r="R656" i="1"/>
  <c r="S656" i="1"/>
  <c r="T656" i="1"/>
  <c r="M656" i="1"/>
  <c r="P656" i="1"/>
  <c r="I656" i="1"/>
  <c r="J656" i="1"/>
  <c r="K656" i="1"/>
  <c r="L656" i="1"/>
  <c r="Q655" i="1"/>
  <c r="R655" i="1"/>
  <c r="S655" i="1"/>
  <c r="T655" i="1"/>
  <c r="M655" i="1"/>
  <c r="P655" i="1"/>
  <c r="I655" i="1"/>
  <c r="J655" i="1"/>
  <c r="K655" i="1"/>
  <c r="L655" i="1"/>
  <c r="Q654" i="1"/>
  <c r="R654" i="1"/>
  <c r="S654" i="1"/>
  <c r="T654" i="1"/>
  <c r="M654" i="1"/>
  <c r="P654" i="1"/>
  <c r="I654" i="1"/>
  <c r="J654" i="1"/>
  <c r="K654" i="1"/>
  <c r="L654" i="1"/>
  <c r="Q653" i="1"/>
  <c r="R653" i="1"/>
  <c r="S653" i="1"/>
  <c r="T653" i="1"/>
  <c r="M653" i="1"/>
  <c r="P653" i="1"/>
  <c r="I653" i="1"/>
  <c r="J653" i="1"/>
  <c r="K653" i="1"/>
  <c r="L653" i="1"/>
  <c r="Q652" i="1"/>
  <c r="R652" i="1"/>
  <c r="S652" i="1"/>
  <c r="T652" i="1"/>
  <c r="M652" i="1"/>
  <c r="P652" i="1"/>
  <c r="I652" i="1"/>
  <c r="J652" i="1"/>
  <c r="K652" i="1"/>
  <c r="L652" i="1"/>
  <c r="Q651" i="1"/>
  <c r="R651" i="1"/>
  <c r="S651" i="1"/>
  <c r="T651" i="1"/>
  <c r="M651" i="1"/>
  <c r="P651" i="1"/>
  <c r="I651" i="1"/>
  <c r="J651" i="1"/>
  <c r="K651" i="1"/>
  <c r="L651" i="1"/>
  <c r="Q650" i="1"/>
  <c r="R650" i="1"/>
  <c r="S650" i="1"/>
  <c r="T650" i="1"/>
  <c r="M650" i="1"/>
  <c r="P650" i="1"/>
  <c r="I650" i="1"/>
  <c r="J650" i="1"/>
  <c r="K650" i="1"/>
  <c r="L650" i="1"/>
  <c r="Q649" i="1"/>
  <c r="R649" i="1"/>
  <c r="S649" i="1"/>
  <c r="T649" i="1"/>
  <c r="M649" i="1"/>
  <c r="P649" i="1"/>
  <c r="I649" i="1"/>
  <c r="J649" i="1"/>
  <c r="K649" i="1"/>
  <c r="L649" i="1"/>
  <c r="Q648" i="1"/>
  <c r="R648" i="1"/>
  <c r="S648" i="1"/>
  <c r="T648" i="1"/>
  <c r="M648" i="1"/>
  <c r="P648" i="1"/>
  <c r="I648" i="1"/>
  <c r="J648" i="1"/>
  <c r="K648" i="1"/>
  <c r="L648" i="1"/>
  <c r="Q647" i="1"/>
  <c r="R647" i="1"/>
  <c r="S647" i="1"/>
  <c r="T647" i="1"/>
  <c r="M647" i="1"/>
  <c r="P647" i="1"/>
  <c r="I647" i="1"/>
  <c r="J647" i="1"/>
  <c r="K647" i="1"/>
  <c r="L647" i="1"/>
  <c r="Q646" i="1"/>
  <c r="R646" i="1"/>
  <c r="S646" i="1"/>
  <c r="T646" i="1"/>
  <c r="M646" i="1"/>
  <c r="P646" i="1"/>
  <c r="I646" i="1"/>
  <c r="J646" i="1"/>
  <c r="K646" i="1"/>
  <c r="L646" i="1"/>
  <c r="Q645" i="1"/>
  <c r="R645" i="1"/>
  <c r="S645" i="1"/>
  <c r="T645" i="1"/>
  <c r="M645" i="1"/>
  <c r="P645" i="1"/>
  <c r="I645" i="1"/>
  <c r="J645" i="1"/>
  <c r="K645" i="1"/>
  <c r="L645" i="1"/>
  <c r="Q644" i="1"/>
  <c r="R644" i="1"/>
  <c r="S644" i="1"/>
  <c r="T644" i="1"/>
  <c r="M644" i="1"/>
  <c r="P644" i="1"/>
  <c r="I644" i="1"/>
  <c r="J644" i="1"/>
  <c r="K644" i="1"/>
  <c r="L644" i="1"/>
  <c r="Q643" i="1"/>
  <c r="R643" i="1"/>
  <c r="S643" i="1"/>
  <c r="T643" i="1"/>
  <c r="M643" i="1"/>
  <c r="P643" i="1"/>
  <c r="I643" i="1"/>
  <c r="J643" i="1"/>
  <c r="K643" i="1"/>
  <c r="L643" i="1"/>
  <c r="Q642" i="1"/>
  <c r="R642" i="1"/>
  <c r="S642" i="1"/>
  <c r="T642" i="1"/>
  <c r="M642" i="1"/>
  <c r="P642" i="1"/>
  <c r="I642" i="1"/>
  <c r="J642" i="1"/>
  <c r="K642" i="1"/>
  <c r="L642" i="1"/>
  <c r="Q641" i="1"/>
  <c r="R641" i="1"/>
  <c r="S641" i="1"/>
  <c r="T641" i="1"/>
  <c r="M641" i="1"/>
  <c r="P641" i="1"/>
  <c r="I641" i="1"/>
  <c r="J641" i="1"/>
  <c r="K641" i="1"/>
  <c r="L641" i="1"/>
  <c r="Q640" i="1"/>
  <c r="R640" i="1"/>
  <c r="S640" i="1"/>
  <c r="T640" i="1"/>
  <c r="M640" i="1"/>
  <c r="P640" i="1"/>
  <c r="I640" i="1"/>
  <c r="J640" i="1"/>
  <c r="K640" i="1"/>
  <c r="L640" i="1"/>
  <c r="Q639" i="1"/>
  <c r="R639" i="1"/>
  <c r="S639" i="1"/>
  <c r="T639" i="1"/>
  <c r="M639" i="1"/>
  <c r="P639" i="1"/>
  <c r="I639" i="1"/>
  <c r="J639" i="1"/>
  <c r="K639" i="1"/>
  <c r="L639" i="1"/>
  <c r="Q638" i="1"/>
  <c r="R638" i="1"/>
  <c r="S638" i="1"/>
  <c r="T638" i="1"/>
  <c r="M638" i="1"/>
  <c r="P638" i="1"/>
  <c r="I638" i="1"/>
  <c r="J638" i="1"/>
  <c r="K638" i="1"/>
  <c r="L638" i="1"/>
  <c r="Q637" i="1"/>
  <c r="R637" i="1"/>
  <c r="S637" i="1"/>
  <c r="T637" i="1"/>
  <c r="M637" i="1"/>
  <c r="P637" i="1"/>
  <c r="I637" i="1"/>
  <c r="J637" i="1"/>
  <c r="K637" i="1"/>
  <c r="L637" i="1"/>
  <c r="Q636" i="1"/>
  <c r="R636" i="1"/>
  <c r="S636" i="1"/>
  <c r="T636" i="1"/>
  <c r="M636" i="1"/>
  <c r="P636" i="1"/>
  <c r="I636" i="1"/>
  <c r="J636" i="1"/>
  <c r="K636" i="1"/>
  <c r="L636" i="1"/>
  <c r="Q635" i="1"/>
  <c r="R635" i="1"/>
  <c r="S635" i="1"/>
  <c r="T635" i="1"/>
  <c r="M635" i="1"/>
  <c r="P635" i="1"/>
  <c r="I635" i="1"/>
  <c r="J635" i="1"/>
  <c r="K635" i="1"/>
  <c r="L635" i="1"/>
  <c r="Q634" i="1"/>
  <c r="R634" i="1"/>
  <c r="S634" i="1"/>
  <c r="T634" i="1"/>
  <c r="M634" i="1"/>
  <c r="P634" i="1"/>
  <c r="I634" i="1"/>
  <c r="J634" i="1"/>
  <c r="K634" i="1"/>
  <c r="L634" i="1"/>
  <c r="Q633" i="1"/>
  <c r="R633" i="1"/>
  <c r="S633" i="1"/>
  <c r="T633" i="1"/>
  <c r="M633" i="1"/>
  <c r="P633" i="1"/>
  <c r="I633" i="1"/>
  <c r="J633" i="1"/>
  <c r="K633" i="1"/>
  <c r="L633" i="1"/>
  <c r="Q632" i="1"/>
  <c r="R632" i="1"/>
  <c r="S632" i="1"/>
  <c r="T632" i="1"/>
  <c r="M632" i="1"/>
  <c r="P632" i="1"/>
  <c r="I632" i="1"/>
  <c r="J632" i="1"/>
  <c r="K632" i="1"/>
  <c r="L632" i="1"/>
  <c r="Q631" i="1"/>
  <c r="R631" i="1"/>
  <c r="S631" i="1"/>
  <c r="T631" i="1"/>
  <c r="M631" i="1"/>
  <c r="P631" i="1"/>
  <c r="I631" i="1"/>
  <c r="J631" i="1"/>
  <c r="K631" i="1"/>
  <c r="L631" i="1"/>
  <c r="Q630" i="1"/>
  <c r="R630" i="1"/>
  <c r="S630" i="1"/>
  <c r="T630" i="1"/>
  <c r="M630" i="1"/>
  <c r="P630" i="1"/>
  <c r="I630" i="1"/>
  <c r="J630" i="1"/>
  <c r="K630" i="1"/>
  <c r="L630" i="1"/>
  <c r="Q629" i="1"/>
  <c r="R629" i="1"/>
  <c r="S629" i="1"/>
  <c r="T629" i="1"/>
  <c r="M629" i="1"/>
  <c r="P629" i="1"/>
  <c r="I629" i="1"/>
  <c r="J629" i="1"/>
  <c r="K629" i="1"/>
  <c r="L629" i="1"/>
  <c r="Q628" i="1"/>
  <c r="R628" i="1"/>
  <c r="S628" i="1"/>
  <c r="T628" i="1"/>
  <c r="M628" i="1"/>
  <c r="P628" i="1"/>
  <c r="I628" i="1"/>
  <c r="J628" i="1"/>
  <c r="K628" i="1"/>
  <c r="L628" i="1"/>
  <c r="Q627" i="1"/>
  <c r="R627" i="1"/>
  <c r="S627" i="1"/>
  <c r="T627" i="1"/>
  <c r="M627" i="1"/>
  <c r="P627" i="1"/>
  <c r="I627" i="1"/>
  <c r="J627" i="1"/>
  <c r="K627" i="1"/>
  <c r="L627" i="1"/>
  <c r="Q626" i="1"/>
  <c r="R626" i="1"/>
  <c r="S626" i="1"/>
  <c r="T626" i="1"/>
  <c r="M626" i="1"/>
  <c r="P626" i="1"/>
  <c r="I626" i="1"/>
  <c r="J626" i="1"/>
  <c r="K626" i="1"/>
  <c r="L626" i="1"/>
  <c r="Q625" i="1"/>
  <c r="R625" i="1"/>
  <c r="S625" i="1"/>
  <c r="T625" i="1"/>
  <c r="M625" i="1"/>
  <c r="P625" i="1"/>
  <c r="I625" i="1"/>
  <c r="J625" i="1"/>
  <c r="K625" i="1"/>
  <c r="L625" i="1"/>
  <c r="Q624" i="1"/>
  <c r="R624" i="1"/>
  <c r="S624" i="1"/>
  <c r="T624" i="1"/>
  <c r="M624" i="1"/>
  <c r="P624" i="1"/>
  <c r="I624" i="1"/>
  <c r="J624" i="1"/>
  <c r="K624" i="1"/>
  <c r="L624" i="1"/>
  <c r="Q623" i="1"/>
  <c r="R623" i="1"/>
  <c r="S623" i="1"/>
  <c r="T623" i="1"/>
  <c r="M623" i="1"/>
  <c r="P623" i="1"/>
  <c r="I623" i="1"/>
  <c r="J623" i="1"/>
  <c r="K623" i="1"/>
  <c r="L623" i="1"/>
  <c r="Q622" i="1"/>
  <c r="R622" i="1"/>
  <c r="S622" i="1"/>
  <c r="T622" i="1"/>
  <c r="M622" i="1"/>
  <c r="P622" i="1"/>
  <c r="I622" i="1"/>
  <c r="J622" i="1"/>
  <c r="K622" i="1"/>
  <c r="L622" i="1"/>
  <c r="Q621" i="1"/>
  <c r="R621" i="1"/>
  <c r="S621" i="1"/>
  <c r="T621" i="1"/>
  <c r="M621" i="1"/>
  <c r="P621" i="1"/>
  <c r="I621" i="1"/>
  <c r="J621" i="1"/>
  <c r="K621" i="1"/>
  <c r="L621" i="1"/>
  <c r="Q620" i="1"/>
  <c r="R620" i="1"/>
  <c r="S620" i="1"/>
  <c r="T620" i="1"/>
  <c r="M620" i="1"/>
  <c r="P620" i="1"/>
  <c r="I620" i="1"/>
  <c r="J620" i="1"/>
  <c r="K620" i="1"/>
  <c r="L620" i="1"/>
  <c r="Q619" i="1"/>
  <c r="R619" i="1"/>
  <c r="S619" i="1"/>
  <c r="T619" i="1"/>
  <c r="M619" i="1"/>
  <c r="P619" i="1"/>
  <c r="I619" i="1"/>
  <c r="J619" i="1"/>
  <c r="K619" i="1"/>
  <c r="L619" i="1"/>
  <c r="Q618" i="1"/>
  <c r="R618" i="1"/>
  <c r="S618" i="1"/>
  <c r="T618" i="1"/>
  <c r="M618" i="1"/>
  <c r="P618" i="1"/>
  <c r="I618" i="1"/>
  <c r="J618" i="1"/>
  <c r="K618" i="1"/>
  <c r="L618" i="1"/>
  <c r="Q617" i="1"/>
  <c r="R617" i="1"/>
  <c r="S617" i="1"/>
  <c r="T617" i="1"/>
  <c r="M617" i="1"/>
  <c r="P617" i="1"/>
  <c r="I617" i="1"/>
  <c r="J617" i="1"/>
  <c r="K617" i="1"/>
  <c r="L617" i="1"/>
  <c r="Q616" i="1"/>
  <c r="R616" i="1"/>
  <c r="S616" i="1"/>
  <c r="T616" i="1"/>
  <c r="M616" i="1"/>
  <c r="P616" i="1"/>
  <c r="I616" i="1"/>
  <c r="J616" i="1"/>
  <c r="K616" i="1"/>
  <c r="L616" i="1"/>
  <c r="Q615" i="1"/>
  <c r="R615" i="1"/>
  <c r="S615" i="1"/>
  <c r="T615" i="1"/>
  <c r="M615" i="1"/>
  <c r="P615" i="1"/>
  <c r="I615" i="1"/>
  <c r="J615" i="1"/>
  <c r="K615" i="1"/>
  <c r="L615" i="1"/>
  <c r="Q614" i="1"/>
  <c r="R614" i="1"/>
  <c r="S614" i="1"/>
  <c r="T614" i="1"/>
  <c r="M614" i="1"/>
  <c r="P614" i="1"/>
  <c r="I614" i="1"/>
  <c r="J614" i="1"/>
  <c r="K614" i="1"/>
  <c r="L614" i="1"/>
  <c r="Q613" i="1"/>
  <c r="R613" i="1"/>
  <c r="S613" i="1"/>
  <c r="T613" i="1"/>
  <c r="M613" i="1"/>
  <c r="P613" i="1"/>
  <c r="I613" i="1"/>
  <c r="J613" i="1"/>
  <c r="K613" i="1"/>
  <c r="L613" i="1"/>
  <c r="Q612" i="1"/>
  <c r="R612" i="1"/>
  <c r="S612" i="1"/>
  <c r="T612" i="1"/>
  <c r="M612" i="1"/>
  <c r="P612" i="1"/>
  <c r="I612" i="1"/>
  <c r="J612" i="1"/>
  <c r="K612" i="1"/>
  <c r="L612" i="1"/>
  <c r="Q611" i="1"/>
  <c r="R611" i="1"/>
  <c r="S611" i="1"/>
  <c r="T611" i="1"/>
  <c r="M611" i="1"/>
  <c r="P611" i="1"/>
  <c r="I611" i="1"/>
  <c r="J611" i="1"/>
  <c r="K611" i="1"/>
  <c r="L611" i="1"/>
  <c r="Q610" i="1"/>
  <c r="R610" i="1"/>
  <c r="S610" i="1"/>
  <c r="T610" i="1"/>
  <c r="M610" i="1"/>
  <c r="P610" i="1"/>
  <c r="I610" i="1"/>
  <c r="J610" i="1"/>
  <c r="K610" i="1"/>
  <c r="L610" i="1"/>
  <c r="Q609" i="1"/>
  <c r="R609" i="1"/>
  <c r="S609" i="1"/>
  <c r="T609" i="1"/>
  <c r="M609" i="1"/>
  <c r="P609" i="1"/>
  <c r="I609" i="1"/>
  <c r="J609" i="1"/>
  <c r="K609" i="1"/>
  <c r="L609" i="1"/>
  <c r="Q608" i="1"/>
  <c r="R608" i="1"/>
  <c r="S608" i="1"/>
  <c r="T608" i="1"/>
  <c r="M608" i="1"/>
  <c r="P608" i="1"/>
  <c r="I608" i="1"/>
  <c r="J608" i="1"/>
  <c r="K608" i="1"/>
  <c r="L608" i="1"/>
  <c r="Q607" i="1"/>
  <c r="R607" i="1"/>
  <c r="S607" i="1"/>
  <c r="T607" i="1"/>
  <c r="M607" i="1"/>
  <c r="P607" i="1"/>
  <c r="I607" i="1"/>
  <c r="J607" i="1"/>
  <c r="K607" i="1"/>
  <c r="L607" i="1"/>
  <c r="Q606" i="1"/>
  <c r="R606" i="1"/>
  <c r="S606" i="1"/>
  <c r="T606" i="1"/>
  <c r="M606" i="1"/>
  <c r="P606" i="1"/>
  <c r="I606" i="1"/>
  <c r="J606" i="1"/>
  <c r="K606" i="1"/>
  <c r="L606" i="1"/>
  <c r="Q605" i="1"/>
  <c r="R605" i="1"/>
  <c r="S605" i="1"/>
  <c r="T605" i="1"/>
  <c r="M605" i="1"/>
  <c r="P605" i="1"/>
  <c r="I605" i="1"/>
  <c r="J605" i="1"/>
  <c r="K605" i="1"/>
  <c r="L605" i="1"/>
  <c r="Q604" i="1"/>
  <c r="R604" i="1"/>
  <c r="S604" i="1"/>
  <c r="T604" i="1"/>
  <c r="M604" i="1"/>
  <c r="P604" i="1"/>
  <c r="I604" i="1"/>
  <c r="J604" i="1"/>
  <c r="K604" i="1"/>
  <c r="L604" i="1"/>
  <c r="Q603" i="1"/>
  <c r="R603" i="1"/>
  <c r="S603" i="1"/>
  <c r="T603" i="1"/>
  <c r="M603" i="1"/>
  <c r="P603" i="1"/>
  <c r="I603" i="1"/>
  <c r="J603" i="1"/>
  <c r="K603" i="1"/>
  <c r="L603" i="1"/>
  <c r="Q602" i="1"/>
  <c r="R602" i="1"/>
  <c r="S602" i="1"/>
  <c r="T602" i="1"/>
  <c r="M602" i="1"/>
  <c r="P602" i="1"/>
  <c r="I602" i="1"/>
  <c r="J602" i="1"/>
  <c r="K602" i="1"/>
  <c r="L602" i="1"/>
  <c r="Q601" i="1"/>
  <c r="R601" i="1"/>
  <c r="S601" i="1"/>
  <c r="T601" i="1"/>
  <c r="M601" i="1"/>
  <c r="P601" i="1"/>
  <c r="I601" i="1"/>
  <c r="J601" i="1"/>
  <c r="K601" i="1"/>
  <c r="L601" i="1"/>
  <c r="Q600" i="1"/>
  <c r="R600" i="1"/>
  <c r="S600" i="1"/>
  <c r="T600" i="1"/>
  <c r="M600" i="1"/>
  <c r="P600" i="1"/>
  <c r="I600" i="1"/>
  <c r="J600" i="1"/>
  <c r="K600" i="1"/>
  <c r="L600" i="1"/>
  <c r="Q599" i="1"/>
  <c r="R599" i="1"/>
  <c r="S599" i="1"/>
  <c r="T599" i="1"/>
  <c r="M599" i="1"/>
  <c r="P599" i="1"/>
  <c r="I599" i="1"/>
  <c r="J599" i="1"/>
  <c r="K599" i="1"/>
  <c r="L599" i="1"/>
  <c r="Q598" i="1"/>
  <c r="R598" i="1"/>
  <c r="S598" i="1"/>
  <c r="T598" i="1"/>
  <c r="M598" i="1"/>
  <c r="P598" i="1"/>
  <c r="I598" i="1"/>
  <c r="J598" i="1"/>
  <c r="K598" i="1"/>
  <c r="L598" i="1"/>
  <c r="Q597" i="1"/>
  <c r="R597" i="1"/>
  <c r="S597" i="1"/>
  <c r="T597" i="1"/>
  <c r="M597" i="1"/>
  <c r="P597" i="1"/>
  <c r="I597" i="1"/>
  <c r="J597" i="1"/>
  <c r="K597" i="1"/>
  <c r="L597" i="1"/>
  <c r="Q596" i="1"/>
  <c r="R596" i="1"/>
  <c r="S596" i="1"/>
  <c r="T596" i="1"/>
  <c r="M596" i="1"/>
  <c r="P596" i="1"/>
  <c r="I596" i="1"/>
  <c r="J596" i="1"/>
  <c r="K596" i="1"/>
  <c r="L596" i="1"/>
  <c r="Q595" i="1"/>
  <c r="R595" i="1"/>
  <c r="S595" i="1"/>
  <c r="T595" i="1"/>
  <c r="M595" i="1"/>
  <c r="P595" i="1"/>
  <c r="I595" i="1"/>
  <c r="J595" i="1"/>
  <c r="K595" i="1"/>
  <c r="L595" i="1"/>
  <c r="Q594" i="1"/>
  <c r="R594" i="1"/>
  <c r="S594" i="1"/>
  <c r="T594" i="1"/>
  <c r="M594" i="1"/>
  <c r="P594" i="1"/>
  <c r="I594" i="1"/>
  <c r="J594" i="1"/>
  <c r="K594" i="1"/>
  <c r="L594" i="1"/>
  <c r="Q593" i="1"/>
  <c r="R593" i="1"/>
  <c r="S593" i="1"/>
  <c r="T593" i="1"/>
  <c r="M593" i="1"/>
  <c r="P593" i="1"/>
  <c r="I593" i="1"/>
  <c r="J593" i="1"/>
  <c r="K593" i="1"/>
  <c r="L593" i="1"/>
  <c r="Q592" i="1"/>
  <c r="R592" i="1"/>
  <c r="S592" i="1"/>
  <c r="T592" i="1"/>
  <c r="M592" i="1"/>
  <c r="P592" i="1"/>
  <c r="I592" i="1"/>
  <c r="J592" i="1"/>
  <c r="K592" i="1"/>
  <c r="L592" i="1"/>
  <c r="Q591" i="1"/>
  <c r="R591" i="1"/>
  <c r="S591" i="1"/>
  <c r="T591" i="1"/>
  <c r="M591" i="1"/>
  <c r="P591" i="1"/>
  <c r="I591" i="1"/>
  <c r="J591" i="1"/>
  <c r="K591" i="1"/>
  <c r="L591" i="1"/>
  <c r="Q590" i="1"/>
  <c r="R590" i="1"/>
  <c r="S590" i="1"/>
  <c r="T590" i="1"/>
  <c r="M590" i="1"/>
  <c r="P590" i="1"/>
  <c r="I590" i="1"/>
  <c r="J590" i="1"/>
  <c r="K590" i="1"/>
  <c r="L590" i="1"/>
  <c r="Q589" i="1"/>
  <c r="R589" i="1"/>
  <c r="S589" i="1"/>
  <c r="T589" i="1"/>
  <c r="M589" i="1"/>
  <c r="P589" i="1"/>
  <c r="I589" i="1"/>
  <c r="J589" i="1"/>
  <c r="K589" i="1"/>
  <c r="L589" i="1"/>
  <c r="Q588" i="1"/>
  <c r="R588" i="1"/>
  <c r="S588" i="1"/>
  <c r="T588" i="1"/>
  <c r="M588" i="1"/>
  <c r="P588" i="1"/>
  <c r="I588" i="1"/>
  <c r="J588" i="1"/>
  <c r="K588" i="1"/>
  <c r="L588" i="1"/>
  <c r="Q587" i="1"/>
  <c r="R587" i="1"/>
  <c r="S587" i="1"/>
  <c r="T587" i="1"/>
  <c r="M587" i="1"/>
  <c r="P587" i="1"/>
  <c r="I587" i="1"/>
  <c r="J587" i="1"/>
  <c r="K587" i="1"/>
  <c r="L587" i="1"/>
  <c r="Q586" i="1"/>
  <c r="R586" i="1"/>
  <c r="S586" i="1"/>
  <c r="T586" i="1"/>
  <c r="M586" i="1"/>
  <c r="P586" i="1"/>
  <c r="I586" i="1"/>
  <c r="J586" i="1"/>
  <c r="K586" i="1"/>
  <c r="L586" i="1"/>
  <c r="Q585" i="1"/>
  <c r="R585" i="1"/>
  <c r="S585" i="1"/>
  <c r="T585" i="1"/>
  <c r="M585" i="1"/>
  <c r="P585" i="1"/>
  <c r="I585" i="1"/>
  <c r="J585" i="1"/>
  <c r="K585" i="1"/>
  <c r="L585" i="1"/>
  <c r="Q584" i="1"/>
  <c r="R584" i="1"/>
  <c r="S584" i="1"/>
  <c r="T584" i="1"/>
  <c r="M584" i="1"/>
  <c r="P584" i="1"/>
  <c r="I584" i="1"/>
  <c r="J584" i="1"/>
  <c r="K584" i="1"/>
  <c r="L584" i="1"/>
  <c r="Q583" i="1"/>
  <c r="R583" i="1"/>
  <c r="S583" i="1"/>
  <c r="T583" i="1"/>
  <c r="M583" i="1"/>
  <c r="P583" i="1"/>
  <c r="I583" i="1"/>
  <c r="J583" i="1"/>
  <c r="K583" i="1"/>
  <c r="L583" i="1"/>
  <c r="Q582" i="1"/>
  <c r="R582" i="1"/>
  <c r="S582" i="1"/>
  <c r="T582" i="1"/>
  <c r="M582" i="1"/>
  <c r="P582" i="1"/>
  <c r="I582" i="1"/>
  <c r="J582" i="1"/>
  <c r="K582" i="1"/>
  <c r="L582" i="1"/>
  <c r="Q581" i="1"/>
  <c r="R581" i="1"/>
  <c r="S581" i="1"/>
  <c r="T581" i="1"/>
  <c r="M581" i="1"/>
  <c r="P581" i="1"/>
  <c r="I581" i="1"/>
  <c r="J581" i="1"/>
  <c r="K581" i="1"/>
  <c r="L581" i="1"/>
  <c r="Q580" i="1"/>
  <c r="R580" i="1"/>
  <c r="S580" i="1"/>
  <c r="T580" i="1"/>
  <c r="M580" i="1"/>
  <c r="P580" i="1"/>
  <c r="I580" i="1"/>
  <c r="J580" i="1"/>
  <c r="K580" i="1"/>
  <c r="L580" i="1"/>
  <c r="Q579" i="1"/>
  <c r="R579" i="1"/>
  <c r="S579" i="1"/>
  <c r="T579" i="1"/>
  <c r="M579" i="1"/>
  <c r="P579" i="1"/>
  <c r="I579" i="1"/>
  <c r="J579" i="1"/>
  <c r="K579" i="1"/>
  <c r="L579" i="1"/>
  <c r="Q578" i="1"/>
  <c r="R578" i="1"/>
  <c r="S578" i="1"/>
  <c r="T578" i="1"/>
  <c r="M578" i="1"/>
  <c r="P578" i="1"/>
  <c r="I578" i="1"/>
  <c r="J578" i="1"/>
  <c r="K578" i="1"/>
  <c r="L578" i="1"/>
  <c r="Q577" i="1"/>
  <c r="R577" i="1"/>
  <c r="S577" i="1"/>
  <c r="T577" i="1"/>
  <c r="M577" i="1"/>
  <c r="P577" i="1"/>
  <c r="I577" i="1"/>
  <c r="J577" i="1"/>
  <c r="K577" i="1"/>
  <c r="L577" i="1"/>
  <c r="Q576" i="1"/>
  <c r="R576" i="1"/>
  <c r="S576" i="1"/>
  <c r="T576" i="1"/>
  <c r="M576" i="1"/>
  <c r="P576" i="1"/>
  <c r="I576" i="1"/>
  <c r="J576" i="1"/>
  <c r="K576" i="1"/>
  <c r="L576" i="1"/>
  <c r="Q575" i="1"/>
  <c r="R575" i="1"/>
  <c r="S575" i="1"/>
  <c r="T575" i="1"/>
  <c r="M575" i="1"/>
  <c r="P575" i="1"/>
  <c r="I575" i="1"/>
  <c r="J575" i="1"/>
  <c r="K575" i="1"/>
  <c r="L575" i="1"/>
  <c r="Q574" i="1"/>
  <c r="R574" i="1"/>
  <c r="S574" i="1"/>
  <c r="T574" i="1"/>
  <c r="M574" i="1"/>
  <c r="P574" i="1"/>
  <c r="I574" i="1"/>
  <c r="J574" i="1"/>
  <c r="K574" i="1"/>
  <c r="L574" i="1"/>
  <c r="Q573" i="1"/>
  <c r="R573" i="1"/>
  <c r="S573" i="1"/>
  <c r="T573" i="1"/>
  <c r="M573" i="1"/>
  <c r="P573" i="1"/>
  <c r="I573" i="1"/>
  <c r="J573" i="1"/>
  <c r="K573" i="1"/>
  <c r="L573" i="1"/>
  <c r="Q572" i="1"/>
  <c r="R572" i="1"/>
  <c r="S572" i="1"/>
  <c r="T572" i="1"/>
  <c r="M572" i="1"/>
  <c r="P572" i="1"/>
  <c r="I572" i="1"/>
  <c r="J572" i="1"/>
  <c r="K572" i="1"/>
  <c r="L572" i="1"/>
  <c r="Q571" i="1"/>
  <c r="R571" i="1"/>
  <c r="S571" i="1"/>
  <c r="T571" i="1"/>
  <c r="M571" i="1"/>
  <c r="P571" i="1"/>
  <c r="I571" i="1"/>
  <c r="J571" i="1"/>
  <c r="K571" i="1"/>
  <c r="L571" i="1"/>
  <c r="Q570" i="1"/>
  <c r="R570" i="1"/>
  <c r="S570" i="1"/>
  <c r="T570" i="1"/>
  <c r="M570" i="1"/>
  <c r="P570" i="1"/>
  <c r="I570" i="1"/>
  <c r="J570" i="1"/>
  <c r="K570" i="1"/>
  <c r="L570" i="1"/>
  <c r="Q569" i="1"/>
  <c r="R569" i="1"/>
  <c r="S569" i="1"/>
  <c r="T569" i="1"/>
  <c r="M569" i="1"/>
  <c r="P569" i="1"/>
  <c r="I569" i="1"/>
  <c r="J569" i="1"/>
  <c r="K569" i="1"/>
  <c r="L569" i="1"/>
  <c r="Q568" i="1"/>
  <c r="R568" i="1"/>
  <c r="S568" i="1"/>
  <c r="T568" i="1"/>
  <c r="M568" i="1"/>
  <c r="P568" i="1"/>
  <c r="I568" i="1"/>
  <c r="J568" i="1"/>
  <c r="K568" i="1"/>
  <c r="L568" i="1"/>
  <c r="Q567" i="1"/>
  <c r="R567" i="1"/>
  <c r="S567" i="1"/>
  <c r="T567" i="1"/>
  <c r="M567" i="1"/>
  <c r="P567" i="1"/>
  <c r="I567" i="1"/>
  <c r="J567" i="1"/>
  <c r="K567" i="1"/>
  <c r="L567" i="1"/>
  <c r="Q566" i="1"/>
  <c r="R566" i="1"/>
  <c r="S566" i="1"/>
  <c r="T566" i="1"/>
  <c r="M566" i="1"/>
  <c r="P566" i="1"/>
  <c r="I566" i="1"/>
  <c r="J566" i="1"/>
  <c r="K566" i="1"/>
  <c r="L566" i="1"/>
  <c r="Q565" i="1"/>
  <c r="R565" i="1"/>
  <c r="S565" i="1"/>
  <c r="T565" i="1"/>
  <c r="M565" i="1"/>
  <c r="P565" i="1"/>
  <c r="I565" i="1"/>
  <c r="J565" i="1"/>
  <c r="K565" i="1"/>
  <c r="L565" i="1"/>
  <c r="Q564" i="1"/>
  <c r="R564" i="1"/>
  <c r="S564" i="1"/>
  <c r="T564" i="1"/>
  <c r="M564" i="1"/>
  <c r="P564" i="1"/>
  <c r="I564" i="1"/>
  <c r="J564" i="1"/>
  <c r="K564" i="1"/>
  <c r="L564" i="1"/>
  <c r="Q563" i="1"/>
  <c r="R563" i="1"/>
  <c r="S563" i="1"/>
  <c r="T563" i="1"/>
  <c r="M563" i="1"/>
  <c r="P563" i="1"/>
  <c r="I563" i="1"/>
  <c r="J563" i="1"/>
  <c r="K563" i="1"/>
  <c r="L563" i="1"/>
  <c r="Q562" i="1"/>
  <c r="R562" i="1"/>
  <c r="S562" i="1"/>
  <c r="T562" i="1"/>
  <c r="M562" i="1"/>
  <c r="P562" i="1"/>
  <c r="I562" i="1"/>
  <c r="J562" i="1"/>
  <c r="K562" i="1"/>
  <c r="L562" i="1"/>
  <c r="Q561" i="1"/>
  <c r="R561" i="1"/>
  <c r="S561" i="1"/>
  <c r="T561" i="1"/>
  <c r="M561" i="1"/>
  <c r="P561" i="1"/>
  <c r="I561" i="1"/>
  <c r="J561" i="1"/>
  <c r="K561" i="1"/>
  <c r="L561" i="1"/>
  <c r="Q560" i="1"/>
  <c r="R560" i="1"/>
  <c r="S560" i="1"/>
  <c r="T560" i="1"/>
  <c r="M560" i="1"/>
  <c r="P560" i="1"/>
  <c r="I560" i="1"/>
  <c r="J560" i="1"/>
  <c r="K560" i="1"/>
  <c r="L560" i="1"/>
  <c r="Q559" i="1"/>
  <c r="R559" i="1"/>
  <c r="S559" i="1"/>
  <c r="T559" i="1"/>
  <c r="M559" i="1"/>
  <c r="P559" i="1"/>
  <c r="I559" i="1"/>
  <c r="J559" i="1"/>
  <c r="K559" i="1"/>
  <c r="L559" i="1"/>
  <c r="Q558" i="1"/>
  <c r="R558" i="1"/>
  <c r="S558" i="1"/>
  <c r="T558" i="1"/>
  <c r="M558" i="1"/>
  <c r="P558" i="1"/>
  <c r="I558" i="1"/>
  <c r="J558" i="1"/>
  <c r="K558" i="1"/>
  <c r="L558" i="1"/>
  <c r="Q557" i="1"/>
  <c r="R557" i="1"/>
  <c r="S557" i="1"/>
  <c r="T557" i="1"/>
  <c r="M557" i="1"/>
  <c r="P557" i="1"/>
  <c r="I557" i="1"/>
  <c r="J557" i="1"/>
  <c r="K557" i="1"/>
  <c r="L557" i="1"/>
  <c r="Q556" i="1"/>
  <c r="R556" i="1"/>
  <c r="S556" i="1"/>
  <c r="T556" i="1"/>
  <c r="M556" i="1"/>
  <c r="P556" i="1"/>
  <c r="I556" i="1"/>
  <c r="J556" i="1"/>
  <c r="K556" i="1"/>
  <c r="L556" i="1"/>
  <c r="Q555" i="1"/>
  <c r="R555" i="1"/>
  <c r="S555" i="1"/>
  <c r="T555" i="1"/>
  <c r="M555" i="1"/>
  <c r="P555" i="1"/>
  <c r="I555" i="1"/>
  <c r="J555" i="1"/>
  <c r="K555" i="1"/>
  <c r="L555" i="1"/>
  <c r="Q554" i="1"/>
  <c r="R554" i="1"/>
  <c r="S554" i="1"/>
  <c r="T554" i="1"/>
  <c r="M554" i="1"/>
  <c r="P554" i="1"/>
  <c r="I554" i="1"/>
  <c r="J554" i="1"/>
  <c r="K554" i="1"/>
  <c r="L554" i="1"/>
  <c r="Q553" i="1"/>
  <c r="R553" i="1"/>
  <c r="S553" i="1"/>
  <c r="T553" i="1"/>
  <c r="M553" i="1"/>
  <c r="P553" i="1"/>
  <c r="I553" i="1"/>
  <c r="J553" i="1"/>
  <c r="K553" i="1"/>
  <c r="L553" i="1"/>
  <c r="Q552" i="1"/>
  <c r="R552" i="1"/>
  <c r="S552" i="1"/>
  <c r="T552" i="1"/>
  <c r="M552" i="1"/>
  <c r="P552" i="1"/>
  <c r="I552" i="1"/>
  <c r="J552" i="1"/>
  <c r="K552" i="1"/>
  <c r="L552" i="1"/>
  <c r="Q551" i="1"/>
  <c r="R551" i="1"/>
  <c r="S551" i="1"/>
  <c r="T551" i="1"/>
  <c r="M551" i="1"/>
  <c r="P551" i="1"/>
  <c r="I551" i="1"/>
  <c r="J551" i="1"/>
  <c r="K551" i="1"/>
  <c r="L551" i="1"/>
  <c r="Q550" i="1"/>
  <c r="R550" i="1"/>
  <c r="S550" i="1"/>
  <c r="T550" i="1"/>
  <c r="M550" i="1"/>
  <c r="P550" i="1"/>
  <c r="I550" i="1"/>
  <c r="J550" i="1"/>
  <c r="K550" i="1"/>
  <c r="L550" i="1"/>
  <c r="Q549" i="1"/>
  <c r="R549" i="1"/>
  <c r="S549" i="1"/>
  <c r="T549" i="1"/>
  <c r="M549" i="1"/>
  <c r="P549" i="1"/>
  <c r="I549" i="1"/>
  <c r="J549" i="1"/>
  <c r="K549" i="1"/>
  <c r="L549" i="1"/>
  <c r="Q548" i="1"/>
  <c r="R548" i="1"/>
  <c r="S548" i="1"/>
  <c r="T548" i="1"/>
  <c r="M548" i="1"/>
  <c r="P548" i="1"/>
  <c r="I548" i="1"/>
  <c r="J548" i="1"/>
  <c r="K548" i="1"/>
  <c r="L548" i="1"/>
  <c r="Q547" i="1"/>
  <c r="R547" i="1"/>
  <c r="S547" i="1"/>
  <c r="T547" i="1"/>
  <c r="M547" i="1"/>
  <c r="P547" i="1"/>
  <c r="I547" i="1"/>
  <c r="J547" i="1"/>
  <c r="K547" i="1"/>
  <c r="L547" i="1"/>
  <c r="Q546" i="1"/>
  <c r="R546" i="1"/>
  <c r="S546" i="1"/>
  <c r="T546" i="1"/>
  <c r="M546" i="1"/>
  <c r="P546" i="1"/>
  <c r="I546" i="1"/>
  <c r="J546" i="1"/>
  <c r="K546" i="1"/>
  <c r="L546" i="1"/>
  <c r="Q545" i="1"/>
  <c r="R545" i="1"/>
  <c r="S545" i="1"/>
  <c r="T545" i="1"/>
  <c r="M545" i="1"/>
  <c r="P545" i="1"/>
  <c r="I545" i="1"/>
  <c r="J545" i="1"/>
  <c r="K545" i="1"/>
  <c r="L545" i="1"/>
  <c r="Q544" i="1"/>
  <c r="R544" i="1"/>
  <c r="S544" i="1"/>
  <c r="T544" i="1"/>
  <c r="M544" i="1"/>
  <c r="P544" i="1"/>
  <c r="I544" i="1"/>
  <c r="J544" i="1"/>
  <c r="K544" i="1"/>
  <c r="L544" i="1"/>
  <c r="Q543" i="1"/>
  <c r="R543" i="1"/>
  <c r="S543" i="1"/>
  <c r="T543" i="1"/>
  <c r="M543" i="1"/>
  <c r="P543" i="1"/>
  <c r="I543" i="1"/>
  <c r="J543" i="1"/>
  <c r="K543" i="1"/>
  <c r="L543" i="1"/>
  <c r="Q542" i="1"/>
  <c r="R542" i="1"/>
  <c r="S542" i="1"/>
  <c r="T542" i="1"/>
  <c r="M542" i="1"/>
  <c r="P542" i="1"/>
  <c r="I542" i="1"/>
  <c r="J542" i="1"/>
  <c r="K542" i="1"/>
  <c r="L542" i="1"/>
  <c r="Q541" i="1"/>
  <c r="R541" i="1"/>
  <c r="S541" i="1"/>
  <c r="T541" i="1"/>
  <c r="M541" i="1"/>
  <c r="P541" i="1"/>
  <c r="I541" i="1"/>
  <c r="J541" i="1"/>
  <c r="K541" i="1"/>
  <c r="L541" i="1"/>
  <c r="Q540" i="1"/>
  <c r="R540" i="1"/>
  <c r="S540" i="1"/>
  <c r="T540" i="1"/>
  <c r="M540" i="1"/>
  <c r="P540" i="1"/>
  <c r="I540" i="1"/>
  <c r="J540" i="1"/>
  <c r="K540" i="1"/>
  <c r="L540" i="1"/>
  <c r="Q539" i="1"/>
  <c r="R539" i="1"/>
  <c r="S539" i="1"/>
  <c r="T539" i="1"/>
  <c r="M539" i="1"/>
  <c r="P539" i="1"/>
  <c r="I539" i="1"/>
  <c r="J539" i="1"/>
  <c r="K539" i="1"/>
  <c r="L539" i="1"/>
  <c r="Q538" i="1"/>
  <c r="R538" i="1"/>
  <c r="S538" i="1"/>
  <c r="T538" i="1"/>
  <c r="M538" i="1"/>
  <c r="P538" i="1"/>
  <c r="I538" i="1"/>
  <c r="J538" i="1"/>
  <c r="K538" i="1"/>
  <c r="L538" i="1"/>
  <c r="Q537" i="1"/>
  <c r="R537" i="1"/>
  <c r="S537" i="1"/>
  <c r="T537" i="1"/>
  <c r="M537" i="1"/>
  <c r="P537" i="1"/>
  <c r="I537" i="1"/>
  <c r="J537" i="1"/>
  <c r="K537" i="1"/>
  <c r="L537" i="1"/>
  <c r="Q536" i="1"/>
  <c r="R536" i="1"/>
  <c r="S536" i="1"/>
  <c r="T536" i="1"/>
  <c r="M536" i="1"/>
  <c r="P536" i="1"/>
  <c r="I536" i="1"/>
  <c r="J536" i="1"/>
  <c r="K536" i="1"/>
  <c r="L536" i="1"/>
  <c r="Q535" i="1"/>
  <c r="R535" i="1"/>
  <c r="S535" i="1"/>
  <c r="T535" i="1"/>
  <c r="M535" i="1"/>
  <c r="P535" i="1"/>
  <c r="I535" i="1"/>
  <c r="J535" i="1"/>
  <c r="K535" i="1"/>
  <c r="L535" i="1"/>
  <c r="Q534" i="1"/>
  <c r="R534" i="1"/>
  <c r="S534" i="1"/>
  <c r="T534" i="1"/>
  <c r="M534" i="1"/>
  <c r="P534" i="1"/>
  <c r="I534" i="1"/>
  <c r="J534" i="1"/>
  <c r="K534" i="1"/>
  <c r="L534" i="1"/>
  <c r="Q533" i="1"/>
  <c r="R533" i="1"/>
  <c r="S533" i="1"/>
  <c r="T533" i="1"/>
  <c r="M533" i="1"/>
  <c r="P533" i="1"/>
  <c r="I533" i="1"/>
  <c r="J533" i="1"/>
  <c r="K533" i="1"/>
  <c r="L533" i="1"/>
  <c r="Q532" i="1"/>
  <c r="R532" i="1"/>
  <c r="S532" i="1"/>
  <c r="T532" i="1"/>
  <c r="M532" i="1"/>
  <c r="P532" i="1"/>
  <c r="I532" i="1"/>
  <c r="J532" i="1"/>
  <c r="K532" i="1"/>
  <c r="L532" i="1"/>
  <c r="Q531" i="1"/>
  <c r="R531" i="1"/>
  <c r="S531" i="1"/>
  <c r="T531" i="1"/>
  <c r="M531" i="1"/>
  <c r="P531" i="1"/>
  <c r="I531" i="1"/>
  <c r="J531" i="1"/>
  <c r="K531" i="1"/>
  <c r="L531" i="1"/>
  <c r="Q530" i="1"/>
  <c r="R530" i="1"/>
  <c r="S530" i="1"/>
  <c r="T530" i="1"/>
  <c r="M530" i="1"/>
  <c r="P530" i="1"/>
  <c r="I530" i="1"/>
  <c r="J530" i="1"/>
  <c r="K530" i="1"/>
  <c r="L530" i="1"/>
  <c r="Q529" i="1"/>
  <c r="R529" i="1"/>
  <c r="S529" i="1"/>
  <c r="T529" i="1"/>
  <c r="M529" i="1"/>
  <c r="P529" i="1"/>
  <c r="I529" i="1"/>
  <c r="J529" i="1"/>
  <c r="K529" i="1"/>
  <c r="L529" i="1"/>
  <c r="Q528" i="1"/>
  <c r="R528" i="1"/>
  <c r="S528" i="1"/>
  <c r="T528" i="1"/>
  <c r="M528" i="1"/>
  <c r="P528" i="1"/>
  <c r="I528" i="1"/>
  <c r="J528" i="1"/>
  <c r="K528" i="1"/>
  <c r="L528" i="1"/>
  <c r="Q527" i="1"/>
  <c r="R527" i="1"/>
  <c r="S527" i="1"/>
  <c r="T527" i="1"/>
  <c r="M527" i="1"/>
  <c r="P527" i="1"/>
  <c r="I527" i="1"/>
  <c r="J527" i="1"/>
  <c r="K527" i="1"/>
  <c r="L527" i="1"/>
  <c r="Q526" i="1"/>
  <c r="R526" i="1"/>
  <c r="S526" i="1"/>
  <c r="T526" i="1"/>
  <c r="M526" i="1"/>
  <c r="P526" i="1"/>
  <c r="I526" i="1"/>
  <c r="J526" i="1"/>
  <c r="K526" i="1"/>
  <c r="L526" i="1"/>
  <c r="Q525" i="1"/>
  <c r="R525" i="1"/>
  <c r="S525" i="1"/>
  <c r="T525" i="1"/>
  <c r="M525" i="1"/>
  <c r="P525" i="1"/>
  <c r="I525" i="1"/>
  <c r="J525" i="1"/>
  <c r="K525" i="1"/>
  <c r="L525" i="1"/>
  <c r="Q524" i="1"/>
  <c r="R524" i="1"/>
  <c r="S524" i="1"/>
  <c r="T524" i="1"/>
  <c r="M524" i="1"/>
  <c r="P524" i="1"/>
  <c r="I524" i="1"/>
  <c r="J524" i="1"/>
  <c r="K524" i="1"/>
  <c r="L524" i="1"/>
  <c r="Q523" i="1"/>
  <c r="R523" i="1"/>
  <c r="S523" i="1"/>
  <c r="T523" i="1"/>
  <c r="M523" i="1"/>
  <c r="P523" i="1"/>
  <c r="I523" i="1"/>
  <c r="J523" i="1"/>
  <c r="K523" i="1"/>
  <c r="L523" i="1"/>
  <c r="Q522" i="1"/>
  <c r="R522" i="1"/>
  <c r="S522" i="1"/>
  <c r="T522" i="1"/>
  <c r="M522" i="1"/>
  <c r="P522" i="1"/>
  <c r="I522" i="1"/>
  <c r="J522" i="1"/>
  <c r="K522" i="1"/>
  <c r="L522" i="1"/>
  <c r="Q521" i="1"/>
  <c r="R521" i="1"/>
  <c r="S521" i="1"/>
  <c r="T521" i="1"/>
  <c r="M521" i="1"/>
  <c r="P521" i="1"/>
  <c r="I521" i="1"/>
  <c r="J521" i="1"/>
  <c r="K521" i="1"/>
  <c r="L521" i="1"/>
  <c r="Q520" i="1"/>
  <c r="R520" i="1"/>
  <c r="S520" i="1"/>
  <c r="T520" i="1"/>
  <c r="M520" i="1"/>
  <c r="P520" i="1"/>
  <c r="I520" i="1"/>
  <c r="J520" i="1"/>
  <c r="K520" i="1"/>
  <c r="L520" i="1"/>
  <c r="Q519" i="1"/>
  <c r="R519" i="1"/>
  <c r="S519" i="1"/>
  <c r="T519" i="1"/>
  <c r="M519" i="1"/>
  <c r="P519" i="1"/>
  <c r="I519" i="1"/>
  <c r="J519" i="1"/>
  <c r="K519" i="1"/>
  <c r="L519" i="1"/>
  <c r="Q518" i="1"/>
  <c r="R518" i="1"/>
  <c r="S518" i="1"/>
  <c r="T518" i="1"/>
  <c r="M518" i="1"/>
  <c r="P518" i="1"/>
  <c r="I518" i="1"/>
  <c r="J518" i="1"/>
  <c r="K518" i="1"/>
  <c r="L518" i="1"/>
  <c r="Q517" i="1"/>
  <c r="R517" i="1"/>
  <c r="S517" i="1"/>
  <c r="T517" i="1"/>
  <c r="M517" i="1"/>
  <c r="P517" i="1"/>
  <c r="I517" i="1"/>
  <c r="J517" i="1"/>
  <c r="K517" i="1"/>
  <c r="L517" i="1"/>
  <c r="Q516" i="1"/>
  <c r="R516" i="1"/>
  <c r="S516" i="1"/>
  <c r="T516" i="1"/>
  <c r="M516" i="1"/>
  <c r="P516" i="1"/>
  <c r="I516" i="1"/>
  <c r="J516" i="1"/>
  <c r="K516" i="1"/>
  <c r="L516" i="1"/>
  <c r="Q515" i="1"/>
  <c r="R515" i="1"/>
  <c r="S515" i="1"/>
  <c r="T515" i="1"/>
  <c r="M515" i="1"/>
  <c r="P515" i="1"/>
  <c r="I515" i="1"/>
  <c r="J515" i="1"/>
  <c r="K515" i="1"/>
  <c r="L515" i="1"/>
  <c r="Q514" i="1"/>
  <c r="R514" i="1"/>
  <c r="S514" i="1"/>
  <c r="T514" i="1"/>
  <c r="M514" i="1"/>
  <c r="P514" i="1"/>
  <c r="I514" i="1"/>
  <c r="J514" i="1"/>
  <c r="K514" i="1"/>
  <c r="L514" i="1"/>
  <c r="Q513" i="1"/>
  <c r="R513" i="1"/>
  <c r="S513" i="1"/>
  <c r="T513" i="1"/>
  <c r="M513" i="1"/>
  <c r="P513" i="1"/>
  <c r="I513" i="1"/>
  <c r="J513" i="1"/>
  <c r="K513" i="1"/>
  <c r="L513" i="1"/>
  <c r="Q512" i="1"/>
  <c r="R512" i="1"/>
  <c r="S512" i="1"/>
  <c r="T512" i="1"/>
  <c r="M512" i="1"/>
  <c r="P512" i="1"/>
  <c r="I512" i="1"/>
  <c r="J512" i="1"/>
  <c r="K512" i="1"/>
  <c r="L512" i="1"/>
  <c r="Q511" i="1"/>
  <c r="R511" i="1"/>
  <c r="S511" i="1"/>
  <c r="T511" i="1"/>
  <c r="M511" i="1"/>
  <c r="P511" i="1"/>
  <c r="I511" i="1"/>
  <c r="J511" i="1"/>
  <c r="K511" i="1"/>
  <c r="L511" i="1"/>
  <c r="Q510" i="1"/>
  <c r="R510" i="1"/>
  <c r="S510" i="1"/>
  <c r="T510" i="1"/>
  <c r="M510" i="1"/>
  <c r="P510" i="1"/>
  <c r="I510" i="1"/>
  <c r="J510" i="1"/>
  <c r="K510" i="1"/>
  <c r="L510" i="1"/>
  <c r="Q509" i="1"/>
  <c r="R509" i="1"/>
  <c r="S509" i="1"/>
  <c r="T509" i="1"/>
  <c r="M509" i="1"/>
  <c r="P509" i="1"/>
  <c r="I509" i="1"/>
  <c r="J509" i="1"/>
  <c r="K509" i="1"/>
  <c r="L509" i="1"/>
  <c r="Q508" i="1"/>
  <c r="R508" i="1"/>
  <c r="S508" i="1"/>
  <c r="T508" i="1"/>
  <c r="M508" i="1"/>
  <c r="P508" i="1"/>
  <c r="I508" i="1"/>
  <c r="J508" i="1"/>
  <c r="K508" i="1"/>
  <c r="L508" i="1"/>
  <c r="Q507" i="1"/>
  <c r="R507" i="1"/>
  <c r="S507" i="1"/>
  <c r="T507" i="1"/>
  <c r="M507" i="1"/>
  <c r="P507" i="1"/>
  <c r="I507" i="1"/>
  <c r="J507" i="1"/>
  <c r="K507" i="1"/>
  <c r="L507" i="1"/>
  <c r="Q506" i="1"/>
  <c r="R506" i="1"/>
  <c r="S506" i="1"/>
  <c r="T506" i="1"/>
  <c r="M506" i="1"/>
  <c r="P506" i="1"/>
  <c r="I506" i="1"/>
  <c r="J506" i="1"/>
  <c r="K506" i="1"/>
  <c r="L506" i="1"/>
  <c r="Q505" i="1"/>
  <c r="R505" i="1"/>
  <c r="S505" i="1"/>
  <c r="T505" i="1"/>
  <c r="M505" i="1"/>
  <c r="P505" i="1"/>
  <c r="I505" i="1"/>
  <c r="J505" i="1"/>
  <c r="K505" i="1"/>
  <c r="L505" i="1"/>
  <c r="Q504" i="1"/>
  <c r="R504" i="1"/>
  <c r="S504" i="1"/>
  <c r="T504" i="1"/>
  <c r="M504" i="1"/>
  <c r="P504" i="1"/>
  <c r="I504" i="1"/>
  <c r="J504" i="1"/>
  <c r="K504" i="1"/>
  <c r="L504" i="1"/>
  <c r="Q503" i="1"/>
  <c r="R503" i="1"/>
  <c r="S503" i="1"/>
  <c r="T503" i="1"/>
  <c r="M503" i="1"/>
  <c r="P503" i="1"/>
  <c r="I503" i="1"/>
  <c r="J503" i="1"/>
  <c r="K503" i="1"/>
  <c r="L503" i="1"/>
  <c r="Q502" i="1"/>
  <c r="R502" i="1"/>
  <c r="S502" i="1"/>
  <c r="T502" i="1"/>
  <c r="M502" i="1"/>
  <c r="P502" i="1"/>
  <c r="I502" i="1"/>
  <c r="J502" i="1"/>
  <c r="K502" i="1"/>
  <c r="L502" i="1"/>
  <c r="Q501" i="1"/>
  <c r="R501" i="1"/>
  <c r="S501" i="1"/>
  <c r="T501" i="1"/>
  <c r="M501" i="1"/>
  <c r="P501" i="1"/>
  <c r="I501" i="1"/>
  <c r="J501" i="1"/>
  <c r="K501" i="1"/>
  <c r="L501" i="1"/>
  <c r="Q500" i="1"/>
  <c r="R500" i="1"/>
  <c r="S500" i="1"/>
  <c r="T500" i="1"/>
  <c r="M500" i="1"/>
  <c r="P500" i="1"/>
  <c r="I500" i="1"/>
  <c r="J500" i="1"/>
  <c r="K500" i="1"/>
  <c r="L500" i="1"/>
  <c r="Q499" i="1"/>
  <c r="R499" i="1"/>
  <c r="S499" i="1"/>
  <c r="T499" i="1"/>
  <c r="M499" i="1"/>
  <c r="P499" i="1"/>
  <c r="I499" i="1"/>
  <c r="J499" i="1"/>
  <c r="K499" i="1"/>
  <c r="L499" i="1"/>
  <c r="Q498" i="1"/>
  <c r="R498" i="1"/>
  <c r="S498" i="1"/>
  <c r="T498" i="1"/>
  <c r="M498" i="1"/>
  <c r="P498" i="1"/>
  <c r="I498" i="1"/>
  <c r="J498" i="1"/>
  <c r="K498" i="1"/>
  <c r="L498" i="1"/>
  <c r="Q497" i="1"/>
  <c r="R497" i="1"/>
  <c r="S497" i="1"/>
  <c r="T497" i="1"/>
  <c r="M497" i="1"/>
  <c r="P497" i="1"/>
  <c r="I497" i="1"/>
  <c r="J497" i="1"/>
  <c r="K497" i="1"/>
  <c r="L497" i="1"/>
  <c r="Q496" i="1"/>
  <c r="R496" i="1"/>
  <c r="S496" i="1"/>
  <c r="T496" i="1"/>
  <c r="M496" i="1"/>
  <c r="P496" i="1"/>
  <c r="I496" i="1"/>
  <c r="J496" i="1"/>
  <c r="K496" i="1"/>
  <c r="L496" i="1"/>
  <c r="Q495" i="1"/>
  <c r="R495" i="1"/>
  <c r="S495" i="1"/>
  <c r="T495" i="1"/>
  <c r="M495" i="1"/>
  <c r="P495" i="1"/>
  <c r="I495" i="1"/>
  <c r="J495" i="1"/>
  <c r="K495" i="1"/>
  <c r="L495" i="1"/>
  <c r="Q494" i="1"/>
  <c r="R494" i="1"/>
  <c r="S494" i="1"/>
  <c r="T494" i="1"/>
  <c r="M494" i="1"/>
  <c r="P494" i="1"/>
  <c r="I494" i="1"/>
  <c r="J494" i="1"/>
  <c r="K494" i="1"/>
  <c r="L494" i="1"/>
  <c r="Q493" i="1"/>
  <c r="R493" i="1"/>
  <c r="S493" i="1"/>
  <c r="T493" i="1"/>
  <c r="M493" i="1"/>
  <c r="P493" i="1"/>
  <c r="I493" i="1"/>
  <c r="J493" i="1"/>
  <c r="K493" i="1"/>
  <c r="L493" i="1"/>
  <c r="Q492" i="1"/>
  <c r="R492" i="1"/>
  <c r="S492" i="1"/>
  <c r="T492" i="1"/>
  <c r="M492" i="1"/>
  <c r="P492" i="1"/>
  <c r="I492" i="1"/>
  <c r="J492" i="1"/>
  <c r="K492" i="1"/>
  <c r="L492" i="1"/>
  <c r="Q491" i="1"/>
  <c r="R491" i="1"/>
  <c r="S491" i="1"/>
  <c r="T491" i="1"/>
  <c r="M491" i="1"/>
  <c r="P491" i="1"/>
  <c r="I491" i="1"/>
  <c r="J491" i="1"/>
  <c r="K491" i="1"/>
  <c r="L491" i="1"/>
  <c r="Q490" i="1"/>
  <c r="R490" i="1"/>
  <c r="S490" i="1"/>
  <c r="T490" i="1"/>
  <c r="M490" i="1"/>
  <c r="P490" i="1"/>
  <c r="I490" i="1"/>
  <c r="J490" i="1"/>
  <c r="K490" i="1"/>
  <c r="L490" i="1"/>
  <c r="Q489" i="1"/>
  <c r="R489" i="1"/>
  <c r="S489" i="1"/>
  <c r="T489" i="1"/>
  <c r="M489" i="1"/>
  <c r="P489" i="1"/>
  <c r="I489" i="1"/>
  <c r="J489" i="1"/>
  <c r="K489" i="1"/>
  <c r="L489" i="1"/>
  <c r="Q488" i="1"/>
  <c r="R488" i="1"/>
  <c r="S488" i="1"/>
  <c r="T488" i="1"/>
  <c r="M488" i="1"/>
  <c r="P488" i="1"/>
  <c r="I488" i="1"/>
  <c r="J488" i="1"/>
  <c r="K488" i="1"/>
  <c r="L488" i="1"/>
  <c r="Q487" i="1"/>
  <c r="R487" i="1"/>
  <c r="S487" i="1"/>
  <c r="T487" i="1"/>
  <c r="M487" i="1"/>
  <c r="P487" i="1"/>
  <c r="I487" i="1"/>
  <c r="J487" i="1"/>
  <c r="K487" i="1"/>
  <c r="L487" i="1"/>
  <c r="Q486" i="1"/>
  <c r="R486" i="1"/>
  <c r="S486" i="1"/>
  <c r="T486" i="1"/>
  <c r="M486" i="1"/>
  <c r="P486" i="1"/>
  <c r="I486" i="1"/>
  <c r="J486" i="1"/>
  <c r="K486" i="1"/>
  <c r="L486" i="1"/>
  <c r="Q485" i="1"/>
  <c r="R485" i="1"/>
  <c r="S485" i="1"/>
  <c r="T485" i="1"/>
  <c r="M485" i="1"/>
  <c r="P485" i="1"/>
  <c r="I485" i="1"/>
  <c r="J485" i="1"/>
  <c r="K485" i="1"/>
  <c r="L485" i="1"/>
  <c r="Q484" i="1"/>
  <c r="R484" i="1"/>
  <c r="S484" i="1"/>
  <c r="T484" i="1"/>
  <c r="M484" i="1"/>
  <c r="P484" i="1"/>
  <c r="I484" i="1"/>
  <c r="J484" i="1"/>
  <c r="K484" i="1"/>
  <c r="L484" i="1"/>
  <c r="Q483" i="1"/>
  <c r="R483" i="1"/>
  <c r="S483" i="1"/>
  <c r="T483" i="1"/>
  <c r="M483" i="1"/>
  <c r="P483" i="1"/>
  <c r="I483" i="1"/>
  <c r="J483" i="1"/>
  <c r="K483" i="1"/>
  <c r="L483" i="1"/>
  <c r="Q482" i="1"/>
  <c r="R482" i="1"/>
  <c r="S482" i="1"/>
  <c r="T482" i="1"/>
  <c r="M482" i="1"/>
  <c r="P482" i="1"/>
  <c r="I482" i="1"/>
  <c r="J482" i="1"/>
  <c r="K482" i="1"/>
  <c r="L482" i="1"/>
  <c r="Q481" i="1"/>
  <c r="R481" i="1"/>
  <c r="S481" i="1"/>
  <c r="T481" i="1"/>
  <c r="M481" i="1"/>
  <c r="P481" i="1"/>
  <c r="I481" i="1"/>
  <c r="J481" i="1"/>
  <c r="K481" i="1"/>
  <c r="L481" i="1"/>
  <c r="Q480" i="1"/>
  <c r="R480" i="1"/>
  <c r="S480" i="1"/>
  <c r="T480" i="1"/>
  <c r="M480" i="1"/>
  <c r="P480" i="1"/>
  <c r="I480" i="1"/>
  <c r="J480" i="1"/>
  <c r="K480" i="1"/>
  <c r="L480" i="1"/>
  <c r="Q479" i="1"/>
  <c r="R479" i="1"/>
  <c r="S479" i="1"/>
  <c r="T479" i="1"/>
  <c r="M479" i="1"/>
  <c r="P479" i="1"/>
  <c r="I479" i="1"/>
  <c r="J479" i="1"/>
  <c r="K479" i="1"/>
  <c r="L479" i="1"/>
  <c r="Q478" i="1"/>
  <c r="R478" i="1"/>
  <c r="S478" i="1"/>
  <c r="T478" i="1"/>
  <c r="M478" i="1"/>
  <c r="P478" i="1"/>
  <c r="I478" i="1"/>
  <c r="J478" i="1"/>
  <c r="K478" i="1"/>
  <c r="L478" i="1"/>
  <c r="Q477" i="1"/>
  <c r="R477" i="1"/>
  <c r="S477" i="1"/>
  <c r="T477" i="1"/>
  <c r="M477" i="1"/>
  <c r="P477" i="1"/>
  <c r="I477" i="1"/>
  <c r="J477" i="1"/>
  <c r="K477" i="1"/>
  <c r="L477" i="1"/>
  <c r="Q476" i="1"/>
  <c r="R476" i="1"/>
  <c r="S476" i="1"/>
  <c r="T476" i="1"/>
  <c r="M476" i="1"/>
  <c r="P476" i="1"/>
  <c r="I476" i="1"/>
  <c r="J476" i="1"/>
  <c r="K476" i="1"/>
  <c r="L476" i="1"/>
  <c r="Q475" i="1"/>
  <c r="R475" i="1"/>
  <c r="S475" i="1"/>
  <c r="T475" i="1"/>
  <c r="M475" i="1"/>
  <c r="P475" i="1"/>
  <c r="I475" i="1"/>
  <c r="J475" i="1"/>
  <c r="K475" i="1"/>
  <c r="L475" i="1"/>
  <c r="Q474" i="1"/>
  <c r="R474" i="1"/>
  <c r="S474" i="1"/>
  <c r="T474" i="1"/>
  <c r="M474" i="1"/>
  <c r="P474" i="1"/>
  <c r="I474" i="1"/>
  <c r="J474" i="1"/>
  <c r="K474" i="1"/>
  <c r="L474" i="1"/>
  <c r="Q473" i="1"/>
  <c r="R473" i="1"/>
  <c r="S473" i="1"/>
  <c r="T473" i="1"/>
  <c r="M473" i="1"/>
  <c r="P473" i="1"/>
  <c r="I473" i="1"/>
  <c r="J473" i="1"/>
  <c r="K473" i="1"/>
  <c r="L473" i="1"/>
  <c r="Q472" i="1"/>
  <c r="R472" i="1"/>
  <c r="S472" i="1"/>
  <c r="T472" i="1"/>
  <c r="M472" i="1"/>
  <c r="P472" i="1"/>
  <c r="I472" i="1"/>
  <c r="J472" i="1"/>
  <c r="K472" i="1"/>
  <c r="L472" i="1"/>
  <c r="Q471" i="1"/>
  <c r="R471" i="1"/>
  <c r="S471" i="1"/>
  <c r="T471" i="1"/>
  <c r="M471" i="1"/>
  <c r="P471" i="1"/>
  <c r="I471" i="1"/>
  <c r="J471" i="1"/>
  <c r="K471" i="1"/>
  <c r="L471" i="1"/>
  <c r="Q470" i="1"/>
  <c r="R470" i="1"/>
  <c r="S470" i="1"/>
  <c r="T470" i="1"/>
  <c r="M470" i="1"/>
  <c r="P470" i="1"/>
  <c r="I470" i="1"/>
  <c r="J470" i="1"/>
  <c r="K470" i="1"/>
  <c r="L470" i="1"/>
  <c r="Q469" i="1"/>
  <c r="R469" i="1"/>
  <c r="S469" i="1"/>
  <c r="T469" i="1"/>
  <c r="M469" i="1"/>
  <c r="P469" i="1"/>
  <c r="I469" i="1"/>
  <c r="J469" i="1"/>
  <c r="K469" i="1"/>
  <c r="L469" i="1"/>
  <c r="Q468" i="1"/>
  <c r="R468" i="1"/>
  <c r="S468" i="1"/>
  <c r="T468" i="1"/>
  <c r="M468" i="1"/>
  <c r="P468" i="1"/>
  <c r="I468" i="1"/>
  <c r="J468" i="1"/>
  <c r="K468" i="1"/>
  <c r="L468" i="1"/>
  <c r="Q467" i="1"/>
  <c r="R467" i="1"/>
  <c r="S467" i="1"/>
  <c r="T467" i="1"/>
  <c r="M467" i="1"/>
  <c r="P467" i="1"/>
  <c r="I467" i="1"/>
  <c r="J467" i="1"/>
  <c r="K467" i="1"/>
  <c r="L467" i="1"/>
  <c r="Q466" i="1"/>
  <c r="R466" i="1"/>
  <c r="S466" i="1"/>
  <c r="T466" i="1"/>
  <c r="M466" i="1"/>
  <c r="P466" i="1"/>
  <c r="I466" i="1"/>
  <c r="J466" i="1"/>
  <c r="K466" i="1"/>
  <c r="L466" i="1"/>
  <c r="Q465" i="1"/>
  <c r="R465" i="1"/>
  <c r="S465" i="1"/>
  <c r="T465" i="1"/>
  <c r="M465" i="1"/>
  <c r="P465" i="1"/>
  <c r="I465" i="1"/>
  <c r="J465" i="1"/>
  <c r="K465" i="1"/>
  <c r="L465" i="1"/>
  <c r="Q464" i="1"/>
  <c r="R464" i="1"/>
  <c r="S464" i="1"/>
  <c r="T464" i="1"/>
  <c r="M464" i="1"/>
  <c r="P464" i="1"/>
  <c r="I464" i="1"/>
  <c r="J464" i="1"/>
  <c r="K464" i="1"/>
  <c r="L464" i="1"/>
  <c r="Q463" i="1"/>
  <c r="R463" i="1"/>
  <c r="S463" i="1"/>
  <c r="T463" i="1"/>
  <c r="M463" i="1"/>
  <c r="P463" i="1"/>
  <c r="I463" i="1"/>
  <c r="J463" i="1"/>
  <c r="K463" i="1"/>
  <c r="L463" i="1"/>
  <c r="Q462" i="1"/>
  <c r="R462" i="1"/>
  <c r="S462" i="1"/>
  <c r="T462" i="1"/>
  <c r="M462" i="1"/>
  <c r="P462" i="1"/>
  <c r="I462" i="1"/>
  <c r="J462" i="1"/>
  <c r="K462" i="1"/>
  <c r="L462" i="1"/>
  <c r="Q461" i="1"/>
  <c r="R461" i="1"/>
  <c r="S461" i="1"/>
  <c r="T461" i="1"/>
  <c r="M461" i="1"/>
  <c r="P461" i="1"/>
  <c r="I461" i="1"/>
  <c r="J461" i="1"/>
  <c r="K461" i="1"/>
  <c r="L461" i="1"/>
  <c r="Q460" i="1"/>
  <c r="R460" i="1"/>
  <c r="S460" i="1"/>
  <c r="T460" i="1"/>
  <c r="M460" i="1"/>
  <c r="P460" i="1"/>
  <c r="I460" i="1"/>
  <c r="J460" i="1"/>
  <c r="K460" i="1"/>
  <c r="L460" i="1"/>
  <c r="Q459" i="1"/>
  <c r="R459" i="1"/>
  <c r="S459" i="1"/>
  <c r="T459" i="1"/>
  <c r="M459" i="1"/>
  <c r="P459" i="1"/>
  <c r="I459" i="1"/>
  <c r="J459" i="1"/>
  <c r="K459" i="1"/>
  <c r="L459" i="1"/>
  <c r="Q458" i="1"/>
  <c r="R458" i="1"/>
  <c r="S458" i="1"/>
  <c r="T458" i="1"/>
  <c r="M458" i="1"/>
  <c r="P458" i="1"/>
  <c r="I458" i="1"/>
  <c r="J458" i="1"/>
  <c r="K458" i="1"/>
  <c r="L458" i="1"/>
  <c r="Q457" i="1"/>
  <c r="R457" i="1"/>
  <c r="S457" i="1"/>
  <c r="T457" i="1"/>
  <c r="M457" i="1"/>
  <c r="P457" i="1"/>
  <c r="I457" i="1"/>
  <c r="J457" i="1"/>
  <c r="K457" i="1"/>
  <c r="L457" i="1"/>
  <c r="Q456" i="1"/>
  <c r="R456" i="1"/>
  <c r="S456" i="1"/>
  <c r="T456" i="1"/>
  <c r="M456" i="1"/>
  <c r="P456" i="1"/>
  <c r="I456" i="1"/>
  <c r="J456" i="1"/>
  <c r="K456" i="1"/>
  <c r="L456" i="1"/>
  <c r="Q455" i="1"/>
  <c r="R455" i="1"/>
  <c r="S455" i="1"/>
  <c r="T455" i="1"/>
  <c r="M455" i="1"/>
  <c r="P455" i="1"/>
  <c r="I455" i="1"/>
  <c r="J455" i="1"/>
  <c r="K455" i="1"/>
  <c r="L455" i="1"/>
  <c r="Q454" i="1"/>
  <c r="R454" i="1"/>
  <c r="S454" i="1"/>
  <c r="T454" i="1"/>
  <c r="M454" i="1"/>
  <c r="P454" i="1"/>
  <c r="I454" i="1"/>
  <c r="J454" i="1"/>
  <c r="K454" i="1"/>
  <c r="L454" i="1"/>
  <c r="Q453" i="1"/>
  <c r="R453" i="1"/>
  <c r="S453" i="1"/>
  <c r="T453" i="1"/>
  <c r="M453" i="1"/>
  <c r="P453" i="1"/>
  <c r="I453" i="1"/>
  <c r="J453" i="1"/>
  <c r="K453" i="1"/>
  <c r="L453" i="1"/>
  <c r="Q452" i="1"/>
  <c r="R452" i="1"/>
  <c r="S452" i="1"/>
  <c r="T452" i="1"/>
  <c r="M452" i="1"/>
  <c r="P452" i="1"/>
  <c r="I452" i="1"/>
  <c r="J452" i="1"/>
  <c r="K452" i="1"/>
  <c r="L452" i="1"/>
  <c r="Q451" i="1"/>
  <c r="R451" i="1"/>
  <c r="S451" i="1"/>
  <c r="T451" i="1"/>
  <c r="M451" i="1"/>
  <c r="P451" i="1"/>
  <c r="I451" i="1"/>
  <c r="J451" i="1"/>
  <c r="K451" i="1"/>
  <c r="L451" i="1"/>
  <c r="Q450" i="1"/>
  <c r="R450" i="1"/>
  <c r="S450" i="1"/>
  <c r="T450" i="1"/>
  <c r="M450" i="1"/>
  <c r="P450" i="1"/>
  <c r="I450" i="1"/>
  <c r="J450" i="1"/>
  <c r="K450" i="1"/>
  <c r="L450" i="1"/>
  <c r="Q449" i="1"/>
  <c r="R449" i="1"/>
  <c r="S449" i="1"/>
  <c r="T449" i="1"/>
  <c r="M449" i="1"/>
  <c r="P449" i="1"/>
  <c r="I449" i="1"/>
  <c r="J449" i="1"/>
  <c r="K449" i="1"/>
  <c r="L449" i="1"/>
  <c r="Q448" i="1"/>
  <c r="R448" i="1"/>
  <c r="S448" i="1"/>
  <c r="T448" i="1"/>
  <c r="M448" i="1"/>
  <c r="P448" i="1"/>
  <c r="I448" i="1"/>
  <c r="J448" i="1"/>
  <c r="K448" i="1"/>
  <c r="L448" i="1"/>
  <c r="Q447" i="1"/>
  <c r="R447" i="1"/>
  <c r="S447" i="1"/>
  <c r="T447" i="1"/>
  <c r="M447" i="1"/>
  <c r="P447" i="1"/>
  <c r="I447" i="1"/>
  <c r="J447" i="1"/>
  <c r="K447" i="1"/>
  <c r="L447" i="1"/>
  <c r="Q446" i="1"/>
  <c r="R446" i="1"/>
  <c r="S446" i="1"/>
  <c r="T446" i="1"/>
  <c r="M446" i="1"/>
  <c r="P446" i="1"/>
  <c r="I446" i="1"/>
  <c r="J446" i="1"/>
  <c r="K446" i="1"/>
  <c r="L446" i="1"/>
  <c r="Q445" i="1"/>
  <c r="R445" i="1"/>
  <c r="S445" i="1"/>
  <c r="T445" i="1"/>
  <c r="M445" i="1"/>
  <c r="P445" i="1"/>
  <c r="I445" i="1"/>
  <c r="J445" i="1"/>
  <c r="K445" i="1"/>
  <c r="L445" i="1"/>
  <c r="Q444" i="1"/>
  <c r="R444" i="1"/>
  <c r="S444" i="1"/>
  <c r="T444" i="1"/>
  <c r="M444" i="1"/>
  <c r="P444" i="1"/>
  <c r="I444" i="1"/>
  <c r="J444" i="1"/>
  <c r="K444" i="1"/>
  <c r="L444" i="1"/>
  <c r="Q443" i="1"/>
  <c r="R443" i="1"/>
  <c r="S443" i="1"/>
  <c r="T443" i="1"/>
  <c r="M443" i="1"/>
  <c r="P443" i="1"/>
  <c r="I443" i="1"/>
  <c r="J443" i="1"/>
  <c r="K443" i="1"/>
  <c r="L443" i="1"/>
  <c r="Q442" i="1"/>
  <c r="R442" i="1"/>
  <c r="S442" i="1"/>
  <c r="T442" i="1"/>
  <c r="M442" i="1"/>
  <c r="P442" i="1"/>
  <c r="I442" i="1"/>
  <c r="J442" i="1"/>
  <c r="K442" i="1"/>
  <c r="L442" i="1"/>
  <c r="Q441" i="1"/>
  <c r="R441" i="1"/>
  <c r="S441" i="1"/>
  <c r="T441" i="1"/>
  <c r="M441" i="1"/>
  <c r="P441" i="1"/>
  <c r="I441" i="1"/>
  <c r="J441" i="1"/>
  <c r="K441" i="1"/>
  <c r="L441" i="1"/>
  <c r="Q440" i="1"/>
  <c r="R440" i="1"/>
  <c r="S440" i="1"/>
  <c r="T440" i="1"/>
  <c r="M440" i="1"/>
  <c r="P440" i="1"/>
  <c r="I440" i="1"/>
  <c r="J440" i="1"/>
  <c r="K440" i="1"/>
  <c r="L440" i="1"/>
  <c r="Q439" i="1"/>
  <c r="R439" i="1"/>
  <c r="S439" i="1"/>
  <c r="T439" i="1"/>
  <c r="M439" i="1"/>
  <c r="P439" i="1"/>
  <c r="I439" i="1"/>
  <c r="J439" i="1"/>
  <c r="K439" i="1"/>
  <c r="L439" i="1"/>
  <c r="Q438" i="1"/>
  <c r="R438" i="1"/>
  <c r="S438" i="1"/>
  <c r="T438" i="1"/>
  <c r="M438" i="1"/>
  <c r="P438" i="1"/>
  <c r="I438" i="1"/>
  <c r="J438" i="1"/>
  <c r="K438" i="1"/>
  <c r="L438" i="1"/>
  <c r="Q437" i="1"/>
  <c r="R437" i="1"/>
  <c r="S437" i="1"/>
  <c r="T437" i="1"/>
  <c r="M437" i="1"/>
  <c r="P437" i="1"/>
  <c r="I437" i="1"/>
  <c r="J437" i="1"/>
  <c r="K437" i="1"/>
  <c r="L437" i="1"/>
  <c r="Q436" i="1"/>
  <c r="R436" i="1"/>
  <c r="S436" i="1"/>
  <c r="T436" i="1"/>
  <c r="M436" i="1"/>
  <c r="P436" i="1"/>
  <c r="I436" i="1"/>
  <c r="J436" i="1"/>
  <c r="K436" i="1"/>
  <c r="L436" i="1"/>
  <c r="Q435" i="1"/>
  <c r="R435" i="1"/>
  <c r="S435" i="1"/>
  <c r="T435" i="1"/>
  <c r="M435" i="1"/>
  <c r="P435" i="1"/>
  <c r="I435" i="1"/>
  <c r="J435" i="1"/>
  <c r="K435" i="1"/>
  <c r="L435" i="1"/>
  <c r="Q434" i="1"/>
  <c r="R434" i="1"/>
  <c r="S434" i="1"/>
  <c r="T434" i="1"/>
  <c r="M434" i="1"/>
  <c r="P434" i="1"/>
  <c r="I434" i="1"/>
  <c r="J434" i="1"/>
  <c r="K434" i="1"/>
  <c r="L434" i="1"/>
  <c r="Q433" i="1"/>
  <c r="R433" i="1"/>
  <c r="S433" i="1"/>
  <c r="T433" i="1"/>
  <c r="M433" i="1"/>
  <c r="P433" i="1"/>
  <c r="I433" i="1"/>
  <c r="J433" i="1"/>
  <c r="K433" i="1"/>
  <c r="L433" i="1"/>
  <c r="Q432" i="1"/>
  <c r="R432" i="1"/>
  <c r="S432" i="1"/>
  <c r="T432" i="1"/>
  <c r="M432" i="1"/>
  <c r="P432" i="1"/>
  <c r="I432" i="1"/>
  <c r="J432" i="1"/>
  <c r="K432" i="1"/>
  <c r="L432" i="1"/>
  <c r="Q431" i="1"/>
  <c r="R431" i="1"/>
  <c r="S431" i="1"/>
  <c r="T431" i="1"/>
  <c r="M431" i="1"/>
  <c r="P431" i="1"/>
  <c r="I431" i="1"/>
  <c r="J431" i="1"/>
  <c r="K431" i="1"/>
  <c r="L431" i="1"/>
  <c r="Q430" i="1"/>
  <c r="R430" i="1"/>
  <c r="S430" i="1"/>
  <c r="T430" i="1"/>
  <c r="M430" i="1"/>
  <c r="P430" i="1"/>
  <c r="I430" i="1"/>
  <c r="J430" i="1"/>
  <c r="K430" i="1"/>
  <c r="L430" i="1"/>
  <c r="Q429" i="1"/>
  <c r="R429" i="1"/>
  <c r="S429" i="1"/>
  <c r="T429" i="1"/>
  <c r="M429" i="1"/>
  <c r="P429" i="1"/>
  <c r="I429" i="1"/>
  <c r="J429" i="1"/>
  <c r="K429" i="1"/>
  <c r="L429" i="1"/>
  <c r="Q428" i="1"/>
  <c r="R428" i="1"/>
  <c r="S428" i="1"/>
  <c r="T428" i="1"/>
  <c r="M428" i="1"/>
  <c r="P428" i="1"/>
  <c r="I428" i="1"/>
  <c r="J428" i="1"/>
  <c r="K428" i="1"/>
  <c r="L428" i="1"/>
  <c r="Q427" i="1"/>
  <c r="R427" i="1"/>
  <c r="S427" i="1"/>
  <c r="T427" i="1"/>
  <c r="M427" i="1"/>
  <c r="P427" i="1"/>
  <c r="I427" i="1"/>
  <c r="J427" i="1"/>
  <c r="K427" i="1"/>
  <c r="L427" i="1"/>
  <c r="Q426" i="1"/>
  <c r="R426" i="1"/>
  <c r="S426" i="1"/>
  <c r="T426" i="1"/>
  <c r="M426" i="1"/>
  <c r="P426" i="1"/>
  <c r="I426" i="1"/>
  <c r="J426" i="1"/>
  <c r="K426" i="1"/>
  <c r="L426" i="1"/>
  <c r="Q425" i="1"/>
  <c r="R425" i="1"/>
  <c r="S425" i="1"/>
  <c r="T425" i="1"/>
  <c r="M425" i="1"/>
  <c r="P425" i="1"/>
  <c r="I425" i="1"/>
  <c r="J425" i="1"/>
  <c r="K425" i="1"/>
  <c r="L425" i="1"/>
  <c r="Q424" i="1"/>
  <c r="R424" i="1"/>
  <c r="S424" i="1"/>
  <c r="T424" i="1"/>
  <c r="M424" i="1"/>
  <c r="P424" i="1"/>
  <c r="I424" i="1"/>
  <c r="J424" i="1"/>
  <c r="K424" i="1"/>
  <c r="L424" i="1"/>
  <c r="Q423" i="1"/>
  <c r="R423" i="1"/>
  <c r="S423" i="1"/>
  <c r="T423" i="1"/>
  <c r="M423" i="1"/>
  <c r="P423" i="1"/>
  <c r="I423" i="1"/>
  <c r="J423" i="1"/>
  <c r="K423" i="1"/>
  <c r="L423" i="1"/>
  <c r="Q422" i="1"/>
  <c r="R422" i="1"/>
  <c r="S422" i="1"/>
  <c r="T422" i="1"/>
  <c r="M422" i="1"/>
  <c r="P422" i="1"/>
  <c r="I422" i="1"/>
  <c r="J422" i="1"/>
  <c r="K422" i="1"/>
  <c r="L422" i="1"/>
  <c r="Q421" i="1"/>
  <c r="R421" i="1"/>
  <c r="S421" i="1"/>
  <c r="T421" i="1"/>
  <c r="M421" i="1"/>
  <c r="P421" i="1"/>
  <c r="I421" i="1"/>
  <c r="J421" i="1"/>
  <c r="K421" i="1"/>
  <c r="L421" i="1"/>
  <c r="Q420" i="1"/>
  <c r="R420" i="1"/>
  <c r="S420" i="1"/>
  <c r="T420" i="1"/>
  <c r="M420" i="1"/>
  <c r="P420" i="1"/>
  <c r="I420" i="1"/>
  <c r="J420" i="1"/>
  <c r="K420" i="1"/>
  <c r="L420" i="1"/>
  <c r="Q419" i="1"/>
  <c r="R419" i="1"/>
  <c r="S419" i="1"/>
  <c r="T419" i="1"/>
  <c r="M419" i="1"/>
  <c r="P419" i="1"/>
  <c r="I419" i="1"/>
  <c r="J419" i="1"/>
  <c r="K419" i="1"/>
  <c r="L419" i="1"/>
  <c r="Q418" i="1"/>
  <c r="R418" i="1"/>
  <c r="S418" i="1"/>
  <c r="T418" i="1"/>
  <c r="M418" i="1"/>
  <c r="P418" i="1"/>
  <c r="I418" i="1"/>
  <c r="J418" i="1"/>
  <c r="K418" i="1"/>
  <c r="L418" i="1"/>
  <c r="Q417" i="1"/>
  <c r="R417" i="1"/>
  <c r="S417" i="1"/>
  <c r="T417" i="1"/>
  <c r="M417" i="1"/>
  <c r="P417" i="1"/>
  <c r="I417" i="1"/>
  <c r="J417" i="1"/>
  <c r="K417" i="1"/>
  <c r="L417" i="1"/>
  <c r="Q416" i="1"/>
  <c r="R416" i="1"/>
  <c r="S416" i="1"/>
  <c r="T416" i="1"/>
  <c r="M416" i="1"/>
  <c r="P416" i="1"/>
  <c r="I416" i="1"/>
  <c r="J416" i="1"/>
  <c r="K416" i="1"/>
  <c r="L416" i="1"/>
  <c r="Q415" i="1"/>
  <c r="R415" i="1"/>
  <c r="S415" i="1"/>
  <c r="T415" i="1"/>
  <c r="M415" i="1"/>
  <c r="P415" i="1"/>
  <c r="I415" i="1"/>
  <c r="J415" i="1"/>
  <c r="K415" i="1"/>
  <c r="L415" i="1"/>
  <c r="Q414" i="1"/>
  <c r="R414" i="1"/>
  <c r="S414" i="1"/>
  <c r="T414" i="1"/>
  <c r="M414" i="1"/>
  <c r="P414" i="1"/>
  <c r="I414" i="1"/>
  <c r="J414" i="1"/>
  <c r="K414" i="1"/>
  <c r="L414" i="1"/>
  <c r="Q413" i="1"/>
  <c r="R413" i="1"/>
  <c r="S413" i="1"/>
  <c r="T413" i="1"/>
  <c r="M413" i="1"/>
  <c r="P413" i="1"/>
  <c r="I413" i="1"/>
  <c r="J413" i="1"/>
  <c r="K413" i="1"/>
  <c r="L413" i="1"/>
  <c r="Q412" i="1"/>
  <c r="R412" i="1"/>
  <c r="S412" i="1"/>
  <c r="T412" i="1"/>
  <c r="M412" i="1"/>
  <c r="P412" i="1"/>
  <c r="I412" i="1"/>
  <c r="J412" i="1"/>
  <c r="K412" i="1"/>
  <c r="L412" i="1"/>
  <c r="Q411" i="1"/>
  <c r="R411" i="1"/>
  <c r="S411" i="1"/>
  <c r="T411" i="1"/>
  <c r="M411" i="1"/>
  <c r="P411" i="1"/>
  <c r="I411" i="1"/>
  <c r="J411" i="1"/>
  <c r="K411" i="1"/>
  <c r="L411" i="1"/>
  <c r="Q410" i="1"/>
  <c r="R410" i="1"/>
  <c r="S410" i="1"/>
  <c r="T410" i="1"/>
  <c r="M410" i="1"/>
  <c r="P410" i="1"/>
  <c r="I410" i="1"/>
  <c r="J410" i="1"/>
  <c r="K410" i="1"/>
  <c r="L410" i="1"/>
  <c r="Q409" i="1"/>
  <c r="R409" i="1"/>
  <c r="S409" i="1"/>
  <c r="T409" i="1"/>
  <c r="M409" i="1"/>
  <c r="P409" i="1"/>
  <c r="I409" i="1"/>
  <c r="J409" i="1"/>
  <c r="K409" i="1"/>
  <c r="L409" i="1"/>
  <c r="Q408" i="1"/>
  <c r="R408" i="1"/>
  <c r="S408" i="1"/>
  <c r="T408" i="1"/>
  <c r="M408" i="1"/>
  <c r="P408" i="1"/>
  <c r="I408" i="1"/>
  <c r="J408" i="1"/>
  <c r="K408" i="1"/>
  <c r="L408" i="1"/>
  <c r="Q407" i="1"/>
  <c r="R407" i="1"/>
  <c r="S407" i="1"/>
  <c r="T407" i="1"/>
  <c r="M407" i="1"/>
  <c r="P407" i="1"/>
  <c r="I407" i="1"/>
  <c r="J407" i="1"/>
  <c r="K407" i="1"/>
  <c r="L407" i="1"/>
  <c r="Q406" i="1"/>
  <c r="R406" i="1"/>
  <c r="S406" i="1"/>
  <c r="T406" i="1"/>
  <c r="M406" i="1"/>
  <c r="P406" i="1"/>
  <c r="I406" i="1"/>
  <c r="J406" i="1"/>
  <c r="K406" i="1"/>
  <c r="L406" i="1"/>
  <c r="Q405" i="1"/>
  <c r="R405" i="1"/>
  <c r="S405" i="1"/>
  <c r="T405" i="1"/>
  <c r="M405" i="1"/>
  <c r="P405" i="1"/>
  <c r="I405" i="1"/>
  <c r="J405" i="1"/>
  <c r="K405" i="1"/>
  <c r="L405" i="1"/>
  <c r="Q404" i="1"/>
  <c r="R404" i="1"/>
  <c r="S404" i="1"/>
  <c r="T404" i="1"/>
  <c r="M404" i="1"/>
  <c r="P404" i="1"/>
  <c r="I404" i="1"/>
  <c r="J404" i="1"/>
  <c r="K404" i="1"/>
  <c r="L404" i="1"/>
  <c r="Q403" i="1"/>
  <c r="R403" i="1"/>
  <c r="S403" i="1"/>
  <c r="T403" i="1"/>
  <c r="M403" i="1"/>
  <c r="P403" i="1"/>
  <c r="I403" i="1"/>
  <c r="J403" i="1"/>
  <c r="K403" i="1"/>
  <c r="L403" i="1"/>
  <c r="Q402" i="1"/>
  <c r="R402" i="1"/>
  <c r="S402" i="1"/>
  <c r="T402" i="1"/>
  <c r="M402" i="1"/>
  <c r="P402" i="1"/>
  <c r="I402" i="1"/>
  <c r="J402" i="1"/>
  <c r="K402" i="1"/>
  <c r="L402" i="1"/>
  <c r="Q401" i="1"/>
  <c r="R401" i="1"/>
  <c r="S401" i="1"/>
  <c r="T401" i="1"/>
  <c r="M401" i="1"/>
  <c r="P401" i="1"/>
  <c r="I401" i="1"/>
  <c r="J401" i="1"/>
  <c r="K401" i="1"/>
  <c r="L401" i="1"/>
  <c r="Q400" i="1"/>
  <c r="R400" i="1"/>
  <c r="S400" i="1"/>
  <c r="T400" i="1"/>
  <c r="M400" i="1"/>
  <c r="P400" i="1"/>
  <c r="I400" i="1"/>
  <c r="J400" i="1"/>
  <c r="K400" i="1"/>
  <c r="L400" i="1"/>
  <c r="Q399" i="1"/>
  <c r="R399" i="1"/>
  <c r="S399" i="1"/>
  <c r="T399" i="1"/>
  <c r="M399" i="1"/>
  <c r="P399" i="1"/>
  <c r="I399" i="1"/>
  <c r="J399" i="1"/>
  <c r="K399" i="1"/>
  <c r="L399" i="1"/>
  <c r="Q398" i="1"/>
  <c r="R398" i="1"/>
  <c r="S398" i="1"/>
  <c r="T398" i="1"/>
  <c r="M398" i="1"/>
  <c r="P398" i="1"/>
  <c r="I398" i="1"/>
  <c r="J398" i="1"/>
  <c r="K398" i="1"/>
  <c r="L398" i="1"/>
  <c r="Q397" i="1"/>
  <c r="R397" i="1"/>
  <c r="S397" i="1"/>
  <c r="T397" i="1"/>
  <c r="M397" i="1"/>
  <c r="P397" i="1"/>
  <c r="I397" i="1"/>
  <c r="J397" i="1"/>
  <c r="K397" i="1"/>
  <c r="L397" i="1"/>
  <c r="Q396" i="1"/>
  <c r="R396" i="1"/>
  <c r="S396" i="1"/>
  <c r="T396" i="1"/>
  <c r="M396" i="1"/>
  <c r="P396" i="1"/>
  <c r="I396" i="1"/>
  <c r="J396" i="1"/>
  <c r="K396" i="1"/>
  <c r="L396" i="1"/>
  <c r="Q395" i="1"/>
  <c r="R395" i="1"/>
  <c r="S395" i="1"/>
  <c r="T395" i="1"/>
  <c r="M395" i="1"/>
  <c r="P395" i="1"/>
  <c r="I395" i="1"/>
  <c r="J395" i="1"/>
  <c r="K395" i="1"/>
  <c r="L395" i="1"/>
  <c r="Q394" i="1"/>
  <c r="R394" i="1"/>
  <c r="S394" i="1"/>
  <c r="T394" i="1"/>
  <c r="M394" i="1"/>
  <c r="P394" i="1"/>
  <c r="I394" i="1"/>
  <c r="J394" i="1"/>
  <c r="K394" i="1"/>
  <c r="L394" i="1"/>
  <c r="Q393" i="1"/>
  <c r="R393" i="1"/>
  <c r="S393" i="1"/>
  <c r="T393" i="1"/>
  <c r="M393" i="1"/>
  <c r="P393" i="1"/>
  <c r="I393" i="1"/>
  <c r="J393" i="1"/>
  <c r="K393" i="1"/>
  <c r="L393" i="1"/>
  <c r="Q392" i="1"/>
  <c r="R392" i="1"/>
  <c r="S392" i="1"/>
  <c r="T392" i="1"/>
  <c r="M392" i="1"/>
  <c r="P392" i="1"/>
  <c r="I392" i="1"/>
  <c r="J392" i="1"/>
  <c r="K392" i="1"/>
  <c r="L392" i="1"/>
  <c r="Q391" i="1"/>
  <c r="R391" i="1"/>
  <c r="S391" i="1"/>
  <c r="T391" i="1"/>
  <c r="M391" i="1"/>
  <c r="P391" i="1"/>
  <c r="I391" i="1"/>
  <c r="J391" i="1"/>
  <c r="K391" i="1"/>
  <c r="L391" i="1"/>
  <c r="Q390" i="1"/>
  <c r="R390" i="1"/>
  <c r="S390" i="1"/>
  <c r="T390" i="1"/>
  <c r="M390" i="1"/>
  <c r="P390" i="1"/>
  <c r="I390" i="1"/>
  <c r="J390" i="1"/>
  <c r="K390" i="1"/>
  <c r="L390" i="1"/>
  <c r="Q389" i="1"/>
  <c r="R389" i="1"/>
  <c r="S389" i="1"/>
  <c r="T389" i="1"/>
  <c r="M389" i="1"/>
  <c r="P389" i="1"/>
  <c r="I389" i="1"/>
  <c r="J389" i="1"/>
  <c r="K389" i="1"/>
  <c r="L389" i="1"/>
  <c r="Q388" i="1"/>
  <c r="R388" i="1"/>
  <c r="S388" i="1"/>
  <c r="T388" i="1"/>
  <c r="M388" i="1"/>
  <c r="P388" i="1"/>
  <c r="I388" i="1"/>
  <c r="J388" i="1"/>
  <c r="K388" i="1"/>
  <c r="L388" i="1"/>
  <c r="Q387" i="1"/>
  <c r="R387" i="1"/>
  <c r="S387" i="1"/>
  <c r="T387" i="1"/>
  <c r="M387" i="1"/>
  <c r="P387" i="1"/>
  <c r="I387" i="1"/>
  <c r="J387" i="1"/>
  <c r="K387" i="1"/>
  <c r="L387" i="1"/>
  <c r="Q386" i="1"/>
  <c r="R386" i="1"/>
  <c r="S386" i="1"/>
  <c r="T386" i="1"/>
  <c r="M386" i="1"/>
  <c r="P386" i="1"/>
  <c r="I386" i="1"/>
  <c r="J386" i="1"/>
  <c r="K386" i="1"/>
  <c r="L386" i="1"/>
  <c r="Q385" i="1"/>
  <c r="R385" i="1"/>
  <c r="S385" i="1"/>
  <c r="T385" i="1"/>
  <c r="M385" i="1"/>
  <c r="P385" i="1"/>
  <c r="I385" i="1"/>
  <c r="J385" i="1"/>
  <c r="K385" i="1"/>
  <c r="L385" i="1"/>
  <c r="Q384" i="1"/>
  <c r="R384" i="1"/>
  <c r="S384" i="1"/>
  <c r="T384" i="1"/>
  <c r="M384" i="1"/>
  <c r="P384" i="1"/>
  <c r="I384" i="1"/>
  <c r="J384" i="1"/>
  <c r="K384" i="1"/>
  <c r="L384" i="1"/>
  <c r="Q383" i="1"/>
  <c r="R383" i="1"/>
  <c r="S383" i="1"/>
  <c r="T383" i="1"/>
  <c r="M383" i="1"/>
  <c r="P383" i="1"/>
  <c r="I383" i="1"/>
  <c r="J383" i="1"/>
  <c r="K383" i="1"/>
  <c r="L383" i="1"/>
  <c r="Q382" i="1"/>
  <c r="R382" i="1"/>
  <c r="S382" i="1"/>
  <c r="T382" i="1"/>
  <c r="M382" i="1"/>
  <c r="P382" i="1"/>
  <c r="I382" i="1"/>
  <c r="J382" i="1"/>
  <c r="K382" i="1"/>
  <c r="L382" i="1"/>
  <c r="Q381" i="1"/>
  <c r="R381" i="1"/>
  <c r="S381" i="1"/>
  <c r="T381" i="1"/>
  <c r="M381" i="1"/>
  <c r="P381" i="1"/>
  <c r="I381" i="1"/>
  <c r="J381" i="1"/>
  <c r="K381" i="1"/>
  <c r="L381" i="1"/>
  <c r="Q380" i="1"/>
  <c r="R380" i="1"/>
  <c r="S380" i="1"/>
  <c r="T380" i="1"/>
  <c r="M380" i="1"/>
  <c r="P380" i="1"/>
  <c r="I380" i="1"/>
  <c r="J380" i="1"/>
  <c r="K380" i="1"/>
  <c r="L380" i="1"/>
  <c r="Q379" i="1"/>
  <c r="R379" i="1"/>
  <c r="S379" i="1"/>
  <c r="T379" i="1"/>
  <c r="M379" i="1"/>
  <c r="P379" i="1"/>
  <c r="I379" i="1"/>
  <c r="J379" i="1"/>
  <c r="K379" i="1"/>
  <c r="L379" i="1"/>
  <c r="Q378" i="1"/>
  <c r="R378" i="1"/>
  <c r="S378" i="1"/>
  <c r="T378" i="1"/>
  <c r="M378" i="1"/>
  <c r="P378" i="1"/>
  <c r="I378" i="1"/>
  <c r="J378" i="1"/>
  <c r="K378" i="1"/>
  <c r="L378" i="1"/>
  <c r="Q377" i="1"/>
  <c r="R377" i="1"/>
  <c r="S377" i="1"/>
  <c r="T377" i="1"/>
  <c r="M377" i="1"/>
  <c r="P377" i="1"/>
  <c r="I377" i="1"/>
  <c r="J377" i="1"/>
  <c r="K377" i="1"/>
  <c r="L377" i="1"/>
  <c r="Q376" i="1"/>
  <c r="R376" i="1"/>
  <c r="S376" i="1"/>
  <c r="T376" i="1"/>
  <c r="M376" i="1"/>
  <c r="P376" i="1"/>
  <c r="I376" i="1"/>
  <c r="J376" i="1"/>
  <c r="K376" i="1"/>
  <c r="L376" i="1"/>
  <c r="Q375" i="1"/>
  <c r="R375" i="1"/>
  <c r="S375" i="1"/>
  <c r="T375" i="1"/>
  <c r="M375" i="1"/>
  <c r="P375" i="1"/>
  <c r="I375" i="1"/>
  <c r="J375" i="1"/>
  <c r="K375" i="1"/>
  <c r="L375" i="1"/>
  <c r="Q374" i="1"/>
  <c r="R374" i="1"/>
  <c r="S374" i="1"/>
  <c r="T374" i="1"/>
  <c r="M374" i="1"/>
  <c r="P374" i="1"/>
  <c r="I374" i="1"/>
  <c r="J374" i="1"/>
  <c r="K374" i="1"/>
  <c r="L374" i="1"/>
  <c r="Q373" i="1"/>
  <c r="R373" i="1"/>
  <c r="S373" i="1"/>
  <c r="T373" i="1"/>
  <c r="M373" i="1"/>
  <c r="P373" i="1"/>
  <c r="I373" i="1"/>
  <c r="J373" i="1"/>
  <c r="K373" i="1"/>
  <c r="L373" i="1"/>
  <c r="Q372" i="1"/>
  <c r="R372" i="1"/>
  <c r="S372" i="1"/>
  <c r="T372" i="1"/>
  <c r="M372" i="1"/>
  <c r="P372" i="1"/>
  <c r="I372" i="1"/>
  <c r="J372" i="1"/>
  <c r="K372" i="1"/>
  <c r="L372" i="1"/>
  <c r="Q371" i="1"/>
  <c r="R371" i="1"/>
  <c r="S371" i="1"/>
  <c r="T371" i="1"/>
  <c r="M371" i="1"/>
  <c r="P371" i="1"/>
  <c r="I371" i="1"/>
  <c r="J371" i="1"/>
  <c r="K371" i="1"/>
  <c r="L371" i="1"/>
  <c r="Q370" i="1"/>
  <c r="R370" i="1"/>
  <c r="S370" i="1"/>
  <c r="T370" i="1"/>
  <c r="M370" i="1"/>
  <c r="P370" i="1"/>
  <c r="I370" i="1"/>
  <c r="J370" i="1"/>
  <c r="K370" i="1"/>
  <c r="L370" i="1"/>
  <c r="Q369" i="1"/>
  <c r="R369" i="1"/>
  <c r="S369" i="1"/>
  <c r="T369" i="1"/>
  <c r="M369" i="1"/>
  <c r="P369" i="1"/>
  <c r="I369" i="1"/>
  <c r="J369" i="1"/>
  <c r="K369" i="1"/>
  <c r="L369" i="1"/>
  <c r="Q368" i="1"/>
  <c r="R368" i="1"/>
  <c r="S368" i="1"/>
  <c r="T368" i="1"/>
  <c r="M368" i="1"/>
  <c r="P368" i="1"/>
  <c r="I368" i="1"/>
  <c r="J368" i="1"/>
  <c r="K368" i="1"/>
  <c r="L368" i="1"/>
  <c r="Q367" i="1"/>
  <c r="R367" i="1"/>
  <c r="S367" i="1"/>
  <c r="T367" i="1"/>
  <c r="M367" i="1"/>
  <c r="P367" i="1"/>
  <c r="I367" i="1"/>
  <c r="J367" i="1"/>
  <c r="K367" i="1"/>
  <c r="L367" i="1"/>
  <c r="Q366" i="1"/>
  <c r="R366" i="1"/>
  <c r="S366" i="1"/>
  <c r="T366" i="1"/>
  <c r="M366" i="1"/>
  <c r="P366" i="1"/>
  <c r="I366" i="1"/>
  <c r="J366" i="1"/>
  <c r="K366" i="1"/>
  <c r="L366" i="1"/>
  <c r="Q365" i="1"/>
  <c r="R365" i="1"/>
  <c r="S365" i="1"/>
  <c r="T365" i="1"/>
  <c r="M365" i="1"/>
  <c r="P365" i="1"/>
  <c r="I365" i="1"/>
  <c r="J365" i="1"/>
  <c r="K365" i="1"/>
  <c r="L365" i="1"/>
  <c r="Q364" i="1"/>
  <c r="R364" i="1"/>
  <c r="S364" i="1"/>
  <c r="T364" i="1"/>
  <c r="M364" i="1"/>
  <c r="P364" i="1"/>
  <c r="I364" i="1"/>
  <c r="J364" i="1"/>
  <c r="K364" i="1"/>
  <c r="L364" i="1"/>
  <c r="Q363" i="1"/>
  <c r="R363" i="1"/>
  <c r="S363" i="1"/>
  <c r="T363" i="1"/>
  <c r="M363" i="1"/>
  <c r="P363" i="1"/>
  <c r="I363" i="1"/>
  <c r="J363" i="1"/>
  <c r="K363" i="1"/>
  <c r="L363" i="1"/>
  <c r="Q362" i="1"/>
  <c r="R362" i="1"/>
  <c r="S362" i="1"/>
  <c r="T362" i="1"/>
  <c r="M362" i="1"/>
  <c r="P362" i="1"/>
  <c r="I362" i="1"/>
  <c r="J362" i="1"/>
  <c r="K362" i="1"/>
  <c r="L362" i="1"/>
  <c r="Q361" i="1"/>
  <c r="R361" i="1"/>
  <c r="S361" i="1"/>
  <c r="T361" i="1"/>
  <c r="M361" i="1"/>
  <c r="P361" i="1"/>
  <c r="I361" i="1"/>
  <c r="J361" i="1"/>
  <c r="K361" i="1"/>
  <c r="L361" i="1"/>
  <c r="Q360" i="1"/>
  <c r="R360" i="1"/>
  <c r="S360" i="1"/>
  <c r="T360" i="1"/>
  <c r="M360" i="1"/>
  <c r="P360" i="1"/>
  <c r="I360" i="1"/>
  <c r="J360" i="1"/>
  <c r="K360" i="1"/>
  <c r="L360" i="1"/>
  <c r="Q359" i="1"/>
  <c r="R359" i="1"/>
  <c r="S359" i="1"/>
  <c r="T359" i="1"/>
  <c r="M359" i="1"/>
  <c r="P359" i="1"/>
  <c r="I359" i="1"/>
  <c r="J359" i="1"/>
  <c r="K359" i="1"/>
  <c r="L359" i="1"/>
  <c r="Q358" i="1"/>
  <c r="R358" i="1"/>
  <c r="S358" i="1"/>
  <c r="T358" i="1"/>
  <c r="M358" i="1"/>
  <c r="P358" i="1"/>
  <c r="I358" i="1"/>
  <c r="J358" i="1"/>
  <c r="K358" i="1"/>
  <c r="L358" i="1"/>
  <c r="Q357" i="1"/>
  <c r="R357" i="1"/>
  <c r="S357" i="1"/>
  <c r="T357" i="1"/>
  <c r="M357" i="1"/>
  <c r="P357" i="1"/>
  <c r="I357" i="1"/>
  <c r="J357" i="1"/>
  <c r="K357" i="1"/>
  <c r="L357" i="1"/>
  <c r="Q356" i="1"/>
  <c r="R356" i="1"/>
  <c r="S356" i="1"/>
  <c r="T356" i="1"/>
  <c r="M356" i="1"/>
  <c r="P356" i="1"/>
  <c r="I356" i="1"/>
  <c r="J356" i="1"/>
  <c r="K356" i="1"/>
  <c r="L356" i="1"/>
  <c r="Q355" i="1"/>
  <c r="R355" i="1"/>
  <c r="S355" i="1"/>
  <c r="T355" i="1"/>
  <c r="M355" i="1"/>
  <c r="P355" i="1"/>
  <c r="I355" i="1"/>
  <c r="J355" i="1"/>
  <c r="K355" i="1"/>
  <c r="L355" i="1"/>
  <c r="Q354" i="1"/>
  <c r="R354" i="1"/>
  <c r="S354" i="1"/>
  <c r="T354" i="1"/>
  <c r="M354" i="1"/>
  <c r="P354" i="1"/>
  <c r="I354" i="1"/>
  <c r="J354" i="1"/>
  <c r="K354" i="1"/>
  <c r="L354" i="1"/>
  <c r="Q353" i="1"/>
  <c r="R353" i="1"/>
  <c r="S353" i="1"/>
  <c r="T353" i="1"/>
  <c r="M353" i="1"/>
  <c r="P353" i="1"/>
  <c r="I353" i="1"/>
  <c r="J353" i="1"/>
  <c r="K353" i="1"/>
  <c r="L353" i="1"/>
  <c r="Q352" i="1"/>
  <c r="R352" i="1"/>
  <c r="S352" i="1"/>
  <c r="T352" i="1"/>
  <c r="M352" i="1"/>
  <c r="P352" i="1"/>
  <c r="I352" i="1"/>
  <c r="J352" i="1"/>
  <c r="K352" i="1"/>
  <c r="L352" i="1"/>
  <c r="Q351" i="1"/>
  <c r="R351" i="1"/>
  <c r="S351" i="1"/>
  <c r="T351" i="1"/>
  <c r="M351" i="1"/>
  <c r="P351" i="1"/>
  <c r="I351" i="1"/>
  <c r="J351" i="1"/>
  <c r="K351" i="1"/>
  <c r="L351" i="1"/>
  <c r="Q350" i="1"/>
  <c r="R350" i="1"/>
  <c r="S350" i="1"/>
  <c r="T350" i="1"/>
  <c r="M350" i="1"/>
  <c r="P350" i="1"/>
  <c r="I350" i="1"/>
  <c r="J350" i="1"/>
  <c r="K350" i="1"/>
  <c r="L350" i="1"/>
  <c r="Q349" i="1"/>
  <c r="R349" i="1"/>
  <c r="S349" i="1"/>
  <c r="T349" i="1"/>
  <c r="M349" i="1"/>
  <c r="P349" i="1"/>
  <c r="I349" i="1"/>
  <c r="J349" i="1"/>
  <c r="K349" i="1"/>
  <c r="L349" i="1"/>
  <c r="Q348" i="1"/>
  <c r="R348" i="1"/>
  <c r="S348" i="1"/>
  <c r="T348" i="1"/>
  <c r="M348" i="1"/>
  <c r="P348" i="1"/>
  <c r="I348" i="1"/>
  <c r="J348" i="1"/>
  <c r="K348" i="1"/>
  <c r="L348" i="1"/>
  <c r="Q347" i="1"/>
  <c r="R347" i="1"/>
  <c r="S347" i="1"/>
  <c r="T347" i="1"/>
  <c r="M347" i="1"/>
  <c r="P347" i="1"/>
  <c r="I347" i="1"/>
  <c r="J347" i="1"/>
  <c r="K347" i="1"/>
  <c r="L347" i="1"/>
  <c r="Q346" i="1"/>
  <c r="R346" i="1"/>
  <c r="S346" i="1"/>
  <c r="T346" i="1"/>
  <c r="M346" i="1"/>
  <c r="P346" i="1"/>
  <c r="I346" i="1"/>
  <c r="J346" i="1"/>
  <c r="K346" i="1"/>
  <c r="L346" i="1"/>
  <c r="Q345" i="1"/>
  <c r="R345" i="1"/>
  <c r="S345" i="1"/>
  <c r="T345" i="1"/>
  <c r="M345" i="1"/>
  <c r="P345" i="1"/>
  <c r="I345" i="1"/>
  <c r="J345" i="1"/>
  <c r="K345" i="1"/>
  <c r="L345" i="1"/>
  <c r="Q344" i="1"/>
  <c r="R344" i="1"/>
  <c r="S344" i="1"/>
  <c r="T344" i="1"/>
  <c r="M344" i="1"/>
  <c r="P344" i="1"/>
  <c r="I344" i="1"/>
  <c r="J344" i="1"/>
  <c r="K344" i="1"/>
  <c r="L344" i="1"/>
  <c r="Q343" i="1"/>
  <c r="R343" i="1"/>
  <c r="S343" i="1"/>
  <c r="T343" i="1"/>
  <c r="M343" i="1"/>
  <c r="P343" i="1"/>
  <c r="I343" i="1"/>
  <c r="J343" i="1"/>
  <c r="K343" i="1"/>
  <c r="L343" i="1"/>
  <c r="Q342" i="1"/>
  <c r="R342" i="1"/>
  <c r="S342" i="1"/>
  <c r="T342" i="1"/>
  <c r="M342" i="1"/>
  <c r="P342" i="1"/>
  <c r="I342" i="1"/>
  <c r="J342" i="1"/>
  <c r="K342" i="1"/>
  <c r="L342" i="1"/>
  <c r="Q341" i="1"/>
  <c r="R341" i="1"/>
  <c r="S341" i="1"/>
  <c r="T341" i="1"/>
  <c r="M341" i="1"/>
  <c r="P341" i="1"/>
  <c r="I341" i="1"/>
  <c r="J341" i="1"/>
  <c r="K341" i="1"/>
  <c r="L341" i="1"/>
  <c r="Q340" i="1"/>
  <c r="R340" i="1"/>
  <c r="S340" i="1"/>
  <c r="T340" i="1"/>
  <c r="M340" i="1"/>
  <c r="P340" i="1"/>
  <c r="I340" i="1"/>
  <c r="J340" i="1"/>
  <c r="K340" i="1"/>
  <c r="L340" i="1"/>
  <c r="Q339" i="1"/>
  <c r="R339" i="1"/>
  <c r="S339" i="1"/>
  <c r="T339" i="1"/>
  <c r="M339" i="1"/>
  <c r="P339" i="1"/>
  <c r="I339" i="1"/>
  <c r="J339" i="1"/>
  <c r="K339" i="1"/>
  <c r="L339" i="1"/>
  <c r="Q338" i="1"/>
  <c r="R338" i="1"/>
  <c r="S338" i="1"/>
  <c r="T338" i="1"/>
  <c r="M338" i="1"/>
  <c r="P338" i="1"/>
  <c r="I338" i="1"/>
  <c r="J338" i="1"/>
  <c r="K338" i="1"/>
  <c r="L338" i="1"/>
  <c r="Q337" i="1"/>
  <c r="R337" i="1"/>
  <c r="S337" i="1"/>
  <c r="T337" i="1"/>
  <c r="M337" i="1"/>
  <c r="P337" i="1"/>
  <c r="I337" i="1"/>
  <c r="J337" i="1"/>
  <c r="K337" i="1"/>
  <c r="L337" i="1"/>
  <c r="Q336" i="1"/>
  <c r="R336" i="1"/>
  <c r="S336" i="1"/>
  <c r="T336" i="1"/>
  <c r="M336" i="1"/>
  <c r="P336" i="1"/>
  <c r="I336" i="1"/>
  <c r="J336" i="1"/>
  <c r="K336" i="1"/>
  <c r="L336" i="1"/>
  <c r="Q335" i="1"/>
  <c r="R335" i="1"/>
  <c r="S335" i="1"/>
  <c r="T335" i="1"/>
  <c r="M335" i="1"/>
  <c r="P335" i="1"/>
  <c r="I335" i="1"/>
  <c r="J335" i="1"/>
  <c r="K335" i="1"/>
  <c r="L335" i="1"/>
  <c r="Q334" i="1"/>
  <c r="R334" i="1"/>
  <c r="S334" i="1"/>
  <c r="T334" i="1"/>
  <c r="M334" i="1"/>
  <c r="P334" i="1"/>
  <c r="I334" i="1"/>
  <c r="J334" i="1"/>
  <c r="K334" i="1"/>
  <c r="L334" i="1"/>
  <c r="Q333" i="1"/>
  <c r="R333" i="1"/>
  <c r="S333" i="1"/>
  <c r="T333" i="1"/>
  <c r="M333" i="1"/>
  <c r="P333" i="1"/>
  <c r="I333" i="1"/>
  <c r="J333" i="1"/>
  <c r="K333" i="1"/>
  <c r="L333" i="1"/>
  <c r="Q332" i="1"/>
  <c r="R332" i="1"/>
  <c r="S332" i="1"/>
  <c r="T332" i="1"/>
  <c r="M332" i="1"/>
  <c r="P332" i="1"/>
  <c r="I332" i="1"/>
  <c r="J332" i="1"/>
  <c r="K332" i="1"/>
  <c r="L332" i="1"/>
  <c r="Q331" i="1"/>
  <c r="R331" i="1"/>
  <c r="S331" i="1"/>
  <c r="T331" i="1"/>
  <c r="M331" i="1"/>
  <c r="P331" i="1"/>
  <c r="I331" i="1"/>
  <c r="J331" i="1"/>
  <c r="K331" i="1"/>
  <c r="L331" i="1"/>
  <c r="Q330" i="1"/>
  <c r="R330" i="1"/>
  <c r="S330" i="1"/>
  <c r="T330" i="1"/>
  <c r="M330" i="1"/>
  <c r="P330" i="1"/>
  <c r="I330" i="1"/>
  <c r="J330" i="1"/>
  <c r="K330" i="1"/>
  <c r="L330" i="1"/>
  <c r="Q329" i="1"/>
  <c r="R329" i="1"/>
  <c r="S329" i="1"/>
  <c r="T329" i="1"/>
  <c r="M329" i="1"/>
  <c r="P329" i="1"/>
  <c r="I329" i="1"/>
  <c r="J329" i="1"/>
  <c r="K329" i="1"/>
  <c r="L329" i="1"/>
  <c r="Q328" i="1"/>
  <c r="R328" i="1"/>
  <c r="S328" i="1"/>
  <c r="T328" i="1"/>
  <c r="M328" i="1"/>
  <c r="P328" i="1"/>
  <c r="I328" i="1"/>
  <c r="J328" i="1"/>
  <c r="K328" i="1"/>
  <c r="L328" i="1"/>
  <c r="Q327" i="1"/>
  <c r="R327" i="1"/>
  <c r="S327" i="1"/>
  <c r="T327" i="1"/>
  <c r="M327" i="1"/>
  <c r="P327" i="1"/>
  <c r="I327" i="1"/>
  <c r="J327" i="1"/>
  <c r="K327" i="1"/>
  <c r="L327" i="1"/>
  <c r="Q326" i="1"/>
  <c r="R326" i="1"/>
  <c r="S326" i="1"/>
  <c r="T326" i="1"/>
  <c r="M326" i="1"/>
  <c r="P326" i="1"/>
  <c r="I326" i="1"/>
  <c r="J326" i="1"/>
  <c r="K326" i="1"/>
  <c r="L326" i="1"/>
  <c r="Q325" i="1"/>
  <c r="R325" i="1"/>
  <c r="S325" i="1"/>
  <c r="T325" i="1"/>
  <c r="M325" i="1"/>
  <c r="P325" i="1"/>
  <c r="I325" i="1"/>
  <c r="J325" i="1"/>
  <c r="K325" i="1"/>
  <c r="L325" i="1"/>
  <c r="Q324" i="1"/>
  <c r="R324" i="1"/>
  <c r="S324" i="1"/>
  <c r="T324" i="1"/>
  <c r="M324" i="1"/>
  <c r="P324" i="1"/>
  <c r="I324" i="1"/>
  <c r="J324" i="1"/>
  <c r="K324" i="1"/>
  <c r="L324" i="1"/>
  <c r="Q323" i="1"/>
  <c r="R323" i="1"/>
  <c r="S323" i="1"/>
  <c r="T323" i="1"/>
  <c r="M323" i="1"/>
  <c r="P323" i="1"/>
  <c r="I323" i="1"/>
  <c r="J323" i="1"/>
  <c r="K323" i="1"/>
  <c r="L323" i="1"/>
  <c r="Q322" i="1"/>
  <c r="R322" i="1"/>
  <c r="S322" i="1"/>
  <c r="T322" i="1"/>
  <c r="M322" i="1"/>
  <c r="P322" i="1"/>
  <c r="I322" i="1"/>
  <c r="J322" i="1"/>
  <c r="K322" i="1"/>
  <c r="L322" i="1"/>
  <c r="Q321" i="1"/>
  <c r="R321" i="1"/>
  <c r="S321" i="1"/>
  <c r="T321" i="1"/>
  <c r="M321" i="1"/>
  <c r="P321" i="1"/>
  <c r="I321" i="1"/>
  <c r="J321" i="1"/>
  <c r="K321" i="1"/>
  <c r="L321" i="1"/>
  <c r="Q320" i="1"/>
  <c r="R320" i="1"/>
  <c r="S320" i="1"/>
  <c r="T320" i="1"/>
  <c r="M320" i="1"/>
  <c r="P320" i="1"/>
  <c r="I320" i="1"/>
  <c r="J320" i="1"/>
  <c r="K320" i="1"/>
  <c r="L320" i="1"/>
  <c r="Q319" i="1"/>
  <c r="R319" i="1"/>
  <c r="S319" i="1"/>
  <c r="T319" i="1"/>
  <c r="M319" i="1"/>
  <c r="P319" i="1"/>
  <c r="I319" i="1"/>
  <c r="J319" i="1"/>
  <c r="K319" i="1"/>
  <c r="L319" i="1"/>
  <c r="Q318" i="1"/>
  <c r="R318" i="1"/>
  <c r="S318" i="1"/>
  <c r="T318" i="1"/>
  <c r="M318" i="1"/>
  <c r="P318" i="1"/>
  <c r="I318" i="1"/>
  <c r="J318" i="1"/>
  <c r="K318" i="1"/>
  <c r="L318" i="1"/>
  <c r="Q317" i="1"/>
  <c r="R317" i="1"/>
  <c r="S317" i="1"/>
  <c r="T317" i="1"/>
  <c r="M317" i="1"/>
  <c r="P317" i="1"/>
  <c r="I317" i="1"/>
  <c r="J317" i="1"/>
  <c r="K317" i="1"/>
  <c r="L317" i="1"/>
  <c r="Q316" i="1"/>
  <c r="R316" i="1"/>
  <c r="S316" i="1"/>
  <c r="T316" i="1"/>
  <c r="M316" i="1"/>
  <c r="P316" i="1"/>
  <c r="I316" i="1"/>
  <c r="J316" i="1"/>
  <c r="K316" i="1"/>
  <c r="L316" i="1"/>
  <c r="Q315" i="1"/>
  <c r="R315" i="1"/>
  <c r="S315" i="1"/>
  <c r="T315" i="1"/>
  <c r="M315" i="1"/>
  <c r="P315" i="1"/>
  <c r="I315" i="1"/>
  <c r="J315" i="1"/>
  <c r="K315" i="1"/>
  <c r="L315" i="1"/>
  <c r="Q314" i="1"/>
  <c r="R314" i="1"/>
  <c r="S314" i="1"/>
  <c r="T314" i="1"/>
  <c r="M314" i="1"/>
  <c r="P314" i="1"/>
  <c r="I314" i="1"/>
  <c r="J314" i="1"/>
  <c r="K314" i="1"/>
  <c r="L314" i="1"/>
  <c r="Q313" i="1"/>
  <c r="R313" i="1"/>
  <c r="S313" i="1"/>
  <c r="T313" i="1"/>
  <c r="M313" i="1"/>
  <c r="P313" i="1"/>
  <c r="I313" i="1"/>
  <c r="J313" i="1"/>
  <c r="K313" i="1"/>
  <c r="L313" i="1"/>
  <c r="Q312" i="1"/>
  <c r="R312" i="1"/>
  <c r="S312" i="1"/>
  <c r="T312" i="1"/>
  <c r="M312" i="1"/>
  <c r="P312" i="1"/>
  <c r="I312" i="1"/>
  <c r="J312" i="1"/>
  <c r="K312" i="1"/>
  <c r="L312" i="1"/>
  <c r="Q311" i="1"/>
  <c r="R311" i="1"/>
  <c r="S311" i="1"/>
  <c r="T311" i="1"/>
  <c r="M311" i="1"/>
  <c r="P311" i="1"/>
  <c r="I311" i="1"/>
  <c r="J311" i="1"/>
  <c r="K311" i="1"/>
  <c r="L311" i="1"/>
  <c r="Q310" i="1"/>
  <c r="R310" i="1"/>
  <c r="S310" i="1"/>
  <c r="T310" i="1"/>
  <c r="M310" i="1"/>
  <c r="P310" i="1"/>
  <c r="I310" i="1"/>
  <c r="J310" i="1"/>
  <c r="K310" i="1"/>
  <c r="L310" i="1"/>
  <c r="Q309" i="1"/>
  <c r="R309" i="1"/>
  <c r="S309" i="1"/>
  <c r="T309" i="1"/>
  <c r="M309" i="1"/>
  <c r="P309" i="1"/>
  <c r="I309" i="1"/>
  <c r="J309" i="1"/>
  <c r="K309" i="1"/>
  <c r="L309" i="1"/>
  <c r="Q308" i="1"/>
  <c r="R308" i="1"/>
  <c r="S308" i="1"/>
  <c r="T308" i="1"/>
  <c r="M308" i="1"/>
  <c r="P308" i="1"/>
  <c r="I308" i="1"/>
  <c r="J308" i="1"/>
  <c r="K308" i="1"/>
  <c r="L308" i="1"/>
  <c r="Q307" i="1"/>
  <c r="R307" i="1"/>
  <c r="S307" i="1"/>
  <c r="T307" i="1"/>
  <c r="M307" i="1"/>
  <c r="P307" i="1"/>
  <c r="I307" i="1"/>
  <c r="J307" i="1"/>
  <c r="K307" i="1"/>
  <c r="L307" i="1"/>
  <c r="Q306" i="1"/>
  <c r="R306" i="1"/>
  <c r="S306" i="1"/>
  <c r="T306" i="1"/>
  <c r="M306" i="1"/>
  <c r="P306" i="1"/>
  <c r="I306" i="1"/>
  <c r="J306" i="1"/>
  <c r="K306" i="1"/>
  <c r="L306" i="1"/>
  <c r="Q305" i="1"/>
  <c r="R305" i="1"/>
  <c r="S305" i="1"/>
  <c r="T305" i="1"/>
  <c r="M305" i="1"/>
  <c r="P305" i="1"/>
  <c r="I305" i="1"/>
  <c r="J305" i="1"/>
  <c r="K305" i="1"/>
  <c r="L305" i="1"/>
  <c r="Q304" i="1"/>
  <c r="R304" i="1"/>
  <c r="S304" i="1"/>
  <c r="T304" i="1"/>
  <c r="M304" i="1"/>
  <c r="P304" i="1"/>
  <c r="I304" i="1"/>
  <c r="J304" i="1"/>
  <c r="K304" i="1"/>
  <c r="L304" i="1"/>
  <c r="Q303" i="1"/>
  <c r="R303" i="1"/>
  <c r="S303" i="1"/>
  <c r="T303" i="1"/>
  <c r="M303" i="1"/>
  <c r="P303" i="1"/>
  <c r="I303" i="1"/>
  <c r="J303" i="1"/>
  <c r="K303" i="1"/>
  <c r="L303" i="1"/>
  <c r="Q302" i="1"/>
  <c r="R302" i="1"/>
  <c r="S302" i="1"/>
  <c r="T302" i="1"/>
  <c r="M302" i="1"/>
  <c r="P302" i="1"/>
  <c r="I302" i="1"/>
  <c r="J302" i="1"/>
  <c r="K302" i="1"/>
  <c r="L302" i="1"/>
  <c r="Q301" i="1"/>
  <c r="R301" i="1"/>
  <c r="S301" i="1"/>
  <c r="T301" i="1"/>
  <c r="M301" i="1"/>
  <c r="P301" i="1"/>
  <c r="I301" i="1"/>
  <c r="J301" i="1"/>
  <c r="K301" i="1"/>
  <c r="L301" i="1"/>
  <c r="Q300" i="1"/>
  <c r="R300" i="1"/>
  <c r="S300" i="1"/>
  <c r="T300" i="1"/>
  <c r="M300" i="1"/>
  <c r="P300" i="1"/>
  <c r="I300" i="1"/>
  <c r="J300" i="1"/>
  <c r="K300" i="1"/>
  <c r="L300" i="1"/>
  <c r="Q299" i="1"/>
  <c r="R299" i="1"/>
  <c r="S299" i="1"/>
  <c r="T299" i="1"/>
  <c r="M299" i="1"/>
  <c r="P299" i="1"/>
  <c r="I299" i="1"/>
  <c r="J299" i="1"/>
  <c r="K299" i="1"/>
  <c r="L299" i="1"/>
  <c r="Q298" i="1"/>
  <c r="R298" i="1"/>
  <c r="S298" i="1"/>
  <c r="T298" i="1"/>
  <c r="M298" i="1"/>
  <c r="P298" i="1"/>
  <c r="I298" i="1"/>
  <c r="J298" i="1"/>
  <c r="K298" i="1"/>
  <c r="L298" i="1"/>
  <c r="Q297" i="1"/>
  <c r="R297" i="1"/>
  <c r="S297" i="1"/>
  <c r="T297" i="1"/>
  <c r="M297" i="1"/>
  <c r="P297" i="1"/>
  <c r="I297" i="1"/>
  <c r="J297" i="1"/>
  <c r="K297" i="1"/>
  <c r="L297" i="1"/>
  <c r="Q296" i="1"/>
  <c r="R296" i="1"/>
  <c r="S296" i="1"/>
  <c r="T296" i="1"/>
  <c r="M296" i="1"/>
  <c r="P296" i="1"/>
  <c r="I296" i="1"/>
  <c r="J296" i="1"/>
  <c r="K296" i="1"/>
  <c r="L296" i="1"/>
  <c r="Q295" i="1"/>
  <c r="R295" i="1"/>
  <c r="S295" i="1"/>
  <c r="T295" i="1"/>
  <c r="M295" i="1"/>
  <c r="P295" i="1"/>
  <c r="I295" i="1"/>
  <c r="J295" i="1"/>
  <c r="K295" i="1"/>
  <c r="L295" i="1"/>
  <c r="Q294" i="1"/>
  <c r="R294" i="1"/>
  <c r="S294" i="1"/>
  <c r="T294" i="1"/>
  <c r="M294" i="1"/>
  <c r="P294" i="1"/>
  <c r="I294" i="1"/>
  <c r="J294" i="1"/>
  <c r="K294" i="1"/>
  <c r="L294" i="1"/>
  <c r="Q293" i="1"/>
  <c r="R293" i="1"/>
  <c r="S293" i="1"/>
  <c r="T293" i="1"/>
  <c r="M293" i="1"/>
  <c r="P293" i="1"/>
  <c r="I293" i="1"/>
  <c r="J293" i="1"/>
  <c r="K293" i="1"/>
  <c r="L293" i="1"/>
  <c r="Q292" i="1"/>
  <c r="R292" i="1"/>
  <c r="S292" i="1"/>
  <c r="T292" i="1"/>
  <c r="M292" i="1"/>
  <c r="P292" i="1"/>
  <c r="I292" i="1"/>
  <c r="J292" i="1"/>
  <c r="K292" i="1"/>
  <c r="L292" i="1"/>
  <c r="Q291" i="1"/>
  <c r="R291" i="1"/>
  <c r="S291" i="1"/>
  <c r="T291" i="1"/>
  <c r="M291" i="1"/>
  <c r="P291" i="1"/>
  <c r="I291" i="1"/>
  <c r="J291" i="1"/>
  <c r="K291" i="1"/>
  <c r="L291" i="1"/>
  <c r="Q290" i="1"/>
  <c r="R290" i="1"/>
  <c r="S290" i="1"/>
  <c r="T290" i="1"/>
  <c r="M290" i="1"/>
  <c r="P290" i="1"/>
  <c r="I290" i="1"/>
  <c r="J290" i="1"/>
  <c r="K290" i="1"/>
  <c r="L290" i="1"/>
  <c r="Q289" i="1"/>
  <c r="R289" i="1"/>
  <c r="S289" i="1"/>
  <c r="T289" i="1"/>
  <c r="M289" i="1"/>
  <c r="P289" i="1"/>
  <c r="I289" i="1"/>
  <c r="J289" i="1"/>
  <c r="K289" i="1"/>
  <c r="L289" i="1"/>
  <c r="Q288" i="1"/>
  <c r="R288" i="1"/>
  <c r="S288" i="1"/>
  <c r="T288" i="1"/>
  <c r="M288" i="1"/>
  <c r="P288" i="1"/>
  <c r="I288" i="1"/>
  <c r="J288" i="1"/>
  <c r="K288" i="1"/>
  <c r="L288" i="1"/>
  <c r="Q287" i="1"/>
  <c r="R287" i="1"/>
  <c r="S287" i="1"/>
  <c r="T287" i="1"/>
  <c r="M287" i="1"/>
  <c r="P287" i="1"/>
  <c r="I287" i="1"/>
  <c r="J287" i="1"/>
  <c r="K287" i="1"/>
  <c r="L287" i="1"/>
  <c r="Q286" i="1"/>
  <c r="R286" i="1"/>
  <c r="S286" i="1"/>
  <c r="T286" i="1"/>
  <c r="M286" i="1"/>
  <c r="P286" i="1"/>
  <c r="I286" i="1"/>
  <c r="J286" i="1"/>
  <c r="K286" i="1"/>
  <c r="L286" i="1"/>
  <c r="Q285" i="1"/>
  <c r="R285" i="1"/>
  <c r="S285" i="1"/>
  <c r="T285" i="1"/>
  <c r="M285" i="1"/>
  <c r="P285" i="1"/>
  <c r="I285" i="1"/>
  <c r="J285" i="1"/>
  <c r="K285" i="1"/>
  <c r="L285" i="1"/>
  <c r="Q284" i="1"/>
  <c r="R284" i="1"/>
  <c r="S284" i="1"/>
  <c r="T284" i="1"/>
  <c r="M284" i="1"/>
  <c r="P284" i="1"/>
  <c r="I284" i="1"/>
  <c r="J284" i="1"/>
  <c r="K284" i="1"/>
  <c r="L284" i="1"/>
  <c r="Q283" i="1"/>
  <c r="R283" i="1"/>
  <c r="S283" i="1"/>
  <c r="T283" i="1"/>
  <c r="M283" i="1"/>
  <c r="P283" i="1"/>
  <c r="I283" i="1"/>
  <c r="J283" i="1"/>
  <c r="K283" i="1"/>
  <c r="L283" i="1"/>
  <c r="Q282" i="1"/>
  <c r="R282" i="1"/>
  <c r="S282" i="1"/>
  <c r="T282" i="1"/>
  <c r="M282" i="1"/>
  <c r="P282" i="1"/>
  <c r="I282" i="1"/>
  <c r="J282" i="1"/>
  <c r="K282" i="1"/>
  <c r="L282" i="1"/>
  <c r="Q281" i="1"/>
  <c r="R281" i="1"/>
  <c r="S281" i="1"/>
  <c r="T281" i="1"/>
  <c r="M281" i="1"/>
  <c r="P281" i="1"/>
  <c r="I281" i="1"/>
  <c r="J281" i="1"/>
  <c r="K281" i="1"/>
  <c r="L281" i="1"/>
  <c r="Q280" i="1"/>
  <c r="R280" i="1"/>
  <c r="S280" i="1"/>
  <c r="T280" i="1"/>
  <c r="M280" i="1"/>
  <c r="P280" i="1"/>
  <c r="I280" i="1"/>
  <c r="J280" i="1"/>
  <c r="K280" i="1"/>
  <c r="L280" i="1"/>
  <c r="Q279" i="1"/>
  <c r="R279" i="1"/>
  <c r="S279" i="1"/>
  <c r="T279" i="1"/>
  <c r="M279" i="1"/>
  <c r="P279" i="1"/>
  <c r="I279" i="1"/>
  <c r="J279" i="1"/>
  <c r="K279" i="1"/>
  <c r="L279" i="1"/>
  <c r="Q278" i="1"/>
  <c r="R278" i="1"/>
  <c r="S278" i="1"/>
  <c r="T278" i="1"/>
  <c r="M278" i="1"/>
  <c r="P278" i="1"/>
  <c r="I278" i="1"/>
  <c r="J278" i="1"/>
  <c r="K278" i="1"/>
  <c r="L278" i="1"/>
  <c r="Q277" i="1"/>
  <c r="R277" i="1"/>
  <c r="S277" i="1"/>
  <c r="T277" i="1"/>
  <c r="M277" i="1"/>
  <c r="P277" i="1"/>
  <c r="I277" i="1"/>
  <c r="J277" i="1"/>
  <c r="K277" i="1"/>
  <c r="L277" i="1"/>
  <c r="Q276" i="1"/>
  <c r="R276" i="1"/>
  <c r="S276" i="1"/>
  <c r="T276" i="1"/>
  <c r="M276" i="1"/>
  <c r="P276" i="1"/>
  <c r="I276" i="1"/>
  <c r="J276" i="1"/>
  <c r="K276" i="1"/>
  <c r="L276" i="1"/>
  <c r="Q275" i="1"/>
  <c r="R275" i="1"/>
  <c r="S275" i="1"/>
  <c r="T275" i="1"/>
  <c r="M275" i="1"/>
  <c r="P275" i="1"/>
  <c r="I275" i="1"/>
  <c r="J275" i="1"/>
  <c r="K275" i="1"/>
  <c r="L275" i="1"/>
  <c r="Q274" i="1"/>
  <c r="R274" i="1"/>
  <c r="S274" i="1"/>
  <c r="T274" i="1"/>
  <c r="M274" i="1"/>
  <c r="P274" i="1"/>
  <c r="I274" i="1"/>
  <c r="J274" i="1"/>
  <c r="K274" i="1"/>
  <c r="L274" i="1"/>
  <c r="Q273" i="1"/>
  <c r="R273" i="1"/>
  <c r="S273" i="1"/>
  <c r="T273" i="1"/>
  <c r="M273" i="1"/>
  <c r="P273" i="1"/>
  <c r="I273" i="1"/>
  <c r="J273" i="1"/>
  <c r="K273" i="1"/>
  <c r="L273" i="1"/>
  <c r="Q272" i="1"/>
  <c r="R272" i="1"/>
  <c r="S272" i="1"/>
  <c r="T272" i="1"/>
  <c r="M272" i="1"/>
  <c r="P272" i="1"/>
  <c r="I272" i="1"/>
  <c r="J272" i="1"/>
  <c r="K272" i="1"/>
  <c r="L272" i="1"/>
  <c r="Q271" i="1"/>
  <c r="R271" i="1"/>
  <c r="S271" i="1"/>
  <c r="T271" i="1"/>
  <c r="M271" i="1"/>
  <c r="P271" i="1"/>
  <c r="I271" i="1"/>
  <c r="J271" i="1"/>
  <c r="K271" i="1"/>
  <c r="L271" i="1"/>
  <c r="Q270" i="1"/>
  <c r="R270" i="1"/>
  <c r="S270" i="1"/>
  <c r="T270" i="1"/>
  <c r="M270" i="1"/>
  <c r="P270" i="1"/>
  <c r="I270" i="1"/>
  <c r="J270" i="1"/>
  <c r="K270" i="1"/>
  <c r="L270" i="1"/>
  <c r="Q269" i="1"/>
  <c r="R269" i="1"/>
  <c r="S269" i="1"/>
  <c r="T269" i="1"/>
  <c r="M269" i="1"/>
  <c r="P269" i="1"/>
  <c r="I269" i="1"/>
  <c r="J269" i="1"/>
  <c r="K269" i="1"/>
  <c r="L269" i="1"/>
  <c r="Q268" i="1"/>
  <c r="R268" i="1"/>
  <c r="S268" i="1"/>
  <c r="T268" i="1"/>
  <c r="M268" i="1"/>
  <c r="P268" i="1"/>
  <c r="I268" i="1"/>
  <c r="J268" i="1"/>
  <c r="K268" i="1"/>
  <c r="L268" i="1"/>
  <c r="Q267" i="1"/>
  <c r="R267" i="1"/>
  <c r="S267" i="1"/>
  <c r="T267" i="1"/>
  <c r="M267" i="1"/>
  <c r="P267" i="1"/>
  <c r="I267" i="1"/>
  <c r="J267" i="1"/>
  <c r="K267" i="1"/>
  <c r="L267" i="1"/>
  <c r="Q266" i="1"/>
  <c r="R266" i="1"/>
  <c r="S266" i="1"/>
  <c r="T266" i="1"/>
  <c r="M266" i="1"/>
  <c r="P266" i="1"/>
  <c r="I266" i="1"/>
  <c r="J266" i="1"/>
  <c r="K266" i="1"/>
  <c r="L266" i="1"/>
  <c r="Q265" i="1"/>
  <c r="R265" i="1"/>
  <c r="S265" i="1"/>
  <c r="T265" i="1"/>
  <c r="M265" i="1"/>
  <c r="P265" i="1"/>
  <c r="I265" i="1"/>
  <c r="J265" i="1"/>
  <c r="K265" i="1"/>
  <c r="L265" i="1"/>
  <c r="Q264" i="1"/>
  <c r="R264" i="1"/>
  <c r="S264" i="1"/>
  <c r="T264" i="1"/>
  <c r="M264" i="1"/>
  <c r="P264" i="1"/>
  <c r="I264" i="1"/>
  <c r="J264" i="1"/>
  <c r="K264" i="1"/>
  <c r="L264" i="1"/>
  <c r="Q263" i="1"/>
  <c r="R263" i="1"/>
  <c r="S263" i="1"/>
  <c r="T263" i="1"/>
  <c r="M263" i="1"/>
  <c r="P263" i="1"/>
  <c r="I263" i="1"/>
  <c r="J263" i="1"/>
  <c r="K263" i="1"/>
  <c r="L263" i="1"/>
  <c r="Q262" i="1"/>
  <c r="R262" i="1"/>
  <c r="S262" i="1"/>
  <c r="T262" i="1"/>
  <c r="M262" i="1"/>
  <c r="P262" i="1"/>
  <c r="I262" i="1"/>
  <c r="J262" i="1"/>
  <c r="K262" i="1"/>
  <c r="L262" i="1"/>
  <c r="Q261" i="1"/>
  <c r="R261" i="1"/>
  <c r="S261" i="1"/>
  <c r="T261" i="1"/>
  <c r="M261" i="1"/>
  <c r="P261" i="1"/>
  <c r="I261" i="1"/>
  <c r="J261" i="1"/>
  <c r="K261" i="1"/>
  <c r="L261" i="1"/>
  <c r="Q260" i="1"/>
  <c r="R260" i="1"/>
  <c r="S260" i="1"/>
  <c r="T260" i="1"/>
  <c r="M260" i="1"/>
  <c r="P260" i="1"/>
  <c r="I260" i="1"/>
  <c r="J260" i="1"/>
  <c r="K260" i="1"/>
  <c r="L260" i="1"/>
  <c r="Q259" i="1"/>
  <c r="R259" i="1"/>
  <c r="S259" i="1"/>
  <c r="T259" i="1"/>
  <c r="M259" i="1"/>
  <c r="P259" i="1"/>
  <c r="I259" i="1"/>
  <c r="J259" i="1"/>
  <c r="K259" i="1"/>
  <c r="L259" i="1"/>
  <c r="Q258" i="1"/>
  <c r="R258" i="1"/>
  <c r="S258" i="1"/>
  <c r="T258" i="1"/>
  <c r="M258" i="1"/>
  <c r="P258" i="1"/>
  <c r="I258" i="1"/>
  <c r="J258" i="1"/>
  <c r="K258" i="1"/>
  <c r="L258" i="1"/>
  <c r="Q257" i="1"/>
  <c r="R257" i="1"/>
  <c r="S257" i="1"/>
  <c r="T257" i="1"/>
  <c r="M257" i="1"/>
  <c r="P257" i="1"/>
  <c r="I257" i="1"/>
  <c r="J257" i="1"/>
  <c r="K257" i="1"/>
  <c r="L257" i="1"/>
  <c r="Q256" i="1"/>
  <c r="R256" i="1"/>
  <c r="S256" i="1"/>
  <c r="T256" i="1"/>
  <c r="M256" i="1"/>
  <c r="P256" i="1"/>
  <c r="I256" i="1"/>
  <c r="J256" i="1"/>
  <c r="K256" i="1"/>
  <c r="L256" i="1"/>
  <c r="Q255" i="1"/>
  <c r="R255" i="1"/>
  <c r="S255" i="1"/>
  <c r="T255" i="1"/>
  <c r="M255" i="1"/>
  <c r="P255" i="1"/>
  <c r="I255" i="1"/>
  <c r="J255" i="1"/>
  <c r="K255" i="1"/>
  <c r="L255" i="1"/>
  <c r="Q254" i="1"/>
  <c r="R254" i="1"/>
  <c r="S254" i="1"/>
  <c r="T254" i="1"/>
  <c r="M254" i="1"/>
  <c r="P254" i="1"/>
  <c r="I254" i="1"/>
  <c r="J254" i="1"/>
  <c r="K254" i="1"/>
  <c r="L254" i="1"/>
  <c r="Q253" i="1"/>
  <c r="R253" i="1"/>
  <c r="S253" i="1"/>
  <c r="T253" i="1"/>
  <c r="M253" i="1"/>
  <c r="P253" i="1"/>
  <c r="I253" i="1"/>
  <c r="J253" i="1"/>
  <c r="K253" i="1"/>
  <c r="L253" i="1"/>
  <c r="Q252" i="1"/>
  <c r="R252" i="1"/>
  <c r="S252" i="1"/>
  <c r="T252" i="1"/>
  <c r="M252" i="1"/>
  <c r="P252" i="1"/>
  <c r="I252" i="1"/>
  <c r="J252" i="1"/>
  <c r="K252" i="1"/>
  <c r="L252" i="1"/>
  <c r="Q251" i="1"/>
  <c r="R251" i="1"/>
  <c r="S251" i="1"/>
  <c r="T251" i="1"/>
  <c r="M251" i="1"/>
  <c r="P251" i="1"/>
  <c r="I251" i="1"/>
  <c r="J251" i="1"/>
  <c r="K251" i="1"/>
  <c r="L251" i="1"/>
  <c r="Q250" i="1"/>
  <c r="R250" i="1"/>
  <c r="S250" i="1"/>
  <c r="T250" i="1"/>
  <c r="M250" i="1"/>
  <c r="P250" i="1"/>
  <c r="I250" i="1"/>
  <c r="J250" i="1"/>
  <c r="K250" i="1"/>
  <c r="L250" i="1"/>
  <c r="Q249" i="1"/>
  <c r="R249" i="1"/>
  <c r="S249" i="1"/>
  <c r="T249" i="1"/>
  <c r="M249" i="1"/>
  <c r="P249" i="1"/>
  <c r="I249" i="1"/>
  <c r="J249" i="1"/>
  <c r="K249" i="1"/>
  <c r="L249" i="1"/>
  <c r="Q248" i="1"/>
  <c r="R248" i="1"/>
  <c r="S248" i="1"/>
  <c r="T248" i="1"/>
  <c r="M248" i="1"/>
  <c r="P248" i="1"/>
  <c r="I248" i="1"/>
  <c r="J248" i="1"/>
  <c r="K248" i="1"/>
  <c r="L248" i="1"/>
  <c r="Q247" i="1"/>
  <c r="R247" i="1"/>
  <c r="S247" i="1"/>
  <c r="T247" i="1"/>
  <c r="M247" i="1"/>
  <c r="P247" i="1"/>
  <c r="I247" i="1"/>
  <c r="J247" i="1"/>
  <c r="K247" i="1"/>
  <c r="L247" i="1"/>
  <c r="Q246" i="1"/>
  <c r="R246" i="1"/>
  <c r="S246" i="1"/>
  <c r="T246" i="1"/>
  <c r="M246" i="1"/>
  <c r="P246" i="1"/>
  <c r="I246" i="1"/>
  <c r="J246" i="1"/>
  <c r="K246" i="1"/>
  <c r="L246" i="1"/>
  <c r="Q245" i="1"/>
  <c r="R245" i="1"/>
  <c r="S245" i="1"/>
  <c r="T245" i="1"/>
  <c r="M245" i="1"/>
  <c r="P245" i="1"/>
  <c r="I245" i="1"/>
  <c r="J245" i="1"/>
  <c r="K245" i="1"/>
  <c r="L245" i="1"/>
  <c r="Q244" i="1"/>
  <c r="R244" i="1"/>
  <c r="S244" i="1"/>
  <c r="T244" i="1"/>
  <c r="M244" i="1"/>
  <c r="P244" i="1"/>
  <c r="I244" i="1"/>
  <c r="J244" i="1"/>
  <c r="K244" i="1"/>
  <c r="L244" i="1"/>
  <c r="Q243" i="1"/>
  <c r="R243" i="1"/>
  <c r="S243" i="1"/>
  <c r="T243" i="1"/>
  <c r="M243" i="1"/>
  <c r="P243" i="1"/>
  <c r="I243" i="1"/>
  <c r="J243" i="1"/>
  <c r="K243" i="1"/>
  <c r="L243" i="1"/>
  <c r="Q242" i="1"/>
  <c r="R242" i="1"/>
  <c r="S242" i="1"/>
  <c r="T242" i="1"/>
  <c r="M242" i="1"/>
  <c r="P242" i="1"/>
  <c r="I242" i="1"/>
  <c r="J242" i="1"/>
  <c r="K242" i="1"/>
  <c r="L242" i="1"/>
  <c r="Q241" i="1"/>
  <c r="R241" i="1"/>
  <c r="S241" i="1"/>
  <c r="T241" i="1"/>
  <c r="M241" i="1"/>
  <c r="P241" i="1"/>
  <c r="I241" i="1"/>
  <c r="J241" i="1"/>
  <c r="K241" i="1"/>
  <c r="L241" i="1"/>
  <c r="Q240" i="1"/>
  <c r="R240" i="1"/>
  <c r="S240" i="1"/>
  <c r="T240" i="1"/>
  <c r="M240" i="1"/>
  <c r="P240" i="1"/>
  <c r="I240" i="1"/>
  <c r="J240" i="1"/>
  <c r="K240" i="1"/>
  <c r="L240" i="1"/>
  <c r="Q239" i="1"/>
  <c r="R239" i="1"/>
  <c r="S239" i="1"/>
  <c r="T239" i="1"/>
  <c r="M239" i="1"/>
  <c r="P239" i="1"/>
  <c r="I239" i="1"/>
  <c r="J239" i="1"/>
  <c r="K239" i="1"/>
  <c r="L239" i="1"/>
  <c r="Q238" i="1"/>
  <c r="R238" i="1"/>
  <c r="S238" i="1"/>
  <c r="T238" i="1"/>
  <c r="M238" i="1"/>
  <c r="P238" i="1"/>
  <c r="I238" i="1"/>
  <c r="J238" i="1"/>
  <c r="K238" i="1"/>
  <c r="L238" i="1"/>
  <c r="Q237" i="1"/>
  <c r="R237" i="1"/>
  <c r="S237" i="1"/>
  <c r="T237" i="1"/>
  <c r="M237" i="1"/>
  <c r="P237" i="1"/>
  <c r="I237" i="1"/>
  <c r="J237" i="1"/>
  <c r="K237" i="1"/>
  <c r="L237" i="1"/>
  <c r="Q236" i="1"/>
  <c r="R236" i="1"/>
  <c r="S236" i="1"/>
  <c r="T236" i="1"/>
  <c r="M236" i="1"/>
  <c r="P236" i="1"/>
  <c r="I236" i="1"/>
  <c r="J236" i="1"/>
  <c r="K236" i="1"/>
  <c r="L236" i="1"/>
  <c r="Q235" i="1"/>
  <c r="R235" i="1"/>
  <c r="S235" i="1"/>
  <c r="T235" i="1"/>
  <c r="M235" i="1"/>
  <c r="P235" i="1"/>
  <c r="I235" i="1"/>
  <c r="J235" i="1"/>
  <c r="K235" i="1"/>
  <c r="L235" i="1"/>
  <c r="Q234" i="1"/>
  <c r="R234" i="1"/>
  <c r="S234" i="1"/>
  <c r="T234" i="1"/>
  <c r="M234" i="1"/>
  <c r="P234" i="1"/>
  <c r="I234" i="1"/>
  <c r="J234" i="1"/>
  <c r="K234" i="1"/>
  <c r="L234" i="1"/>
  <c r="Q233" i="1"/>
  <c r="R233" i="1"/>
  <c r="S233" i="1"/>
  <c r="T233" i="1"/>
  <c r="M233" i="1"/>
  <c r="P233" i="1"/>
  <c r="I233" i="1"/>
  <c r="J233" i="1"/>
  <c r="K233" i="1"/>
  <c r="L233" i="1"/>
  <c r="Q232" i="1"/>
  <c r="R232" i="1"/>
  <c r="S232" i="1"/>
  <c r="T232" i="1"/>
  <c r="M232" i="1"/>
  <c r="P232" i="1"/>
  <c r="I232" i="1"/>
  <c r="J232" i="1"/>
  <c r="K232" i="1"/>
  <c r="L232" i="1"/>
  <c r="Q231" i="1"/>
  <c r="R231" i="1"/>
  <c r="S231" i="1"/>
  <c r="T231" i="1"/>
  <c r="M231" i="1"/>
  <c r="P231" i="1"/>
  <c r="I231" i="1"/>
  <c r="J231" i="1"/>
  <c r="K231" i="1"/>
  <c r="L231" i="1"/>
  <c r="Q230" i="1"/>
  <c r="R230" i="1"/>
  <c r="S230" i="1"/>
  <c r="T230" i="1"/>
  <c r="M230" i="1"/>
  <c r="P230" i="1"/>
  <c r="I230" i="1"/>
  <c r="J230" i="1"/>
  <c r="K230" i="1"/>
  <c r="L230" i="1"/>
  <c r="Q229" i="1"/>
  <c r="R229" i="1"/>
  <c r="S229" i="1"/>
  <c r="T229" i="1"/>
  <c r="M229" i="1"/>
  <c r="P229" i="1"/>
  <c r="I229" i="1"/>
  <c r="J229" i="1"/>
  <c r="K229" i="1"/>
  <c r="L229" i="1"/>
  <c r="Q228" i="1"/>
  <c r="R228" i="1"/>
  <c r="S228" i="1"/>
  <c r="T228" i="1"/>
  <c r="M228" i="1"/>
  <c r="P228" i="1"/>
  <c r="I228" i="1"/>
  <c r="J228" i="1"/>
  <c r="K228" i="1"/>
  <c r="L228" i="1"/>
  <c r="Q227" i="1"/>
  <c r="R227" i="1"/>
  <c r="S227" i="1"/>
  <c r="T227" i="1"/>
  <c r="M227" i="1"/>
  <c r="P227" i="1"/>
  <c r="I227" i="1"/>
  <c r="J227" i="1"/>
  <c r="K227" i="1"/>
  <c r="L227" i="1"/>
  <c r="Q226" i="1"/>
  <c r="R226" i="1"/>
  <c r="S226" i="1"/>
  <c r="T226" i="1"/>
  <c r="M226" i="1"/>
  <c r="P226" i="1"/>
  <c r="I226" i="1"/>
  <c r="J226" i="1"/>
  <c r="K226" i="1"/>
  <c r="L226" i="1"/>
  <c r="Q225" i="1"/>
  <c r="R225" i="1"/>
  <c r="S225" i="1"/>
  <c r="T225" i="1"/>
  <c r="M225" i="1"/>
  <c r="P225" i="1"/>
  <c r="I225" i="1"/>
  <c r="J225" i="1"/>
  <c r="K225" i="1"/>
  <c r="L225" i="1"/>
  <c r="Q224" i="1"/>
  <c r="R224" i="1"/>
  <c r="S224" i="1"/>
  <c r="T224" i="1"/>
  <c r="M224" i="1"/>
  <c r="P224" i="1"/>
  <c r="I224" i="1"/>
  <c r="J224" i="1"/>
  <c r="K224" i="1"/>
  <c r="L224" i="1"/>
  <c r="Q223" i="1"/>
  <c r="R223" i="1"/>
  <c r="S223" i="1"/>
  <c r="T223" i="1"/>
  <c r="M223" i="1"/>
  <c r="P223" i="1"/>
  <c r="I223" i="1"/>
  <c r="J223" i="1"/>
  <c r="K223" i="1"/>
  <c r="L223" i="1"/>
  <c r="Q222" i="1"/>
  <c r="R222" i="1"/>
  <c r="S222" i="1"/>
  <c r="T222" i="1"/>
  <c r="M222" i="1"/>
  <c r="P222" i="1"/>
  <c r="I222" i="1"/>
  <c r="J222" i="1"/>
  <c r="K222" i="1"/>
  <c r="L222" i="1"/>
  <c r="Q221" i="1"/>
  <c r="R221" i="1"/>
  <c r="S221" i="1"/>
  <c r="T221" i="1"/>
  <c r="M221" i="1"/>
  <c r="P221" i="1"/>
  <c r="I221" i="1"/>
  <c r="J221" i="1"/>
  <c r="K221" i="1"/>
  <c r="L221" i="1"/>
  <c r="Q220" i="1"/>
  <c r="R220" i="1"/>
  <c r="S220" i="1"/>
  <c r="T220" i="1"/>
  <c r="M220" i="1"/>
  <c r="P220" i="1"/>
  <c r="I220" i="1"/>
  <c r="J220" i="1"/>
  <c r="K220" i="1"/>
  <c r="L220" i="1"/>
  <c r="Q219" i="1"/>
  <c r="R219" i="1"/>
  <c r="S219" i="1"/>
  <c r="T219" i="1"/>
  <c r="M219" i="1"/>
  <c r="P219" i="1"/>
  <c r="I219" i="1"/>
  <c r="J219" i="1"/>
  <c r="K219" i="1"/>
  <c r="L219" i="1"/>
  <c r="Q218" i="1"/>
  <c r="R218" i="1"/>
  <c r="S218" i="1"/>
  <c r="T218" i="1"/>
  <c r="M218" i="1"/>
  <c r="P218" i="1"/>
  <c r="I218" i="1"/>
  <c r="J218" i="1"/>
  <c r="K218" i="1"/>
  <c r="L218" i="1"/>
  <c r="Q217" i="1"/>
  <c r="R217" i="1"/>
  <c r="S217" i="1"/>
  <c r="T217" i="1"/>
  <c r="M217" i="1"/>
  <c r="P217" i="1"/>
  <c r="I217" i="1"/>
  <c r="J217" i="1"/>
  <c r="K217" i="1"/>
  <c r="L217" i="1"/>
  <c r="Q216" i="1"/>
  <c r="R216" i="1"/>
  <c r="S216" i="1"/>
  <c r="T216" i="1"/>
  <c r="M216" i="1"/>
  <c r="P216" i="1"/>
  <c r="I216" i="1"/>
  <c r="J216" i="1"/>
  <c r="K216" i="1"/>
  <c r="L216" i="1"/>
  <c r="Q215" i="1"/>
  <c r="R215" i="1"/>
  <c r="S215" i="1"/>
  <c r="T215" i="1"/>
  <c r="M215" i="1"/>
  <c r="P215" i="1"/>
  <c r="I215" i="1"/>
  <c r="J215" i="1"/>
  <c r="K215" i="1"/>
  <c r="L215" i="1"/>
  <c r="Q214" i="1"/>
  <c r="R214" i="1"/>
  <c r="S214" i="1"/>
  <c r="T214" i="1"/>
  <c r="M214" i="1"/>
  <c r="P214" i="1"/>
  <c r="I214" i="1"/>
  <c r="J214" i="1"/>
  <c r="K214" i="1"/>
  <c r="L214" i="1"/>
  <c r="Q213" i="1"/>
  <c r="R213" i="1"/>
  <c r="S213" i="1"/>
  <c r="T213" i="1"/>
  <c r="M213" i="1"/>
  <c r="P213" i="1"/>
  <c r="I213" i="1"/>
  <c r="J213" i="1"/>
  <c r="K213" i="1"/>
  <c r="L213" i="1"/>
  <c r="Q212" i="1"/>
  <c r="R212" i="1"/>
  <c r="S212" i="1"/>
  <c r="T212" i="1"/>
  <c r="M212" i="1"/>
  <c r="P212" i="1"/>
  <c r="I212" i="1"/>
  <c r="J212" i="1"/>
  <c r="K212" i="1"/>
  <c r="L212" i="1"/>
  <c r="Q211" i="1"/>
  <c r="R211" i="1"/>
  <c r="S211" i="1"/>
  <c r="T211" i="1"/>
  <c r="M211" i="1"/>
  <c r="P211" i="1"/>
  <c r="I211" i="1"/>
  <c r="J211" i="1"/>
  <c r="K211" i="1"/>
  <c r="L211" i="1"/>
  <c r="Q210" i="1"/>
  <c r="R210" i="1"/>
  <c r="S210" i="1"/>
  <c r="T210" i="1"/>
  <c r="M210" i="1"/>
  <c r="P210" i="1"/>
  <c r="I210" i="1"/>
  <c r="J210" i="1"/>
  <c r="K210" i="1"/>
  <c r="L210" i="1"/>
  <c r="Q209" i="1"/>
  <c r="R209" i="1"/>
  <c r="S209" i="1"/>
  <c r="T209" i="1"/>
  <c r="M209" i="1"/>
  <c r="P209" i="1"/>
  <c r="I209" i="1"/>
  <c r="J209" i="1"/>
  <c r="K209" i="1"/>
  <c r="L209" i="1"/>
  <c r="Q208" i="1"/>
  <c r="R208" i="1"/>
  <c r="S208" i="1"/>
  <c r="T208" i="1"/>
  <c r="M208" i="1"/>
  <c r="P208" i="1"/>
  <c r="I208" i="1"/>
  <c r="J208" i="1"/>
  <c r="K208" i="1"/>
  <c r="L208" i="1"/>
  <c r="Q207" i="1"/>
  <c r="R207" i="1"/>
  <c r="S207" i="1"/>
  <c r="T207" i="1"/>
  <c r="M207" i="1"/>
  <c r="P207" i="1"/>
  <c r="I207" i="1"/>
  <c r="J207" i="1"/>
  <c r="K207" i="1"/>
  <c r="L207" i="1"/>
  <c r="Q206" i="1"/>
  <c r="R206" i="1"/>
  <c r="S206" i="1"/>
  <c r="T206" i="1"/>
  <c r="M206" i="1"/>
  <c r="P206" i="1"/>
  <c r="I206" i="1"/>
  <c r="J206" i="1"/>
  <c r="K206" i="1"/>
  <c r="L206" i="1"/>
  <c r="Q205" i="1"/>
  <c r="R205" i="1"/>
  <c r="S205" i="1"/>
  <c r="T205" i="1"/>
  <c r="M205" i="1"/>
  <c r="P205" i="1"/>
  <c r="I205" i="1"/>
  <c r="J205" i="1"/>
  <c r="K205" i="1"/>
  <c r="L205" i="1"/>
  <c r="Q204" i="1"/>
  <c r="R204" i="1"/>
  <c r="S204" i="1"/>
  <c r="T204" i="1"/>
  <c r="M204" i="1"/>
  <c r="P204" i="1"/>
  <c r="I204" i="1"/>
  <c r="J204" i="1"/>
  <c r="K204" i="1"/>
  <c r="L204" i="1"/>
  <c r="Q203" i="1"/>
  <c r="R203" i="1"/>
  <c r="S203" i="1"/>
  <c r="T203" i="1"/>
  <c r="M203" i="1"/>
  <c r="P203" i="1"/>
  <c r="I203" i="1"/>
  <c r="J203" i="1"/>
  <c r="K203" i="1"/>
  <c r="L203" i="1"/>
  <c r="Q202" i="1"/>
  <c r="R202" i="1"/>
  <c r="S202" i="1"/>
  <c r="T202" i="1"/>
  <c r="M202" i="1"/>
  <c r="P202" i="1"/>
  <c r="I202" i="1"/>
  <c r="J202" i="1"/>
  <c r="K202" i="1"/>
  <c r="L202" i="1"/>
  <c r="Q201" i="1"/>
  <c r="R201" i="1"/>
  <c r="S201" i="1"/>
  <c r="T201" i="1"/>
  <c r="M201" i="1"/>
  <c r="P201" i="1"/>
  <c r="I201" i="1"/>
  <c r="J201" i="1"/>
  <c r="K201" i="1"/>
  <c r="L201" i="1"/>
  <c r="Q200" i="1"/>
  <c r="R200" i="1"/>
  <c r="S200" i="1"/>
  <c r="T200" i="1"/>
  <c r="M200" i="1"/>
  <c r="P200" i="1"/>
  <c r="I200" i="1"/>
  <c r="J200" i="1"/>
  <c r="K200" i="1"/>
  <c r="L200" i="1"/>
  <c r="Q199" i="1"/>
  <c r="R199" i="1"/>
  <c r="S199" i="1"/>
  <c r="T199" i="1"/>
  <c r="M199" i="1"/>
  <c r="P199" i="1"/>
  <c r="I199" i="1"/>
  <c r="J199" i="1"/>
  <c r="K199" i="1"/>
  <c r="L199" i="1"/>
  <c r="Q198" i="1"/>
  <c r="R198" i="1"/>
  <c r="S198" i="1"/>
  <c r="T198" i="1"/>
  <c r="M198" i="1"/>
  <c r="P198" i="1"/>
  <c r="I198" i="1"/>
  <c r="J198" i="1"/>
  <c r="K198" i="1"/>
  <c r="L198" i="1"/>
  <c r="Q197" i="1"/>
  <c r="R197" i="1"/>
  <c r="S197" i="1"/>
  <c r="T197" i="1"/>
  <c r="M197" i="1"/>
  <c r="P197" i="1"/>
  <c r="I197" i="1"/>
  <c r="J197" i="1"/>
  <c r="K197" i="1"/>
  <c r="L197" i="1"/>
  <c r="Q196" i="1"/>
  <c r="R196" i="1"/>
  <c r="S196" i="1"/>
  <c r="T196" i="1"/>
  <c r="M196" i="1"/>
  <c r="P196" i="1"/>
  <c r="I196" i="1"/>
  <c r="J196" i="1"/>
  <c r="K196" i="1"/>
  <c r="L196" i="1"/>
  <c r="Q195" i="1"/>
  <c r="R195" i="1"/>
  <c r="S195" i="1"/>
  <c r="T195" i="1"/>
  <c r="M195" i="1"/>
  <c r="P195" i="1"/>
  <c r="I195" i="1"/>
  <c r="J195" i="1"/>
  <c r="K195" i="1"/>
  <c r="L195" i="1"/>
  <c r="Q194" i="1"/>
  <c r="R194" i="1"/>
  <c r="S194" i="1"/>
  <c r="T194" i="1"/>
  <c r="M194" i="1"/>
  <c r="P194" i="1"/>
  <c r="I194" i="1"/>
  <c r="J194" i="1"/>
  <c r="K194" i="1"/>
  <c r="L194" i="1"/>
  <c r="Q193" i="1"/>
  <c r="R193" i="1"/>
  <c r="S193" i="1"/>
  <c r="T193" i="1"/>
  <c r="M193" i="1"/>
  <c r="P193" i="1"/>
  <c r="I193" i="1"/>
  <c r="J193" i="1"/>
  <c r="K193" i="1"/>
  <c r="L193" i="1"/>
  <c r="Q192" i="1"/>
  <c r="R192" i="1"/>
  <c r="S192" i="1"/>
  <c r="T192" i="1"/>
  <c r="M192" i="1"/>
  <c r="P192" i="1"/>
  <c r="I192" i="1"/>
  <c r="J192" i="1"/>
  <c r="K192" i="1"/>
  <c r="L192" i="1"/>
  <c r="Q191" i="1"/>
  <c r="R191" i="1"/>
  <c r="S191" i="1"/>
  <c r="T191" i="1"/>
  <c r="M191" i="1"/>
  <c r="P191" i="1"/>
  <c r="I191" i="1"/>
  <c r="J191" i="1"/>
  <c r="K191" i="1"/>
  <c r="L191" i="1"/>
  <c r="Q190" i="1"/>
  <c r="R190" i="1"/>
  <c r="S190" i="1"/>
  <c r="T190" i="1"/>
  <c r="M190" i="1"/>
  <c r="P190" i="1"/>
  <c r="I190" i="1"/>
  <c r="J190" i="1"/>
  <c r="K190" i="1"/>
  <c r="L190" i="1"/>
  <c r="Q189" i="1"/>
  <c r="R189" i="1"/>
  <c r="S189" i="1"/>
  <c r="T189" i="1"/>
  <c r="M189" i="1"/>
  <c r="P189" i="1"/>
  <c r="I189" i="1"/>
  <c r="J189" i="1"/>
  <c r="K189" i="1"/>
  <c r="L189" i="1"/>
  <c r="Q188" i="1"/>
  <c r="R188" i="1"/>
  <c r="S188" i="1"/>
  <c r="T188" i="1"/>
  <c r="M188" i="1"/>
  <c r="P188" i="1"/>
  <c r="I188" i="1"/>
  <c r="J188" i="1"/>
  <c r="K188" i="1"/>
  <c r="L188" i="1"/>
  <c r="Q187" i="1"/>
  <c r="R187" i="1"/>
  <c r="S187" i="1"/>
  <c r="T187" i="1"/>
  <c r="M187" i="1"/>
  <c r="P187" i="1"/>
  <c r="I187" i="1"/>
  <c r="J187" i="1"/>
  <c r="K187" i="1"/>
  <c r="L187" i="1"/>
  <c r="Q186" i="1"/>
  <c r="R186" i="1"/>
  <c r="S186" i="1"/>
  <c r="T186" i="1"/>
  <c r="M186" i="1"/>
  <c r="P186" i="1"/>
  <c r="I186" i="1"/>
  <c r="J186" i="1"/>
  <c r="K186" i="1"/>
  <c r="L186" i="1"/>
  <c r="Q185" i="1"/>
  <c r="R185" i="1"/>
  <c r="S185" i="1"/>
  <c r="T185" i="1"/>
  <c r="M185" i="1"/>
  <c r="P185" i="1"/>
  <c r="I185" i="1"/>
  <c r="J185" i="1"/>
  <c r="K185" i="1"/>
  <c r="L185" i="1"/>
  <c r="Q184" i="1"/>
  <c r="R184" i="1"/>
  <c r="S184" i="1"/>
  <c r="T184" i="1"/>
  <c r="M184" i="1"/>
  <c r="P184" i="1"/>
  <c r="I184" i="1"/>
  <c r="J184" i="1"/>
  <c r="K184" i="1"/>
  <c r="L184" i="1"/>
  <c r="Q183" i="1"/>
  <c r="R183" i="1"/>
  <c r="S183" i="1"/>
  <c r="T183" i="1"/>
  <c r="M183" i="1"/>
  <c r="P183" i="1"/>
  <c r="I183" i="1"/>
  <c r="J183" i="1"/>
  <c r="K183" i="1"/>
  <c r="L183" i="1"/>
  <c r="Q182" i="1"/>
  <c r="R182" i="1"/>
  <c r="S182" i="1"/>
  <c r="T182" i="1"/>
  <c r="M182" i="1"/>
  <c r="P182" i="1"/>
  <c r="I182" i="1"/>
  <c r="J182" i="1"/>
  <c r="K182" i="1"/>
  <c r="L182" i="1"/>
  <c r="Q181" i="1"/>
  <c r="R181" i="1"/>
  <c r="S181" i="1"/>
  <c r="T181" i="1"/>
  <c r="M181" i="1"/>
  <c r="P181" i="1"/>
  <c r="I181" i="1"/>
  <c r="J181" i="1"/>
  <c r="K181" i="1"/>
  <c r="L181" i="1"/>
  <c r="Q180" i="1"/>
  <c r="R180" i="1"/>
  <c r="S180" i="1"/>
  <c r="T180" i="1"/>
  <c r="M180" i="1"/>
  <c r="P180" i="1"/>
  <c r="I180" i="1"/>
  <c r="J180" i="1"/>
  <c r="K180" i="1"/>
  <c r="L180" i="1"/>
  <c r="Q179" i="1"/>
  <c r="R179" i="1"/>
  <c r="S179" i="1"/>
  <c r="T179" i="1"/>
  <c r="M179" i="1"/>
  <c r="P179" i="1"/>
  <c r="I179" i="1"/>
  <c r="J179" i="1"/>
  <c r="K179" i="1"/>
  <c r="L179" i="1"/>
  <c r="Q178" i="1"/>
  <c r="R178" i="1"/>
  <c r="S178" i="1"/>
  <c r="T178" i="1"/>
  <c r="M178" i="1"/>
  <c r="P178" i="1"/>
  <c r="I178" i="1"/>
  <c r="J178" i="1"/>
  <c r="K178" i="1"/>
  <c r="L178" i="1"/>
  <c r="Q177" i="1"/>
  <c r="R177" i="1"/>
  <c r="S177" i="1"/>
  <c r="T177" i="1"/>
  <c r="M177" i="1"/>
  <c r="P177" i="1"/>
  <c r="I177" i="1"/>
  <c r="J177" i="1"/>
  <c r="K177" i="1"/>
  <c r="L177" i="1"/>
  <c r="Q176" i="1"/>
  <c r="R176" i="1"/>
  <c r="S176" i="1"/>
  <c r="T176" i="1"/>
  <c r="M176" i="1"/>
  <c r="P176" i="1"/>
  <c r="I176" i="1"/>
  <c r="J176" i="1"/>
  <c r="K176" i="1"/>
  <c r="L176" i="1"/>
  <c r="Q175" i="1"/>
  <c r="R175" i="1"/>
  <c r="S175" i="1"/>
  <c r="T175" i="1"/>
  <c r="M175" i="1"/>
  <c r="P175" i="1"/>
  <c r="I175" i="1"/>
  <c r="J175" i="1"/>
  <c r="K175" i="1"/>
  <c r="L175" i="1"/>
  <c r="Q174" i="1"/>
  <c r="R174" i="1"/>
  <c r="S174" i="1"/>
  <c r="T174" i="1"/>
  <c r="M174" i="1"/>
  <c r="P174" i="1"/>
  <c r="I174" i="1"/>
  <c r="J174" i="1"/>
  <c r="K174" i="1"/>
  <c r="L174" i="1"/>
  <c r="Q173" i="1"/>
  <c r="R173" i="1"/>
  <c r="S173" i="1"/>
  <c r="T173" i="1"/>
  <c r="M173" i="1"/>
  <c r="P173" i="1"/>
  <c r="I173" i="1"/>
  <c r="J173" i="1"/>
  <c r="K173" i="1"/>
  <c r="L173" i="1"/>
  <c r="Q172" i="1"/>
  <c r="R172" i="1"/>
  <c r="S172" i="1"/>
  <c r="T172" i="1"/>
  <c r="M172" i="1"/>
  <c r="P172" i="1"/>
  <c r="I172" i="1"/>
  <c r="J172" i="1"/>
  <c r="K172" i="1"/>
  <c r="L172" i="1"/>
  <c r="Q171" i="1"/>
  <c r="R171" i="1"/>
  <c r="S171" i="1"/>
  <c r="T171" i="1"/>
  <c r="M171" i="1"/>
  <c r="P171" i="1"/>
  <c r="I171" i="1"/>
  <c r="J171" i="1"/>
  <c r="K171" i="1"/>
  <c r="L171" i="1"/>
  <c r="Q170" i="1"/>
  <c r="R170" i="1"/>
  <c r="S170" i="1"/>
  <c r="T170" i="1"/>
  <c r="M170" i="1"/>
  <c r="P170" i="1"/>
  <c r="I170" i="1"/>
  <c r="J170" i="1"/>
  <c r="K170" i="1"/>
  <c r="L170" i="1"/>
  <c r="Q169" i="1"/>
  <c r="R169" i="1"/>
  <c r="S169" i="1"/>
  <c r="T169" i="1"/>
  <c r="M169" i="1"/>
  <c r="P169" i="1"/>
  <c r="I169" i="1"/>
  <c r="J169" i="1"/>
  <c r="K169" i="1"/>
  <c r="L169" i="1"/>
  <c r="Q168" i="1"/>
  <c r="R168" i="1"/>
  <c r="S168" i="1"/>
  <c r="T168" i="1"/>
  <c r="M168" i="1"/>
  <c r="P168" i="1"/>
  <c r="I168" i="1"/>
  <c r="J168" i="1"/>
  <c r="K168" i="1"/>
  <c r="L168" i="1"/>
  <c r="Q167" i="1"/>
  <c r="R167" i="1"/>
  <c r="S167" i="1"/>
  <c r="T167" i="1"/>
  <c r="M167" i="1"/>
  <c r="P167" i="1"/>
  <c r="I167" i="1"/>
  <c r="J167" i="1"/>
  <c r="K167" i="1"/>
  <c r="L167" i="1"/>
  <c r="Q166" i="1"/>
  <c r="R166" i="1"/>
  <c r="S166" i="1"/>
  <c r="T166" i="1"/>
  <c r="M166" i="1"/>
  <c r="P166" i="1"/>
  <c r="I166" i="1"/>
  <c r="J166" i="1"/>
  <c r="K166" i="1"/>
  <c r="L166" i="1"/>
  <c r="Q165" i="1"/>
  <c r="R165" i="1"/>
  <c r="S165" i="1"/>
  <c r="T165" i="1"/>
  <c r="M165" i="1"/>
  <c r="P165" i="1"/>
  <c r="I165" i="1"/>
  <c r="J165" i="1"/>
  <c r="K165" i="1"/>
  <c r="L165" i="1"/>
  <c r="Q164" i="1"/>
  <c r="R164" i="1"/>
  <c r="S164" i="1"/>
  <c r="T164" i="1"/>
  <c r="M164" i="1"/>
  <c r="P164" i="1"/>
  <c r="I164" i="1"/>
  <c r="J164" i="1"/>
  <c r="K164" i="1"/>
  <c r="L164" i="1"/>
  <c r="Q163" i="1"/>
  <c r="R163" i="1"/>
  <c r="S163" i="1"/>
  <c r="T163" i="1"/>
  <c r="M163" i="1"/>
  <c r="P163" i="1"/>
  <c r="I163" i="1"/>
  <c r="J163" i="1"/>
  <c r="K163" i="1"/>
  <c r="L163" i="1"/>
  <c r="Q162" i="1"/>
  <c r="R162" i="1"/>
  <c r="S162" i="1"/>
  <c r="T162" i="1"/>
  <c r="M162" i="1"/>
  <c r="P162" i="1"/>
  <c r="I162" i="1"/>
  <c r="J162" i="1"/>
  <c r="K162" i="1"/>
  <c r="L162" i="1"/>
  <c r="Q161" i="1"/>
  <c r="R161" i="1"/>
  <c r="S161" i="1"/>
  <c r="T161" i="1"/>
  <c r="M161" i="1"/>
  <c r="P161" i="1"/>
  <c r="I161" i="1"/>
  <c r="J161" i="1"/>
  <c r="K161" i="1"/>
  <c r="L161" i="1"/>
  <c r="Q160" i="1"/>
  <c r="R160" i="1"/>
  <c r="S160" i="1"/>
  <c r="T160" i="1"/>
  <c r="M160" i="1"/>
  <c r="P160" i="1"/>
  <c r="I160" i="1"/>
  <c r="J160" i="1"/>
  <c r="K160" i="1"/>
  <c r="L160" i="1"/>
  <c r="Q159" i="1"/>
  <c r="R159" i="1"/>
  <c r="S159" i="1"/>
  <c r="T159" i="1"/>
  <c r="M159" i="1"/>
  <c r="P159" i="1"/>
  <c r="I159" i="1"/>
  <c r="J159" i="1"/>
  <c r="K159" i="1"/>
  <c r="L159" i="1"/>
  <c r="Q158" i="1"/>
  <c r="R158" i="1"/>
  <c r="S158" i="1"/>
  <c r="T158" i="1"/>
  <c r="M158" i="1"/>
  <c r="P158" i="1"/>
  <c r="I158" i="1"/>
  <c r="J158" i="1"/>
  <c r="K158" i="1"/>
  <c r="L158" i="1"/>
  <c r="Q157" i="1"/>
  <c r="R157" i="1"/>
  <c r="S157" i="1"/>
  <c r="T157" i="1"/>
  <c r="M157" i="1"/>
  <c r="P157" i="1"/>
  <c r="I157" i="1"/>
  <c r="J157" i="1"/>
  <c r="K157" i="1"/>
  <c r="L157" i="1"/>
  <c r="Q156" i="1"/>
  <c r="R156" i="1"/>
  <c r="S156" i="1"/>
  <c r="T156" i="1"/>
  <c r="M156" i="1"/>
  <c r="P156" i="1"/>
  <c r="I156" i="1"/>
  <c r="J156" i="1"/>
  <c r="K156" i="1"/>
  <c r="L156" i="1"/>
  <c r="Q155" i="1"/>
  <c r="R155" i="1"/>
  <c r="S155" i="1"/>
  <c r="T155" i="1"/>
  <c r="M155" i="1"/>
  <c r="P155" i="1"/>
  <c r="I155" i="1"/>
  <c r="J155" i="1"/>
  <c r="K155" i="1"/>
  <c r="L155" i="1"/>
  <c r="Q154" i="1"/>
  <c r="R154" i="1"/>
  <c r="S154" i="1"/>
  <c r="T154" i="1"/>
  <c r="M154" i="1"/>
  <c r="P154" i="1"/>
  <c r="I154" i="1"/>
  <c r="J154" i="1"/>
  <c r="K154" i="1"/>
  <c r="L154" i="1"/>
  <c r="Q153" i="1"/>
  <c r="R153" i="1"/>
  <c r="S153" i="1"/>
  <c r="T153" i="1"/>
  <c r="M153" i="1"/>
  <c r="P153" i="1"/>
  <c r="I153" i="1"/>
  <c r="J153" i="1"/>
  <c r="K153" i="1"/>
  <c r="L153" i="1"/>
  <c r="Q152" i="1"/>
  <c r="R152" i="1"/>
  <c r="S152" i="1"/>
  <c r="T152" i="1"/>
  <c r="M152" i="1"/>
  <c r="P152" i="1"/>
  <c r="I152" i="1"/>
  <c r="J152" i="1"/>
  <c r="K152" i="1"/>
  <c r="L152" i="1"/>
  <c r="Q151" i="1"/>
  <c r="R151" i="1"/>
  <c r="S151" i="1"/>
  <c r="T151" i="1"/>
  <c r="M151" i="1"/>
  <c r="P151" i="1"/>
  <c r="I151" i="1"/>
  <c r="J151" i="1"/>
  <c r="K151" i="1"/>
  <c r="L151" i="1"/>
  <c r="Q150" i="1"/>
  <c r="R150" i="1"/>
  <c r="S150" i="1"/>
  <c r="T150" i="1"/>
  <c r="M150" i="1"/>
  <c r="P150" i="1"/>
  <c r="I150" i="1"/>
  <c r="J150" i="1"/>
  <c r="K150" i="1"/>
  <c r="L150" i="1"/>
  <c r="Q149" i="1"/>
  <c r="R149" i="1"/>
  <c r="S149" i="1"/>
  <c r="T149" i="1"/>
  <c r="M149" i="1"/>
  <c r="P149" i="1"/>
  <c r="I149" i="1"/>
  <c r="J149" i="1"/>
  <c r="K149" i="1"/>
  <c r="L149" i="1"/>
  <c r="Q148" i="1"/>
  <c r="R148" i="1"/>
  <c r="S148" i="1"/>
  <c r="T148" i="1"/>
  <c r="M148" i="1"/>
  <c r="P148" i="1"/>
  <c r="I148" i="1"/>
  <c r="J148" i="1"/>
  <c r="K148" i="1"/>
  <c r="L148" i="1"/>
  <c r="Q147" i="1"/>
  <c r="R147" i="1"/>
  <c r="S147" i="1"/>
  <c r="T147" i="1"/>
  <c r="M147" i="1"/>
  <c r="P147" i="1"/>
  <c r="I147" i="1"/>
  <c r="J147" i="1"/>
  <c r="K147" i="1"/>
  <c r="L147" i="1"/>
  <c r="Q146" i="1"/>
  <c r="R146" i="1"/>
  <c r="S146" i="1"/>
  <c r="T146" i="1"/>
  <c r="M146" i="1"/>
  <c r="P146" i="1"/>
  <c r="I146" i="1"/>
  <c r="J146" i="1"/>
  <c r="K146" i="1"/>
  <c r="L146" i="1"/>
  <c r="Q145" i="1"/>
  <c r="R145" i="1"/>
  <c r="S145" i="1"/>
  <c r="T145" i="1"/>
  <c r="M145" i="1"/>
  <c r="P145" i="1"/>
  <c r="I145" i="1"/>
  <c r="J145" i="1"/>
  <c r="K145" i="1"/>
  <c r="L145" i="1"/>
  <c r="Q144" i="1"/>
  <c r="R144" i="1"/>
  <c r="S144" i="1"/>
  <c r="T144" i="1"/>
  <c r="M144" i="1"/>
  <c r="P144" i="1"/>
  <c r="I144" i="1"/>
  <c r="J144" i="1"/>
  <c r="K144" i="1"/>
  <c r="L144" i="1"/>
  <c r="Q143" i="1"/>
  <c r="R143" i="1"/>
  <c r="S143" i="1"/>
  <c r="T143" i="1"/>
  <c r="M143" i="1"/>
  <c r="P143" i="1"/>
  <c r="I143" i="1"/>
  <c r="J143" i="1"/>
  <c r="K143" i="1"/>
  <c r="L143" i="1"/>
  <c r="Q142" i="1"/>
  <c r="R142" i="1"/>
  <c r="S142" i="1"/>
  <c r="T142" i="1"/>
  <c r="M142" i="1"/>
  <c r="P142" i="1"/>
  <c r="I142" i="1"/>
  <c r="J142" i="1"/>
  <c r="K142" i="1"/>
  <c r="L142" i="1"/>
  <c r="Q141" i="1"/>
  <c r="R141" i="1"/>
  <c r="S141" i="1"/>
  <c r="T141" i="1"/>
  <c r="M141" i="1"/>
  <c r="P141" i="1"/>
  <c r="I141" i="1"/>
  <c r="J141" i="1"/>
  <c r="K141" i="1"/>
  <c r="L141" i="1"/>
  <c r="Q140" i="1"/>
  <c r="R140" i="1"/>
  <c r="S140" i="1"/>
  <c r="T140" i="1"/>
  <c r="M140" i="1"/>
  <c r="P140" i="1"/>
  <c r="I140" i="1"/>
  <c r="J140" i="1"/>
  <c r="K140" i="1"/>
  <c r="L140" i="1"/>
  <c r="Q139" i="1"/>
  <c r="R139" i="1"/>
  <c r="S139" i="1"/>
  <c r="T139" i="1"/>
  <c r="M139" i="1"/>
  <c r="P139" i="1"/>
  <c r="I139" i="1"/>
  <c r="J139" i="1"/>
  <c r="K139" i="1"/>
  <c r="L139" i="1"/>
  <c r="Q138" i="1"/>
  <c r="R138" i="1"/>
  <c r="S138" i="1"/>
  <c r="T138" i="1"/>
  <c r="M138" i="1"/>
  <c r="P138" i="1"/>
  <c r="I138" i="1"/>
  <c r="J138" i="1"/>
  <c r="K138" i="1"/>
  <c r="L138" i="1"/>
  <c r="Q137" i="1"/>
  <c r="R137" i="1"/>
  <c r="S137" i="1"/>
  <c r="T137" i="1"/>
  <c r="M137" i="1"/>
  <c r="P137" i="1"/>
  <c r="I137" i="1"/>
  <c r="J137" i="1"/>
  <c r="K137" i="1"/>
  <c r="L137" i="1"/>
  <c r="Q136" i="1"/>
  <c r="R136" i="1"/>
  <c r="S136" i="1"/>
  <c r="T136" i="1"/>
  <c r="M136" i="1"/>
  <c r="P136" i="1"/>
  <c r="I136" i="1"/>
  <c r="J136" i="1"/>
  <c r="K136" i="1"/>
  <c r="L136" i="1"/>
  <c r="Q135" i="1"/>
  <c r="R135" i="1"/>
  <c r="S135" i="1"/>
  <c r="T135" i="1"/>
  <c r="M135" i="1"/>
  <c r="P135" i="1"/>
  <c r="I135" i="1"/>
  <c r="J135" i="1"/>
  <c r="K135" i="1"/>
  <c r="L135" i="1"/>
  <c r="Q134" i="1"/>
  <c r="R134" i="1"/>
  <c r="S134" i="1"/>
  <c r="T134" i="1"/>
  <c r="M134" i="1"/>
  <c r="P134" i="1"/>
  <c r="I134" i="1"/>
  <c r="J134" i="1"/>
  <c r="K134" i="1"/>
  <c r="L134" i="1"/>
  <c r="Q133" i="1"/>
  <c r="R133" i="1"/>
  <c r="S133" i="1"/>
  <c r="T133" i="1"/>
  <c r="M133" i="1"/>
  <c r="P133" i="1"/>
  <c r="I133" i="1"/>
  <c r="J133" i="1"/>
  <c r="K133" i="1"/>
  <c r="L133" i="1"/>
  <c r="Q132" i="1"/>
  <c r="R132" i="1"/>
  <c r="S132" i="1"/>
  <c r="T132" i="1"/>
  <c r="M132" i="1"/>
  <c r="P132" i="1"/>
  <c r="I132" i="1"/>
  <c r="J132" i="1"/>
  <c r="K132" i="1"/>
  <c r="L132" i="1"/>
  <c r="Q131" i="1"/>
  <c r="R131" i="1"/>
  <c r="S131" i="1"/>
  <c r="T131" i="1"/>
  <c r="M131" i="1"/>
  <c r="P131" i="1"/>
  <c r="I131" i="1"/>
  <c r="J131" i="1"/>
  <c r="K131" i="1"/>
  <c r="L131" i="1"/>
  <c r="Q130" i="1"/>
  <c r="R130" i="1"/>
  <c r="S130" i="1"/>
  <c r="T130" i="1"/>
  <c r="M130" i="1"/>
  <c r="P130" i="1"/>
  <c r="I130" i="1"/>
  <c r="J130" i="1"/>
  <c r="K130" i="1"/>
  <c r="L130" i="1"/>
  <c r="Q129" i="1"/>
  <c r="R129" i="1"/>
  <c r="S129" i="1"/>
  <c r="T129" i="1"/>
  <c r="M129" i="1"/>
  <c r="P129" i="1"/>
  <c r="I129" i="1"/>
  <c r="J129" i="1"/>
  <c r="K129" i="1"/>
  <c r="L129" i="1"/>
  <c r="Q128" i="1"/>
  <c r="R128" i="1"/>
  <c r="S128" i="1"/>
  <c r="T128" i="1"/>
  <c r="M128" i="1"/>
  <c r="P128" i="1"/>
  <c r="I128" i="1"/>
  <c r="J128" i="1"/>
  <c r="K128" i="1"/>
  <c r="L128" i="1"/>
  <c r="Q127" i="1"/>
  <c r="R127" i="1"/>
  <c r="S127" i="1"/>
  <c r="T127" i="1"/>
  <c r="M127" i="1"/>
  <c r="P127" i="1"/>
  <c r="I127" i="1"/>
  <c r="J127" i="1"/>
  <c r="K127" i="1"/>
  <c r="L127" i="1"/>
  <c r="Q126" i="1"/>
  <c r="R126" i="1"/>
  <c r="S126" i="1"/>
  <c r="T126" i="1"/>
  <c r="M126" i="1"/>
  <c r="P126" i="1"/>
  <c r="I126" i="1"/>
  <c r="J126" i="1"/>
  <c r="K126" i="1"/>
  <c r="L126" i="1"/>
  <c r="Q125" i="1"/>
  <c r="R125" i="1"/>
  <c r="S125" i="1"/>
  <c r="T125" i="1"/>
  <c r="M125" i="1"/>
  <c r="P125" i="1"/>
  <c r="I125" i="1"/>
  <c r="J125" i="1"/>
  <c r="K125" i="1"/>
  <c r="L125" i="1"/>
  <c r="Q124" i="1"/>
  <c r="R124" i="1"/>
  <c r="S124" i="1"/>
  <c r="T124" i="1"/>
  <c r="M124" i="1"/>
  <c r="P124" i="1"/>
  <c r="I124" i="1"/>
  <c r="J124" i="1"/>
  <c r="K124" i="1"/>
  <c r="L124" i="1"/>
  <c r="Q123" i="1"/>
  <c r="R123" i="1"/>
  <c r="S123" i="1"/>
  <c r="T123" i="1"/>
  <c r="M123" i="1"/>
  <c r="P123" i="1"/>
  <c r="I123" i="1"/>
  <c r="J123" i="1"/>
  <c r="K123" i="1"/>
  <c r="L123" i="1"/>
  <c r="Q122" i="1"/>
  <c r="R122" i="1"/>
  <c r="S122" i="1"/>
  <c r="T122" i="1"/>
  <c r="M122" i="1"/>
  <c r="P122" i="1"/>
  <c r="I122" i="1"/>
  <c r="J122" i="1"/>
  <c r="K122" i="1"/>
  <c r="L122" i="1"/>
  <c r="Q121" i="1"/>
  <c r="R121" i="1"/>
  <c r="S121" i="1"/>
  <c r="T121" i="1"/>
  <c r="M121" i="1"/>
  <c r="P121" i="1"/>
  <c r="I121" i="1"/>
  <c r="J121" i="1"/>
  <c r="K121" i="1"/>
  <c r="L121" i="1"/>
  <c r="Q120" i="1"/>
  <c r="R120" i="1"/>
  <c r="S120" i="1"/>
  <c r="T120" i="1"/>
  <c r="M120" i="1"/>
  <c r="P120" i="1"/>
  <c r="I120" i="1"/>
  <c r="J120" i="1"/>
  <c r="K120" i="1"/>
  <c r="L120" i="1"/>
  <c r="Q119" i="1"/>
  <c r="R119" i="1"/>
  <c r="S119" i="1"/>
  <c r="T119" i="1"/>
  <c r="M119" i="1"/>
  <c r="P119" i="1"/>
  <c r="I119" i="1"/>
  <c r="J119" i="1"/>
  <c r="K119" i="1"/>
  <c r="L119" i="1"/>
  <c r="Q118" i="1"/>
  <c r="R118" i="1"/>
  <c r="S118" i="1"/>
  <c r="T118" i="1"/>
  <c r="M118" i="1"/>
  <c r="P118" i="1"/>
  <c r="I118" i="1"/>
  <c r="J118" i="1"/>
  <c r="K118" i="1"/>
  <c r="L118" i="1"/>
  <c r="Q117" i="1"/>
  <c r="R117" i="1"/>
  <c r="S117" i="1"/>
  <c r="T117" i="1"/>
  <c r="M117" i="1"/>
  <c r="P117" i="1"/>
  <c r="I117" i="1"/>
  <c r="J117" i="1"/>
  <c r="K117" i="1"/>
  <c r="L117" i="1"/>
  <c r="Q116" i="1"/>
  <c r="R116" i="1"/>
  <c r="S116" i="1"/>
  <c r="T116" i="1"/>
  <c r="M116" i="1"/>
  <c r="P116" i="1"/>
  <c r="I116" i="1"/>
  <c r="J116" i="1"/>
  <c r="K116" i="1"/>
  <c r="L116" i="1"/>
  <c r="Q115" i="1"/>
  <c r="R115" i="1"/>
  <c r="S115" i="1"/>
  <c r="T115" i="1"/>
  <c r="M115" i="1"/>
  <c r="P115" i="1"/>
  <c r="I115" i="1"/>
  <c r="J115" i="1"/>
  <c r="K115" i="1"/>
  <c r="L115" i="1"/>
  <c r="Q114" i="1"/>
  <c r="R114" i="1"/>
  <c r="S114" i="1"/>
  <c r="T114" i="1"/>
  <c r="M114" i="1"/>
  <c r="P114" i="1"/>
  <c r="I114" i="1"/>
  <c r="J114" i="1"/>
  <c r="K114" i="1"/>
  <c r="L114" i="1"/>
  <c r="Q113" i="1"/>
  <c r="R113" i="1"/>
  <c r="S113" i="1"/>
  <c r="T113" i="1"/>
  <c r="M113" i="1"/>
  <c r="P113" i="1"/>
  <c r="I113" i="1"/>
  <c r="J113" i="1"/>
  <c r="K113" i="1"/>
  <c r="L113" i="1"/>
  <c r="Q112" i="1"/>
  <c r="R112" i="1"/>
  <c r="S112" i="1"/>
  <c r="T112" i="1"/>
  <c r="M112" i="1"/>
  <c r="P112" i="1"/>
  <c r="I112" i="1"/>
  <c r="J112" i="1"/>
  <c r="K112" i="1"/>
  <c r="L112" i="1"/>
  <c r="Q111" i="1"/>
  <c r="R111" i="1"/>
  <c r="S111" i="1"/>
  <c r="T111" i="1"/>
  <c r="M111" i="1"/>
  <c r="P111" i="1"/>
  <c r="I111" i="1"/>
  <c r="J111" i="1"/>
  <c r="K111" i="1"/>
  <c r="L111" i="1"/>
  <c r="Q110" i="1"/>
  <c r="R110" i="1"/>
  <c r="S110" i="1"/>
  <c r="T110" i="1"/>
  <c r="M110" i="1"/>
  <c r="P110" i="1"/>
  <c r="I110" i="1"/>
  <c r="J110" i="1"/>
  <c r="K110" i="1"/>
  <c r="L110" i="1"/>
  <c r="Q109" i="1"/>
  <c r="R109" i="1"/>
  <c r="S109" i="1"/>
  <c r="T109" i="1"/>
  <c r="M109" i="1"/>
  <c r="P109" i="1"/>
  <c r="I109" i="1"/>
  <c r="J109" i="1"/>
  <c r="K109" i="1"/>
  <c r="L109" i="1"/>
  <c r="Q108" i="1"/>
  <c r="R108" i="1"/>
  <c r="S108" i="1"/>
  <c r="T108" i="1"/>
  <c r="M108" i="1"/>
  <c r="P108" i="1"/>
  <c r="I108" i="1"/>
  <c r="J108" i="1"/>
  <c r="K108" i="1"/>
  <c r="L108" i="1"/>
  <c r="Q107" i="1"/>
  <c r="R107" i="1"/>
  <c r="S107" i="1"/>
  <c r="T107" i="1"/>
  <c r="M107" i="1"/>
  <c r="P107" i="1"/>
  <c r="I107" i="1"/>
  <c r="J107" i="1"/>
  <c r="K107" i="1"/>
  <c r="L107" i="1"/>
  <c r="Q106" i="1"/>
  <c r="R106" i="1"/>
  <c r="S106" i="1"/>
  <c r="T106" i="1"/>
  <c r="M106" i="1"/>
  <c r="P106" i="1"/>
  <c r="I106" i="1"/>
  <c r="J106" i="1"/>
  <c r="K106" i="1"/>
  <c r="L106" i="1"/>
  <c r="Q105" i="1"/>
  <c r="R105" i="1"/>
  <c r="S105" i="1"/>
  <c r="T105" i="1"/>
  <c r="M105" i="1"/>
  <c r="P105" i="1"/>
  <c r="I105" i="1"/>
  <c r="J105" i="1"/>
  <c r="K105" i="1"/>
  <c r="L105" i="1"/>
  <c r="Q104" i="1"/>
  <c r="R104" i="1"/>
  <c r="S104" i="1"/>
  <c r="T104" i="1"/>
  <c r="M104" i="1"/>
  <c r="P104" i="1"/>
  <c r="I104" i="1"/>
  <c r="J104" i="1"/>
  <c r="K104" i="1"/>
  <c r="L104" i="1"/>
  <c r="Q103" i="1"/>
  <c r="R103" i="1"/>
  <c r="S103" i="1"/>
  <c r="T103" i="1"/>
  <c r="M103" i="1"/>
  <c r="P103" i="1"/>
  <c r="I103" i="1"/>
  <c r="J103" i="1"/>
  <c r="K103" i="1"/>
  <c r="L103" i="1"/>
  <c r="Q102" i="1"/>
  <c r="R102" i="1"/>
  <c r="S102" i="1"/>
  <c r="T102" i="1"/>
  <c r="M102" i="1"/>
  <c r="P102" i="1"/>
  <c r="I102" i="1"/>
  <c r="J102" i="1"/>
  <c r="K102" i="1"/>
  <c r="L102" i="1"/>
  <c r="Q101" i="1"/>
  <c r="R101" i="1"/>
  <c r="S101" i="1"/>
  <c r="T101" i="1"/>
  <c r="M101" i="1"/>
  <c r="P101" i="1"/>
  <c r="I101" i="1"/>
  <c r="J101" i="1"/>
  <c r="K101" i="1"/>
  <c r="L101" i="1"/>
  <c r="Q100" i="1"/>
  <c r="R100" i="1"/>
  <c r="S100" i="1"/>
  <c r="T100" i="1"/>
  <c r="M100" i="1"/>
  <c r="P100" i="1"/>
  <c r="I100" i="1"/>
  <c r="J100" i="1"/>
  <c r="K100" i="1"/>
  <c r="L100" i="1"/>
  <c r="Q99" i="1"/>
  <c r="R99" i="1"/>
  <c r="S99" i="1"/>
  <c r="T99" i="1"/>
  <c r="M99" i="1"/>
  <c r="P99" i="1"/>
  <c r="I99" i="1"/>
  <c r="J99" i="1"/>
  <c r="K99" i="1"/>
  <c r="L99" i="1"/>
  <c r="Q98" i="1"/>
  <c r="R98" i="1"/>
  <c r="S98" i="1"/>
  <c r="T98" i="1"/>
  <c r="M98" i="1"/>
  <c r="P98" i="1"/>
  <c r="I98" i="1"/>
  <c r="J98" i="1"/>
  <c r="K98" i="1"/>
  <c r="L98" i="1"/>
  <c r="Q97" i="1"/>
  <c r="R97" i="1"/>
  <c r="S97" i="1"/>
  <c r="T97" i="1"/>
  <c r="M97" i="1"/>
  <c r="P97" i="1"/>
  <c r="I97" i="1"/>
  <c r="J97" i="1"/>
  <c r="K97" i="1"/>
  <c r="L97" i="1"/>
  <c r="Q96" i="1"/>
  <c r="R96" i="1"/>
  <c r="S96" i="1"/>
  <c r="T96" i="1"/>
  <c r="M96" i="1"/>
  <c r="P96" i="1"/>
  <c r="I96" i="1"/>
  <c r="J96" i="1"/>
  <c r="K96" i="1"/>
  <c r="L96" i="1"/>
  <c r="Q95" i="1"/>
  <c r="R95" i="1"/>
  <c r="S95" i="1"/>
  <c r="T95" i="1"/>
  <c r="M95" i="1"/>
  <c r="P95" i="1"/>
  <c r="I95" i="1"/>
  <c r="J95" i="1"/>
  <c r="K95" i="1"/>
  <c r="L95" i="1"/>
  <c r="Q94" i="1"/>
  <c r="R94" i="1"/>
  <c r="S94" i="1"/>
  <c r="T94" i="1"/>
  <c r="M94" i="1"/>
  <c r="P94" i="1"/>
  <c r="I94" i="1"/>
  <c r="J94" i="1"/>
  <c r="K94" i="1"/>
  <c r="L94" i="1"/>
  <c r="Q93" i="1"/>
  <c r="R93" i="1"/>
  <c r="S93" i="1"/>
  <c r="T93" i="1"/>
  <c r="M93" i="1"/>
  <c r="P93" i="1"/>
  <c r="I93" i="1"/>
  <c r="J93" i="1"/>
  <c r="K93" i="1"/>
  <c r="L93" i="1"/>
  <c r="Q92" i="1"/>
  <c r="R92" i="1"/>
  <c r="S92" i="1"/>
  <c r="T92" i="1"/>
  <c r="M92" i="1"/>
  <c r="P92" i="1"/>
  <c r="I92" i="1"/>
  <c r="J92" i="1"/>
  <c r="K92" i="1"/>
  <c r="L92" i="1"/>
  <c r="Q91" i="1"/>
  <c r="R91" i="1"/>
  <c r="S91" i="1"/>
  <c r="T91" i="1"/>
  <c r="M91" i="1"/>
  <c r="P91" i="1"/>
  <c r="I91" i="1"/>
  <c r="J91" i="1"/>
  <c r="K91" i="1"/>
  <c r="L91" i="1"/>
  <c r="Q90" i="1"/>
  <c r="R90" i="1"/>
  <c r="S90" i="1"/>
  <c r="T90" i="1"/>
  <c r="M90" i="1"/>
  <c r="P90" i="1"/>
  <c r="I90" i="1"/>
  <c r="J90" i="1"/>
  <c r="K90" i="1"/>
  <c r="L90" i="1"/>
  <c r="Q89" i="1"/>
  <c r="R89" i="1"/>
  <c r="S89" i="1"/>
  <c r="T89" i="1"/>
  <c r="M89" i="1"/>
  <c r="P89" i="1"/>
  <c r="I89" i="1"/>
  <c r="J89" i="1"/>
  <c r="K89" i="1"/>
  <c r="L89" i="1"/>
  <c r="Q88" i="1"/>
  <c r="R88" i="1"/>
  <c r="S88" i="1"/>
  <c r="T88" i="1"/>
  <c r="M88" i="1"/>
  <c r="P88" i="1"/>
  <c r="I88" i="1"/>
  <c r="J88" i="1"/>
  <c r="K88" i="1"/>
  <c r="L88" i="1"/>
  <c r="Q87" i="1"/>
  <c r="R87" i="1"/>
  <c r="S87" i="1"/>
  <c r="T87" i="1"/>
  <c r="M87" i="1"/>
  <c r="P87" i="1"/>
  <c r="I87" i="1"/>
  <c r="J87" i="1"/>
  <c r="K87" i="1"/>
  <c r="L87" i="1"/>
  <c r="Q86" i="1"/>
  <c r="R86" i="1"/>
  <c r="S86" i="1"/>
  <c r="T86" i="1"/>
  <c r="M86" i="1"/>
  <c r="P86" i="1"/>
  <c r="I86" i="1"/>
  <c r="J86" i="1"/>
  <c r="K86" i="1"/>
  <c r="L86" i="1"/>
  <c r="Q85" i="1"/>
  <c r="R85" i="1"/>
  <c r="S85" i="1"/>
  <c r="T85" i="1"/>
  <c r="M85" i="1"/>
  <c r="P85" i="1"/>
  <c r="I85" i="1"/>
  <c r="J85" i="1"/>
  <c r="K85" i="1"/>
  <c r="L85" i="1"/>
  <c r="Q84" i="1"/>
  <c r="R84" i="1"/>
  <c r="S84" i="1"/>
  <c r="T84" i="1"/>
  <c r="M84" i="1"/>
  <c r="P84" i="1"/>
  <c r="I84" i="1"/>
  <c r="J84" i="1"/>
  <c r="K84" i="1"/>
  <c r="L84" i="1"/>
  <c r="Q83" i="1"/>
  <c r="R83" i="1"/>
  <c r="S83" i="1"/>
  <c r="T83" i="1"/>
  <c r="M83" i="1"/>
  <c r="P83" i="1"/>
  <c r="I83" i="1"/>
  <c r="J83" i="1"/>
  <c r="K83" i="1"/>
  <c r="L83" i="1"/>
  <c r="Q82" i="1"/>
  <c r="R82" i="1"/>
  <c r="S82" i="1"/>
  <c r="T82" i="1"/>
  <c r="M82" i="1"/>
  <c r="P82" i="1"/>
  <c r="I82" i="1"/>
  <c r="J82" i="1"/>
  <c r="K82" i="1"/>
  <c r="L82" i="1"/>
  <c r="Q81" i="1"/>
  <c r="R81" i="1"/>
  <c r="S81" i="1"/>
  <c r="T81" i="1"/>
  <c r="M81" i="1"/>
  <c r="P81" i="1"/>
  <c r="I81" i="1"/>
  <c r="J81" i="1"/>
  <c r="K81" i="1"/>
  <c r="L81" i="1"/>
  <c r="Q80" i="1"/>
  <c r="R80" i="1"/>
  <c r="S80" i="1"/>
  <c r="T80" i="1"/>
  <c r="M80" i="1"/>
  <c r="P80" i="1"/>
  <c r="I80" i="1"/>
  <c r="J80" i="1"/>
  <c r="K80" i="1"/>
  <c r="L80" i="1"/>
  <c r="Q79" i="1"/>
  <c r="R79" i="1"/>
  <c r="S79" i="1"/>
  <c r="T79" i="1"/>
  <c r="M79" i="1"/>
  <c r="P79" i="1"/>
  <c r="I79" i="1"/>
  <c r="J79" i="1"/>
  <c r="K79" i="1"/>
  <c r="L79" i="1"/>
  <c r="Q78" i="1"/>
  <c r="R78" i="1"/>
  <c r="S78" i="1"/>
  <c r="T78" i="1"/>
  <c r="M78" i="1"/>
  <c r="P78" i="1"/>
  <c r="I78" i="1"/>
  <c r="J78" i="1"/>
  <c r="K78" i="1"/>
  <c r="L78" i="1"/>
  <c r="Q77" i="1"/>
  <c r="R77" i="1"/>
  <c r="S77" i="1"/>
  <c r="T77" i="1"/>
  <c r="M77" i="1"/>
  <c r="P77" i="1"/>
  <c r="I77" i="1"/>
  <c r="J77" i="1"/>
  <c r="K77" i="1"/>
  <c r="L77" i="1"/>
  <c r="Q76" i="1"/>
  <c r="R76" i="1"/>
  <c r="S76" i="1"/>
  <c r="T76" i="1"/>
  <c r="M76" i="1"/>
  <c r="P76" i="1"/>
  <c r="I76" i="1"/>
  <c r="J76" i="1"/>
  <c r="K76" i="1"/>
  <c r="L76" i="1"/>
  <c r="Q75" i="1"/>
  <c r="R75" i="1"/>
  <c r="S75" i="1"/>
  <c r="T75" i="1"/>
  <c r="M75" i="1"/>
  <c r="P75" i="1"/>
  <c r="I75" i="1"/>
  <c r="J75" i="1"/>
  <c r="K75" i="1"/>
  <c r="L75" i="1"/>
  <c r="Q74" i="1"/>
  <c r="R74" i="1"/>
  <c r="S74" i="1"/>
  <c r="T74" i="1"/>
  <c r="M74" i="1"/>
  <c r="P74" i="1"/>
  <c r="I74" i="1"/>
  <c r="J74" i="1"/>
  <c r="K74" i="1"/>
  <c r="L74" i="1"/>
  <c r="Q73" i="1"/>
  <c r="R73" i="1"/>
  <c r="S73" i="1"/>
  <c r="T73" i="1"/>
  <c r="M73" i="1"/>
  <c r="P73" i="1"/>
  <c r="I73" i="1"/>
  <c r="J73" i="1"/>
  <c r="K73" i="1"/>
  <c r="L73" i="1"/>
  <c r="Q72" i="1"/>
  <c r="R72" i="1"/>
  <c r="S72" i="1"/>
  <c r="T72" i="1"/>
  <c r="M72" i="1"/>
  <c r="P72" i="1"/>
  <c r="I72" i="1"/>
  <c r="J72" i="1"/>
  <c r="K72" i="1"/>
  <c r="L72" i="1"/>
  <c r="Q71" i="1"/>
  <c r="R71" i="1"/>
  <c r="S71" i="1"/>
  <c r="T71" i="1"/>
  <c r="M71" i="1"/>
  <c r="P71" i="1"/>
  <c r="I71" i="1"/>
  <c r="J71" i="1"/>
  <c r="K71" i="1"/>
  <c r="L71" i="1"/>
  <c r="Q70" i="1"/>
  <c r="R70" i="1"/>
  <c r="S70" i="1"/>
  <c r="T70" i="1"/>
  <c r="M70" i="1"/>
  <c r="P70" i="1"/>
  <c r="I70" i="1"/>
  <c r="J70" i="1"/>
  <c r="K70" i="1"/>
  <c r="L70" i="1"/>
  <c r="Q69" i="1"/>
  <c r="R69" i="1"/>
  <c r="S69" i="1"/>
  <c r="T69" i="1"/>
  <c r="M69" i="1"/>
  <c r="P69" i="1"/>
  <c r="I69" i="1"/>
  <c r="J69" i="1"/>
  <c r="K69" i="1"/>
  <c r="L69" i="1"/>
  <c r="Q68" i="1"/>
  <c r="R68" i="1"/>
  <c r="S68" i="1"/>
  <c r="T68" i="1"/>
  <c r="M68" i="1"/>
  <c r="P68" i="1"/>
  <c r="I68" i="1"/>
  <c r="J68" i="1"/>
  <c r="K68" i="1"/>
  <c r="L68" i="1"/>
  <c r="Q67" i="1"/>
  <c r="R67" i="1"/>
  <c r="S67" i="1"/>
  <c r="T67" i="1"/>
  <c r="M67" i="1"/>
  <c r="P67" i="1"/>
  <c r="I67" i="1"/>
  <c r="J67" i="1"/>
  <c r="K67" i="1"/>
  <c r="L67" i="1"/>
  <c r="Q66" i="1"/>
  <c r="R66" i="1"/>
  <c r="S66" i="1"/>
  <c r="T66" i="1"/>
  <c r="M66" i="1"/>
  <c r="P66" i="1"/>
  <c r="I66" i="1"/>
  <c r="J66" i="1"/>
  <c r="K66" i="1"/>
  <c r="L66" i="1"/>
  <c r="Q65" i="1"/>
  <c r="R65" i="1"/>
  <c r="S65" i="1"/>
  <c r="T65" i="1"/>
  <c r="M65" i="1"/>
  <c r="P65" i="1"/>
  <c r="I65" i="1"/>
  <c r="J65" i="1"/>
  <c r="K65" i="1"/>
  <c r="L65" i="1"/>
  <c r="Q64" i="1"/>
  <c r="R64" i="1"/>
  <c r="S64" i="1"/>
  <c r="T64" i="1"/>
  <c r="M64" i="1"/>
  <c r="P64" i="1"/>
  <c r="I64" i="1"/>
  <c r="J64" i="1"/>
  <c r="K64" i="1"/>
  <c r="L64" i="1"/>
  <c r="Q63" i="1"/>
  <c r="R63" i="1"/>
  <c r="S63" i="1"/>
  <c r="T63" i="1"/>
  <c r="M63" i="1"/>
  <c r="P63" i="1"/>
  <c r="I63" i="1"/>
  <c r="J63" i="1"/>
  <c r="K63" i="1"/>
  <c r="L63" i="1"/>
  <c r="Q62" i="1"/>
  <c r="R62" i="1"/>
  <c r="S62" i="1"/>
  <c r="T62" i="1"/>
  <c r="M62" i="1"/>
  <c r="P62" i="1"/>
  <c r="I62" i="1"/>
  <c r="J62" i="1"/>
  <c r="K62" i="1"/>
  <c r="L62" i="1"/>
  <c r="Q61" i="1"/>
  <c r="R61" i="1"/>
  <c r="S61" i="1"/>
  <c r="T61" i="1"/>
  <c r="M61" i="1"/>
  <c r="P61" i="1"/>
  <c r="I61" i="1"/>
  <c r="J61" i="1"/>
  <c r="K61" i="1"/>
  <c r="L61" i="1"/>
  <c r="Q60" i="1"/>
  <c r="R60" i="1"/>
  <c r="S60" i="1"/>
  <c r="T60" i="1"/>
  <c r="M60" i="1"/>
  <c r="P60" i="1"/>
  <c r="I60" i="1"/>
  <c r="J60" i="1"/>
  <c r="K60" i="1"/>
  <c r="L60" i="1"/>
  <c r="Q59" i="1"/>
  <c r="R59" i="1"/>
  <c r="S59" i="1"/>
  <c r="T59" i="1"/>
  <c r="M59" i="1"/>
  <c r="P59" i="1"/>
  <c r="I59" i="1"/>
  <c r="J59" i="1"/>
  <c r="K59" i="1"/>
  <c r="L59" i="1"/>
  <c r="Q58" i="1"/>
  <c r="R58" i="1"/>
  <c r="S58" i="1"/>
  <c r="T58" i="1"/>
  <c r="M58" i="1"/>
  <c r="P58" i="1"/>
  <c r="I58" i="1"/>
  <c r="J58" i="1"/>
  <c r="K58" i="1"/>
  <c r="L58" i="1"/>
  <c r="Q57" i="1"/>
  <c r="R57" i="1"/>
  <c r="S57" i="1"/>
  <c r="T57" i="1"/>
  <c r="M57" i="1"/>
  <c r="P57" i="1"/>
  <c r="I57" i="1"/>
  <c r="J57" i="1"/>
  <c r="K57" i="1"/>
  <c r="L57" i="1"/>
  <c r="Q56" i="1"/>
  <c r="R56" i="1"/>
  <c r="S56" i="1"/>
  <c r="T56" i="1"/>
  <c r="M56" i="1"/>
  <c r="P56" i="1"/>
  <c r="I56" i="1"/>
  <c r="J56" i="1"/>
  <c r="K56" i="1"/>
  <c r="L56" i="1"/>
  <c r="Q55" i="1"/>
  <c r="R55" i="1"/>
  <c r="S55" i="1"/>
  <c r="T55" i="1"/>
  <c r="M55" i="1"/>
  <c r="P55" i="1"/>
  <c r="I55" i="1"/>
  <c r="J55" i="1"/>
  <c r="K55" i="1"/>
  <c r="L55" i="1"/>
  <c r="Q54" i="1"/>
  <c r="R54" i="1"/>
  <c r="S54" i="1"/>
  <c r="T54" i="1"/>
  <c r="M54" i="1"/>
  <c r="P54" i="1"/>
  <c r="I54" i="1"/>
  <c r="J54" i="1"/>
  <c r="K54" i="1"/>
  <c r="L54" i="1"/>
  <c r="Q53" i="1"/>
  <c r="R53" i="1"/>
  <c r="S53" i="1"/>
  <c r="T53" i="1"/>
  <c r="M53" i="1"/>
  <c r="P53" i="1"/>
  <c r="I53" i="1"/>
  <c r="J53" i="1"/>
  <c r="K53" i="1"/>
  <c r="L53" i="1"/>
  <c r="Q52" i="1"/>
  <c r="R52" i="1"/>
  <c r="S52" i="1"/>
  <c r="T52" i="1"/>
  <c r="M52" i="1"/>
  <c r="P52" i="1"/>
  <c r="I52" i="1"/>
  <c r="J52" i="1"/>
  <c r="K52" i="1"/>
  <c r="L52" i="1"/>
  <c r="Q51" i="1"/>
  <c r="R51" i="1"/>
  <c r="S51" i="1"/>
  <c r="T51" i="1"/>
  <c r="M51" i="1"/>
  <c r="P51" i="1"/>
  <c r="I51" i="1"/>
  <c r="J51" i="1"/>
  <c r="K51" i="1"/>
  <c r="L51" i="1"/>
  <c r="Q50" i="1"/>
  <c r="R50" i="1"/>
  <c r="S50" i="1"/>
  <c r="T50" i="1"/>
  <c r="M50" i="1"/>
  <c r="P50" i="1"/>
  <c r="I50" i="1"/>
  <c r="J50" i="1"/>
  <c r="K50" i="1"/>
  <c r="L50" i="1"/>
  <c r="Q49" i="1"/>
  <c r="R49" i="1"/>
  <c r="S49" i="1"/>
  <c r="T49" i="1"/>
  <c r="M49" i="1"/>
  <c r="P49" i="1"/>
  <c r="I49" i="1"/>
  <c r="J49" i="1"/>
  <c r="K49" i="1"/>
  <c r="L49" i="1"/>
  <c r="Q48" i="1"/>
  <c r="R48" i="1"/>
  <c r="S48" i="1"/>
  <c r="T48" i="1"/>
  <c r="M48" i="1"/>
  <c r="P48" i="1"/>
  <c r="I48" i="1"/>
  <c r="J48" i="1"/>
  <c r="K48" i="1"/>
  <c r="L48" i="1"/>
  <c r="Q47" i="1"/>
  <c r="R47" i="1"/>
  <c r="S47" i="1"/>
  <c r="T47" i="1"/>
  <c r="M47" i="1"/>
  <c r="P47" i="1"/>
  <c r="I47" i="1"/>
  <c r="J47" i="1"/>
  <c r="K47" i="1"/>
  <c r="L47" i="1"/>
  <c r="Q46" i="1"/>
  <c r="R46" i="1"/>
  <c r="S46" i="1"/>
  <c r="T46" i="1"/>
  <c r="M46" i="1"/>
  <c r="P46" i="1"/>
  <c r="I46" i="1"/>
  <c r="J46" i="1"/>
  <c r="K46" i="1"/>
  <c r="L46" i="1"/>
  <c r="Q45" i="1"/>
  <c r="R45" i="1"/>
  <c r="S45" i="1"/>
  <c r="T45" i="1"/>
  <c r="M45" i="1"/>
  <c r="P45" i="1"/>
  <c r="I45" i="1"/>
  <c r="J45" i="1"/>
  <c r="K45" i="1"/>
  <c r="L45" i="1"/>
  <c r="Q44" i="1"/>
  <c r="R44" i="1"/>
  <c r="S44" i="1"/>
  <c r="T44" i="1"/>
  <c r="M44" i="1"/>
  <c r="P44" i="1"/>
  <c r="I44" i="1"/>
  <c r="J44" i="1"/>
  <c r="K44" i="1"/>
  <c r="L44" i="1"/>
  <c r="Q43" i="1"/>
  <c r="R43" i="1"/>
  <c r="S43" i="1"/>
  <c r="T43" i="1"/>
  <c r="M43" i="1"/>
  <c r="P43" i="1"/>
  <c r="I43" i="1"/>
  <c r="J43" i="1"/>
  <c r="K43" i="1"/>
  <c r="L43" i="1"/>
  <c r="Q42" i="1"/>
  <c r="R42" i="1"/>
  <c r="S42" i="1"/>
  <c r="T42" i="1"/>
  <c r="M42" i="1"/>
  <c r="P42" i="1"/>
  <c r="I42" i="1"/>
  <c r="J42" i="1"/>
  <c r="K42" i="1"/>
  <c r="L42" i="1"/>
  <c r="Q41" i="1"/>
  <c r="R41" i="1"/>
  <c r="S41" i="1"/>
  <c r="T41" i="1"/>
  <c r="M41" i="1"/>
  <c r="P41" i="1"/>
  <c r="I41" i="1"/>
  <c r="J41" i="1"/>
  <c r="K41" i="1"/>
  <c r="L41" i="1"/>
  <c r="Q40" i="1"/>
  <c r="R40" i="1"/>
  <c r="S40" i="1"/>
  <c r="T40" i="1"/>
  <c r="M40" i="1"/>
  <c r="P40" i="1"/>
  <c r="I40" i="1"/>
  <c r="J40" i="1"/>
  <c r="K40" i="1"/>
  <c r="L40" i="1"/>
  <c r="Q39" i="1"/>
  <c r="R39" i="1"/>
  <c r="S39" i="1"/>
  <c r="T39" i="1"/>
  <c r="M39" i="1"/>
  <c r="P39" i="1"/>
  <c r="I39" i="1"/>
  <c r="J39" i="1"/>
  <c r="K39" i="1"/>
  <c r="L39" i="1"/>
  <c r="Q38" i="1"/>
  <c r="R38" i="1"/>
  <c r="S38" i="1"/>
  <c r="T38" i="1"/>
  <c r="M38" i="1"/>
  <c r="P38" i="1"/>
  <c r="I38" i="1"/>
  <c r="J38" i="1"/>
  <c r="K38" i="1"/>
  <c r="L38" i="1"/>
  <c r="Q37" i="1"/>
  <c r="R37" i="1"/>
  <c r="S37" i="1"/>
  <c r="T37" i="1"/>
  <c r="M37" i="1"/>
  <c r="P37" i="1"/>
  <c r="I37" i="1"/>
  <c r="J37" i="1"/>
  <c r="K37" i="1"/>
  <c r="L37" i="1"/>
  <c r="Q36" i="1"/>
  <c r="R36" i="1"/>
  <c r="S36" i="1"/>
  <c r="T36" i="1"/>
  <c r="M36" i="1"/>
  <c r="P36" i="1"/>
  <c r="I36" i="1"/>
  <c r="J36" i="1"/>
  <c r="K36" i="1"/>
  <c r="L36" i="1"/>
  <c r="Q35" i="1"/>
  <c r="R35" i="1"/>
  <c r="S35" i="1"/>
  <c r="T35" i="1"/>
  <c r="M35" i="1"/>
  <c r="P35" i="1"/>
  <c r="I35" i="1"/>
  <c r="J35" i="1"/>
  <c r="K35" i="1"/>
  <c r="L35" i="1"/>
  <c r="Q34" i="1"/>
  <c r="R34" i="1"/>
  <c r="S34" i="1"/>
  <c r="T34" i="1"/>
  <c r="M34" i="1"/>
  <c r="P34" i="1"/>
  <c r="I34" i="1"/>
  <c r="J34" i="1"/>
  <c r="K34" i="1"/>
  <c r="L34" i="1"/>
  <c r="Q33" i="1"/>
  <c r="R33" i="1"/>
  <c r="S33" i="1"/>
  <c r="T33" i="1"/>
  <c r="M33" i="1"/>
  <c r="P33" i="1"/>
  <c r="I33" i="1"/>
  <c r="J33" i="1"/>
  <c r="K33" i="1"/>
  <c r="L33" i="1"/>
  <c r="Q32" i="1"/>
  <c r="R32" i="1"/>
  <c r="S32" i="1"/>
  <c r="T32" i="1"/>
  <c r="M32" i="1"/>
  <c r="P32" i="1"/>
  <c r="I32" i="1"/>
  <c r="J32" i="1"/>
  <c r="K32" i="1"/>
  <c r="L32" i="1"/>
  <c r="Q31" i="1"/>
  <c r="R31" i="1"/>
  <c r="S31" i="1"/>
  <c r="T31" i="1"/>
  <c r="M31" i="1"/>
  <c r="P31" i="1"/>
  <c r="I31" i="1"/>
  <c r="J31" i="1"/>
  <c r="K31" i="1"/>
  <c r="L31" i="1"/>
  <c r="Q30" i="1"/>
  <c r="R30" i="1"/>
  <c r="S30" i="1"/>
  <c r="T30" i="1"/>
  <c r="M30" i="1"/>
  <c r="P30" i="1"/>
  <c r="I30" i="1"/>
  <c r="J30" i="1"/>
  <c r="K30" i="1"/>
  <c r="L30" i="1"/>
  <c r="Q29" i="1"/>
  <c r="R29" i="1"/>
  <c r="S29" i="1"/>
  <c r="T29" i="1"/>
  <c r="M29" i="1"/>
  <c r="P29" i="1"/>
  <c r="I29" i="1"/>
  <c r="J29" i="1"/>
  <c r="K29" i="1"/>
  <c r="L29" i="1"/>
  <c r="Q28" i="1"/>
  <c r="R28" i="1"/>
  <c r="S28" i="1"/>
  <c r="T28" i="1"/>
  <c r="M28" i="1"/>
  <c r="P28" i="1"/>
  <c r="I28" i="1"/>
  <c r="J28" i="1"/>
  <c r="K28" i="1"/>
  <c r="L28" i="1"/>
  <c r="Q27" i="1"/>
  <c r="R27" i="1"/>
  <c r="S27" i="1"/>
  <c r="T27" i="1"/>
  <c r="M27" i="1"/>
  <c r="P27" i="1"/>
  <c r="I27" i="1"/>
  <c r="J27" i="1"/>
  <c r="K27" i="1"/>
  <c r="L27" i="1"/>
  <c r="Q26" i="1"/>
  <c r="R26" i="1"/>
  <c r="S26" i="1"/>
  <c r="T26" i="1"/>
  <c r="M26" i="1"/>
  <c r="P26" i="1"/>
  <c r="I26" i="1"/>
  <c r="J26" i="1"/>
  <c r="K26" i="1"/>
  <c r="L26" i="1"/>
  <c r="Q25" i="1"/>
  <c r="R25" i="1"/>
  <c r="S25" i="1"/>
  <c r="T25" i="1"/>
  <c r="M25" i="1"/>
  <c r="P25" i="1"/>
  <c r="I25" i="1"/>
  <c r="J25" i="1"/>
  <c r="K25" i="1"/>
  <c r="L25" i="1"/>
  <c r="Q24" i="1"/>
  <c r="R24" i="1"/>
  <c r="S24" i="1"/>
  <c r="T24" i="1"/>
  <c r="M24" i="1"/>
  <c r="P24" i="1"/>
  <c r="I24" i="1"/>
  <c r="J24" i="1"/>
  <c r="K24" i="1"/>
  <c r="L24" i="1"/>
  <c r="Q23" i="1"/>
  <c r="R23" i="1"/>
  <c r="S23" i="1"/>
  <c r="T23" i="1"/>
  <c r="M23" i="1"/>
  <c r="P23" i="1"/>
  <c r="I23" i="1"/>
  <c r="J23" i="1"/>
  <c r="K23" i="1"/>
  <c r="L23" i="1"/>
  <c r="Q22" i="1"/>
  <c r="R22" i="1"/>
  <c r="S22" i="1"/>
  <c r="T22" i="1"/>
  <c r="M22" i="1"/>
  <c r="P22" i="1"/>
  <c r="I22" i="1"/>
  <c r="J22" i="1"/>
  <c r="K22" i="1"/>
  <c r="L22" i="1"/>
  <c r="Q21" i="1"/>
  <c r="R21" i="1"/>
  <c r="S21" i="1"/>
  <c r="T21" i="1"/>
  <c r="M21" i="1"/>
  <c r="P21" i="1"/>
  <c r="I21" i="1"/>
  <c r="J21" i="1"/>
  <c r="K21" i="1"/>
  <c r="L21" i="1"/>
  <c r="Q20" i="1"/>
  <c r="R20" i="1"/>
  <c r="S20" i="1"/>
  <c r="T20" i="1"/>
  <c r="M20" i="1"/>
  <c r="P20" i="1"/>
  <c r="I20" i="1"/>
  <c r="J20" i="1"/>
  <c r="K20" i="1"/>
  <c r="L20" i="1"/>
  <c r="Q19" i="1"/>
  <c r="R19" i="1"/>
  <c r="S19" i="1"/>
  <c r="T19" i="1"/>
  <c r="M19" i="1"/>
  <c r="P19" i="1"/>
  <c r="I19" i="1"/>
  <c r="J19" i="1"/>
  <c r="K19" i="1"/>
  <c r="L19" i="1"/>
  <c r="Q18" i="1"/>
  <c r="R18" i="1"/>
  <c r="S18" i="1"/>
  <c r="T18" i="1"/>
  <c r="M18" i="1"/>
  <c r="P18" i="1"/>
  <c r="I18" i="1"/>
  <c r="J18" i="1"/>
  <c r="K18" i="1"/>
  <c r="L18" i="1"/>
  <c r="Q17" i="1"/>
  <c r="R17" i="1"/>
  <c r="S17" i="1"/>
  <c r="T17" i="1"/>
  <c r="M17" i="1"/>
  <c r="P17" i="1"/>
  <c r="I17" i="1"/>
  <c r="J17" i="1"/>
  <c r="K17" i="1"/>
  <c r="L17" i="1"/>
  <c r="Q16" i="1"/>
  <c r="R16" i="1"/>
  <c r="S16" i="1"/>
  <c r="T16" i="1"/>
  <c r="M16" i="1"/>
  <c r="P16" i="1"/>
  <c r="I16" i="1"/>
  <c r="J16" i="1"/>
  <c r="K16" i="1"/>
  <c r="L16" i="1"/>
  <c r="Q15" i="1"/>
  <c r="R15" i="1"/>
  <c r="S15" i="1"/>
  <c r="T15" i="1"/>
  <c r="M15" i="1"/>
  <c r="P15" i="1"/>
  <c r="I15" i="1"/>
  <c r="J15" i="1"/>
  <c r="K15" i="1"/>
  <c r="L15" i="1"/>
  <c r="Q14" i="1"/>
  <c r="R14" i="1"/>
  <c r="S14" i="1"/>
  <c r="T14" i="1"/>
  <c r="M14" i="1"/>
  <c r="P14" i="1"/>
  <c r="I14" i="1"/>
  <c r="J14" i="1"/>
  <c r="K14" i="1"/>
  <c r="L14" i="1"/>
  <c r="Q13" i="1"/>
  <c r="R13" i="1"/>
  <c r="S13" i="1"/>
  <c r="T13" i="1"/>
  <c r="M13" i="1"/>
  <c r="P13" i="1"/>
  <c r="I13" i="1"/>
  <c r="J13" i="1"/>
  <c r="K13" i="1"/>
  <c r="L13" i="1"/>
  <c r="Q12" i="1"/>
  <c r="R12" i="1"/>
  <c r="S12" i="1"/>
  <c r="T12" i="1"/>
  <c r="M12" i="1"/>
  <c r="P12" i="1"/>
  <c r="I12" i="1"/>
  <c r="J12" i="1"/>
  <c r="K12" i="1"/>
  <c r="L12" i="1"/>
  <c r="Q11" i="1"/>
  <c r="R11" i="1"/>
  <c r="S11" i="1"/>
  <c r="T11" i="1"/>
  <c r="M11" i="1"/>
  <c r="P11" i="1"/>
  <c r="I11" i="1"/>
  <c r="J11" i="1"/>
  <c r="K11" i="1"/>
  <c r="L11" i="1"/>
  <c r="Q10" i="1"/>
  <c r="R10" i="1"/>
  <c r="S10" i="1"/>
  <c r="T10" i="1"/>
  <c r="M10" i="1"/>
  <c r="P10" i="1"/>
  <c r="I10" i="1"/>
  <c r="J10" i="1"/>
  <c r="K10" i="1"/>
  <c r="L10" i="1"/>
  <c r="Q9" i="1"/>
  <c r="R9" i="1"/>
  <c r="S9" i="1"/>
  <c r="T9" i="1"/>
  <c r="M9" i="1"/>
  <c r="P9" i="1"/>
  <c r="I9" i="1"/>
  <c r="J9" i="1"/>
  <c r="K9" i="1"/>
  <c r="L9" i="1"/>
  <c r="Q8" i="1"/>
  <c r="R8" i="1"/>
  <c r="S8" i="1"/>
  <c r="T8" i="1"/>
  <c r="M8" i="1"/>
  <c r="P8" i="1"/>
  <c r="I8" i="1"/>
  <c r="J8" i="1"/>
  <c r="K8" i="1"/>
  <c r="L8" i="1"/>
  <c r="Q7" i="1"/>
  <c r="R7" i="1"/>
  <c r="S7" i="1"/>
  <c r="T7" i="1"/>
  <c r="M7" i="1"/>
  <c r="P7" i="1"/>
  <c r="I7" i="1"/>
  <c r="J7" i="1"/>
  <c r="K7" i="1"/>
  <c r="L7" i="1"/>
  <c r="Q6" i="1"/>
  <c r="R6" i="1"/>
  <c r="S6" i="1"/>
  <c r="T6" i="1"/>
  <c r="M6" i="1"/>
  <c r="P6" i="1"/>
  <c r="I6" i="1"/>
  <c r="J6" i="1"/>
  <c r="K6" i="1"/>
  <c r="L6" i="1"/>
  <c r="Q5" i="1"/>
  <c r="R5" i="1"/>
  <c r="S5" i="1"/>
  <c r="T5" i="1"/>
  <c r="M5" i="1"/>
  <c r="P5" i="1"/>
  <c r="I5" i="1"/>
  <c r="J5" i="1"/>
  <c r="K5" i="1"/>
  <c r="L5" i="1"/>
  <c r="Q4" i="1"/>
  <c r="R4" i="1"/>
  <c r="S4" i="1"/>
  <c r="T4" i="1"/>
  <c r="M4" i="1"/>
  <c r="P4" i="1"/>
  <c r="I4" i="1"/>
  <c r="J4" i="1"/>
  <c r="K4" i="1"/>
  <c r="L4" i="1"/>
  <c r="Q3" i="1"/>
  <c r="R3" i="1"/>
  <c r="S3" i="1"/>
  <c r="T3" i="1"/>
  <c r="M3" i="1"/>
  <c r="P3" i="1"/>
  <c r="I3" i="1"/>
  <c r="J3" i="1"/>
  <c r="K3" i="1"/>
  <c r="L3" i="1"/>
  <c r="Q2" i="1"/>
  <c r="R2" i="1"/>
  <c r="S2" i="1"/>
  <c r="T2" i="1"/>
  <c r="M2" i="1"/>
  <c r="P2" i="1"/>
  <c r="I2" i="1"/>
  <c r="J2" i="1"/>
  <c r="K2" i="1"/>
  <c r="L2" i="1"/>
  <c r="N2" i="1"/>
  <c r="O2" i="1"/>
  <c r="N3" i="1"/>
  <c r="O3" i="1"/>
  <c r="N4" i="1"/>
  <c r="O4" i="1"/>
  <c r="N5" i="1"/>
  <c r="O5" i="1"/>
  <c r="N6" i="1"/>
  <c r="O6" i="1"/>
  <c r="N7" i="1"/>
  <c r="O7" i="1"/>
  <c r="N8" i="1"/>
  <c r="O8" i="1"/>
  <c r="N9" i="1"/>
  <c r="O9" i="1"/>
  <c r="N10" i="1"/>
  <c r="O10" i="1"/>
  <c r="N11" i="1"/>
  <c r="O11" i="1"/>
  <c r="N12" i="1"/>
  <c r="O12" i="1"/>
  <c r="N13" i="1"/>
  <c r="O13" i="1"/>
  <c r="N14" i="1"/>
  <c r="O14" i="1"/>
  <c r="N15" i="1"/>
  <c r="O15" i="1"/>
  <c r="N16" i="1"/>
  <c r="O16" i="1"/>
  <c r="N17" i="1"/>
  <c r="O17" i="1"/>
  <c r="N18" i="1"/>
  <c r="O18" i="1"/>
  <c r="N19" i="1"/>
  <c r="O19" i="1"/>
  <c r="N20" i="1"/>
  <c r="O20" i="1"/>
  <c r="N21" i="1"/>
  <c r="O21" i="1"/>
  <c r="N22" i="1"/>
  <c r="O22" i="1"/>
  <c r="N23" i="1"/>
  <c r="O23" i="1"/>
  <c r="N24" i="1"/>
  <c r="O24" i="1"/>
  <c r="N25" i="1"/>
  <c r="O25" i="1"/>
  <c r="N26" i="1"/>
  <c r="O26" i="1"/>
  <c r="N27" i="1"/>
  <c r="O27" i="1"/>
  <c r="N28" i="1"/>
  <c r="O28" i="1"/>
  <c r="N29" i="1"/>
  <c r="O29" i="1"/>
  <c r="N30" i="1"/>
  <c r="O30" i="1"/>
  <c r="N31" i="1"/>
  <c r="O31" i="1"/>
  <c r="N32" i="1"/>
  <c r="O32" i="1"/>
  <c r="N33" i="1"/>
  <c r="O33" i="1"/>
  <c r="N34" i="1"/>
  <c r="O34" i="1"/>
  <c r="N35" i="1"/>
  <c r="O35" i="1"/>
  <c r="N36" i="1"/>
  <c r="O36" i="1"/>
  <c r="N37" i="1"/>
  <c r="O37" i="1"/>
  <c r="N38" i="1"/>
  <c r="O38" i="1"/>
  <c r="N39" i="1"/>
  <c r="O39" i="1"/>
  <c r="N40" i="1"/>
  <c r="O40" i="1"/>
  <c r="N41" i="1"/>
  <c r="O41" i="1"/>
  <c r="N42" i="1"/>
  <c r="O42" i="1"/>
  <c r="N43" i="1"/>
  <c r="O43" i="1"/>
  <c r="N44" i="1"/>
  <c r="O44" i="1"/>
  <c r="N45" i="1"/>
  <c r="O45" i="1"/>
  <c r="N46" i="1"/>
  <c r="O46" i="1"/>
  <c r="N47" i="1"/>
  <c r="O47" i="1"/>
  <c r="N48" i="1"/>
  <c r="O48" i="1"/>
  <c r="N49" i="1"/>
  <c r="O49" i="1"/>
  <c r="N50" i="1"/>
  <c r="O50" i="1"/>
  <c r="N51" i="1"/>
  <c r="O51" i="1"/>
  <c r="N52" i="1"/>
  <c r="O52" i="1"/>
  <c r="N53" i="1"/>
  <c r="O53" i="1"/>
  <c r="N54" i="1"/>
  <c r="O54" i="1"/>
  <c r="N55" i="1"/>
  <c r="O55" i="1"/>
  <c r="N56" i="1"/>
  <c r="O56" i="1"/>
  <c r="N57" i="1"/>
  <c r="O57" i="1"/>
  <c r="N58" i="1"/>
  <c r="O58" i="1"/>
  <c r="N59" i="1"/>
  <c r="O59" i="1"/>
  <c r="N60" i="1"/>
  <c r="O60" i="1"/>
  <c r="N61" i="1"/>
  <c r="O61" i="1"/>
  <c r="N62" i="1"/>
  <c r="O62" i="1"/>
  <c r="N63" i="1"/>
  <c r="O63" i="1"/>
  <c r="N64" i="1"/>
  <c r="O64" i="1"/>
  <c r="N65" i="1"/>
  <c r="O65" i="1"/>
  <c r="N66" i="1"/>
  <c r="O66" i="1"/>
  <c r="N67" i="1"/>
  <c r="O67" i="1"/>
  <c r="N68" i="1"/>
  <c r="O68" i="1"/>
  <c r="N69" i="1"/>
  <c r="O69" i="1"/>
  <c r="N70" i="1"/>
  <c r="O70" i="1"/>
  <c r="N71" i="1"/>
  <c r="O71" i="1"/>
  <c r="N72" i="1"/>
  <c r="O72" i="1"/>
  <c r="N73" i="1"/>
  <c r="O73" i="1"/>
  <c r="N74" i="1"/>
  <c r="O74" i="1"/>
  <c r="N75" i="1"/>
  <c r="O75" i="1"/>
  <c r="N76" i="1"/>
  <c r="O76" i="1"/>
  <c r="N77" i="1"/>
  <c r="O77" i="1"/>
  <c r="N78" i="1"/>
  <c r="O78" i="1"/>
  <c r="N79" i="1"/>
  <c r="O79" i="1"/>
  <c r="N80" i="1"/>
  <c r="O80" i="1"/>
  <c r="N81" i="1"/>
  <c r="O81" i="1"/>
  <c r="N82" i="1"/>
  <c r="O82" i="1"/>
  <c r="N83" i="1"/>
  <c r="O83" i="1"/>
  <c r="N84" i="1"/>
  <c r="O84" i="1"/>
  <c r="N85" i="1"/>
  <c r="O85" i="1"/>
  <c r="N86" i="1"/>
  <c r="O86" i="1"/>
  <c r="N87" i="1"/>
  <c r="O87" i="1"/>
  <c r="N88" i="1"/>
  <c r="O88" i="1"/>
  <c r="N89" i="1"/>
  <c r="O89" i="1"/>
  <c r="N90" i="1"/>
  <c r="O90" i="1"/>
  <c r="N91" i="1"/>
  <c r="O91" i="1"/>
  <c r="N92" i="1"/>
  <c r="O92" i="1"/>
  <c r="N93" i="1"/>
  <c r="O93" i="1"/>
  <c r="N94" i="1"/>
  <c r="O94" i="1"/>
  <c r="N95" i="1"/>
  <c r="O95" i="1"/>
  <c r="N96" i="1"/>
  <c r="O96" i="1"/>
  <c r="N97" i="1"/>
  <c r="O97" i="1"/>
  <c r="N98" i="1"/>
  <c r="O98" i="1"/>
  <c r="N99" i="1"/>
  <c r="O99" i="1"/>
  <c r="N100" i="1"/>
  <c r="O100" i="1"/>
  <c r="N101" i="1"/>
  <c r="O101" i="1"/>
  <c r="N102" i="1"/>
  <c r="O102" i="1"/>
  <c r="N103" i="1"/>
  <c r="O103" i="1"/>
  <c r="N104" i="1"/>
  <c r="O104" i="1"/>
  <c r="N105" i="1"/>
  <c r="O105" i="1"/>
  <c r="N106" i="1"/>
  <c r="O106" i="1"/>
  <c r="N107" i="1"/>
  <c r="O107" i="1"/>
  <c r="N108" i="1"/>
  <c r="O108" i="1"/>
  <c r="N109" i="1"/>
  <c r="O109" i="1"/>
  <c r="N110" i="1"/>
  <c r="O110" i="1"/>
  <c r="N111" i="1"/>
  <c r="O111" i="1"/>
  <c r="N112" i="1"/>
  <c r="O112" i="1"/>
  <c r="N113" i="1"/>
  <c r="O113" i="1"/>
  <c r="N114" i="1"/>
  <c r="O114" i="1"/>
  <c r="N115" i="1"/>
  <c r="O115" i="1"/>
  <c r="N116" i="1"/>
  <c r="O116" i="1"/>
  <c r="N117" i="1"/>
  <c r="O117" i="1"/>
  <c r="N118" i="1"/>
  <c r="O118" i="1"/>
  <c r="N119" i="1"/>
  <c r="O119" i="1"/>
  <c r="N120" i="1"/>
  <c r="O120" i="1"/>
  <c r="N121" i="1"/>
  <c r="O121" i="1"/>
  <c r="N122" i="1"/>
  <c r="O122" i="1"/>
  <c r="N123" i="1"/>
  <c r="O123" i="1"/>
  <c r="N124" i="1"/>
  <c r="O124" i="1"/>
  <c r="N125" i="1"/>
  <c r="O125" i="1"/>
  <c r="N126" i="1"/>
  <c r="O126" i="1"/>
  <c r="N127" i="1"/>
  <c r="O127" i="1"/>
  <c r="N128" i="1"/>
  <c r="O128" i="1"/>
  <c r="N129" i="1"/>
  <c r="O129" i="1"/>
  <c r="N130" i="1"/>
  <c r="O130" i="1"/>
  <c r="N131" i="1"/>
  <c r="O131" i="1"/>
  <c r="N132" i="1"/>
  <c r="O132" i="1"/>
  <c r="N133" i="1"/>
  <c r="O133" i="1"/>
  <c r="N134" i="1"/>
  <c r="O134" i="1"/>
  <c r="N135" i="1"/>
  <c r="O135" i="1"/>
  <c r="N136" i="1"/>
  <c r="O136" i="1"/>
  <c r="N137" i="1"/>
  <c r="O137" i="1"/>
  <c r="N138" i="1"/>
  <c r="O138" i="1"/>
  <c r="N139" i="1"/>
  <c r="O139" i="1"/>
  <c r="N140" i="1"/>
  <c r="O140" i="1"/>
  <c r="N141" i="1"/>
  <c r="O141" i="1"/>
  <c r="N142" i="1"/>
  <c r="O142" i="1"/>
  <c r="N143" i="1"/>
  <c r="O143" i="1"/>
  <c r="N144" i="1"/>
  <c r="O144" i="1"/>
  <c r="N145" i="1"/>
  <c r="O145" i="1"/>
  <c r="N146" i="1"/>
  <c r="O146" i="1"/>
  <c r="N147" i="1"/>
  <c r="O147" i="1"/>
  <c r="N148" i="1"/>
  <c r="O148" i="1"/>
  <c r="N149" i="1"/>
  <c r="O149" i="1"/>
  <c r="N150" i="1"/>
  <c r="O150" i="1"/>
  <c r="N151" i="1"/>
  <c r="O151" i="1"/>
  <c r="N152" i="1"/>
  <c r="O152" i="1"/>
  <c r="N153" i="1"/>
  <c r="O153" i="1"/>
  <c r="N154" i="1"/>
  <c r="O154" i="1"/>
  <c r="N155" i="1"/>
  <c r="O155" i="1"/>
  <c r="N156" i="1"/>
  <c r="O156" i="1"/>
  <c r="N157" i="1"/>
  <c r="O157" i="1"/>
  <c r="N158" i="1"/>
  <c r="O158" i="1"/>
  <c r="N159" i="1"/>
  <c r="O159" i="1"/>
  <c r="N160" i="1"/>
  <c r="O160" i="1"/>
  <c r="N161" i="1"/>
  <c r="O161" i="1"/>
  <c r="N162" i="1"/>
  <c r="O162" i="1"/>
  <c r="N163" i="1"/>
  <c r="O163" i="1"/>
  <c r="N164" i="1"/>
  <c r="O164" i="1"/>
  <c r="N165" i="1"/>
  <c r="O165" i="1"/>
  <c r="N166" i="1"/>
  <c r="O166" i="1"/>
  <c r="N167" i="1"/>
  <c r="O167" i="1"/>
  <c r="N168" i="1"/>
  <c r="O168" i="1"/>
  <c r="N169" i="1"/>
  <c r="O169" i="1"/>
  <c r="N170" i="1"/>
  <c r="O170" i="1"/>
  <c r="N171" i="1"/>
  <c r="O171" i="1"/>
  <c r="N172" i="1"/>
  <c r="O172" i="1"/>
  <c r="N173" i="1"/>
  <c r="O173" i="1"/>
  <c r="N174" i="1"/>
  <c r="O174" i="1"/>
  <c r="N175" i="1"/>
  <c r="O175" i="1"/>
  <c r="N176" i="1"/>
  <c r="O176" i="1"/>
  <c r="N177" i="1"/>
  <c r="O177" i="1"/>
  <c r="N178" i="1"/>
  <c r="O178" i="1"/>
  <c r="N179" i="1"/>
  <c r="O179" i="1"/>
  <c r="N180" i="1"/>
  <c r="O180" i="1"/>
  <c r="N181" i="1"/>
  <c r="O181" i="1"/>
  <c r="N182" i="1"/>
  <c r="O182" i="1"/>
  <c r="N183" i="1"/>
  <c r="O183" i="1"/>
  <c r="N184" i="1"/>
  <c r="O184" i="1"/>
  <c r="N185" i="1"/>
  <c r="O185" i="1"/>
  <c r="N186" i="1"/>
  <c r="O186" i="1"/>
  <c r="N187" i="1"/>
  <c r="O187" i="1"/>
  <c r="N188" i="1"/>
  <c r="O188" i="1"/>
  <c r="N189" i="1"/>
  <c r="O189" i="1"/>
  <c r="N190" i="1"/>
  <c r="O190" i="1"/>
  <c r="N191" i="1"/>
  <c r="O191" i="1"/>
  <c r="N192" i="1"/>
  <c r="O192" i="1"/>
  <c r="N193" i="1"/>
  <c r="O193" i="1"/>
  <c r="N194" i="1"/>
  <c r="O194" i="1"/>
  <c r="N195" i="1"/>
  <c r="O195" i="1"/>
  <c r="N196" i="1"/>
  <c r="O196" i="1"/>
  <c r="N197" i="1"/>
  <c r="O197" i="1"/>
  <c r="N198" i="1"/>
  <c r="O198" i="1"/>
  <c r="N199" i="1"/>
  <c r="O199" i="1"/>
  <c r="N200" i="1"/>
  <c r="O200" i="1"/>
  <c r="N201" i="1"/>
  <c r="O201" i="1"/>
  <c r="N202" i="1"/>
  <c r="O202" i="1"/>
  <c r="N203" i="1"/>
  <c r="O203" i="1"/>
  <c r="N204" i="1"/>
  <c r="O204" i="1"/>
  <c r="N205" i="1"/>
  <c r="O205" i="1"/>
  <c r="N206" i="1"/>
  <c r="O206" i="1"/>
  <c r="N207" i="1"/>
  <c r="O207" i="1"/>
  <c r="N208" i="1"/>
  <c r="O208" i="1"/>
  <c r="N209" i="1"/>
  <c r="O209" i="1"/>
  <c r="N210" i="1"/>
  <c r="O210" i="1"/>
  <c r="N211" i="1"/>
  <c r="O211" i="1"/>
  <c r="N212" i="1"/>
  <c r="O212" i="1"/>
  <c r="N213" i="1"/>
  <c r="O213" i="1"/>
  <c r="N214" i="1"/>
  <c r="O214" i="1"/>
  <c r="N215" i="1"/>
  <c r="O215" i="1"/>
  <c r="N216" i="1"/>
  <c r="O216" i="1"/>
  <c r="N217" i="1"/>
  <c r="O217" i="1"/>
  <c r="N218" i="1"/>
  <c r="O218" i="1"/>
  <c r="N219" i="1"/>
  <c r="O219" i="1"/>
  <c r="N220" i="1"/>
  <c r="O220" i="1"/>
  <c r="N221" i="1"/>
  <c r="O221" i="1"/>
  <c r="N222" i="1"/>
  <c r="O222" i="1"/>
  <c r="N223" i="1"/>
  <c r="O223" i="1"/>
  <c r="N224" i="1"/>
  <c r="O224" i="1"/>
  <c r="N225" i="1"/>
  <c r="O225" i="1"/>
  <c r="N226" i="1"/>
  <c r="O226" i="1"/>
  <c r="N227" i="1"/>
  <c r="O227" i="1"/>
  <c r="N228" i="1"/>
  <c r="O228" i="1"/>
  <c r="N229" i="1"/>
  <c r="O229" i="1"/>
  <c r="N230" i="1"/>
  <c r="O230" i="1"/>
  <c r="N231" i="1"/>
  <c r="O231" i="1"/>
  <c r="N232" i="1"/>
  <c r="O232" i="1"/>
  <c r="N233" i="1"/>
  <c r="O233" i="1"/>
  <c r="N234" i="1"/>
  <c r="O234" i="1"/>
  <c r="N235" i="1"/>
  <c r="O235" i="1"/>
  <c r="N236" i="1"/>
  <c r="O236" i="1"/>
  <c r="N237" i="1"/>
  <c r="O237" i="1"/>
  <c r="N238" i="1"/>
  <c r="O238" i="1"/>
  <c r="N239" i="1"/>
  <c r="O239" i="1"/>
  <c r="N240" i="1"/>
  <c r="O240" i="1"/>
  <c r="N241" i="1"/>
  <c r="O241" i="1"/>
  <c r="N242" i="1"/>
  <c r="O242" i="1"/>
  <c r="N243" i="1"/>
  <c r="O243" i="1"/>
  <c r="N244" i="1"/>
  <c r="O244" i="1"/>
  <c r="N245" i="1"/>
  <c r="O245" i="1"/>
  <c r="N246" i="1"/>
  <c r="O246" i="1"/>
  <c r="N247" i="1"/>
  <c r="O247" i="1"/>
  <c r="N248" i="1"/>
  <c r="O248" i="1"/>
  <c r="N249" i="1"/>
  <c r="O249" i="1"/>
  <c r="N250" i="1"/>
  <c r="O250" i="1"/>
  <c r="N251" i="1"/>
  <c r="O251" i="1"/>
  <c r="N252" i="1"/>
  <c r="O252" i="1"/>
  <c r="N253" i="1"/>
  <c r="O253" i="1"/>
  <c r="N254" i="1"/>
  <c r="O254" i="1"/>
  <c r="N255" i="1"/>
  <c r="O255" i="1"/>
  <c r="N256" i="1"/>
  <c r="O256" i="1"/>
  <c r="N257" i="1"/>
  <c r="O257" i="1"/>
  <c r="N258" i="1"/>
  <c r="O258" i="1"/>
  <c r="N259" i="1"/>
  <c r="O259" i="1"/>
  <c r="N260" i="1"/>
  <c r="O260" i="1"/>
  <c r="N261" i="1"/>
  <c r="O261" i="1"/>
  <c r="N262" i="1"/>
  <c r="O262" i="1"/>
  <c r="N263" i="1"/>
  <c r="O263" i="1"/>
  <c r="N264" i="1"/>
  <c r="O264" i="1"/>
  <c r="N265" i="1"/>
  <c r="O265" i="1"/>
  <c r="N266" i="1"/>
  <c r="O266" i="1"/>
  <c r="N267" i="1"/>
  <c r="O267" i="1"/>
  <c r="N268" i="1"/>
  <c r="O268" i="1"/>
  <c r="N269" i="1"/>
  <c r="O269" i="1"/>
  <c r="N270" i="1"/>
  <c r="O270" i="1"/>
  <c r="N271" i="1"/>
  <c r="O271" i="1"/>
  <c r="N272" i="1"/>
  <c r="O272" i="1"/>
  <c r="N273" i="1"/>
  <c r="O273" i="1"/>
  <c r="N274" i="1"/>
  <c r="O274" i="1"/>
  <c r="N275" i="1"/>
  <c r="O275" i="1"/>
  <c r="N276" i="1"/>
  <c r="O276" i="1"/>
  <c r="N277" i="1"/>
  <c r="O277" i="1"/>
  <c r="N278" i="1"/>
  <c r="O278" i="1"/>
  <c r="N279" i="1"/>
  <c r="O279" i="1"/>
  <c r="N280" i="1"/>
  <c r="O280" i="1"/>
  <c r="N281" i="1"/>
  <c r="O281" i="1"/>
  <c r="N282" i="1"/>
  <c r="O282" i="1"/>
  <c r="N283" i="1"/>
  <c r="O283" i="1"/>
  <c r="N284" i="1"/>
  <c r="O284" i="1"/>
  <c r="N285" i="1"/>
  <c r="O285" i="1"/>
  <c r="N286" i="1"/>
  <c r="O286" i="1"/>
  <c r="N287" i="1"/>
  <c r="O287" i="1"/>
  <c r="N288" i="1"/>
  <c r="O288" i="1"/>
  <c r="N289" i="1"/>
  <c r="O289" i="1"/>
  <c r="N290" i="1"/>
  <c r="O290" i="1"/>
  <c r="N291" i="1"/>
  <c r="O291" i="1"/>
  <c r="N292" i="1"/>
  <c r="O292" i="1"/>
  <c r="N293" i="1"/>
  <c r="O293" i="1"/>
  <c r="N294" i="1"/>
  <c r="O294" i="1"/>
  <c r="N295" i="1"/>
  <c r="O295" i="1"/>
  <c r="N296" i="1"/>
  <c r="O296" i="1"/>
  <c r="N297" i="1"/>
  <c r="O297" i="1"/>
  <c r="N298" i="1"/>
  <c r="O298" i="1"/>
  <c r="N299" i="1"/>
  <c r="O299" i="1"/>
  <c r="N300" i="1"/>
  <c r="O300" i="1"/>
  <c r="N301" i="1"/>
  <c r="O301" i="1"/>
  <c r="N302" i="1"/>
  <c r="O302" i="1"/>
  <c r="N303" i="1"/>
  <c r="O303" i="1"/>
  <c r="N304" i="1"/>
  <c r="O304" i="1"/>
  <c r="N305" i="1"/>
  <c r="O305" i="1"/>
  <c r="N306" i="1"/>
  <c r="O306" i="1"/>
  <c r="N307" i="1"/>
  <c r="O307" i="1"/>
  <c r="N308" i="1"/>
  <c r="O308" i="1"/>
  <c r="N309" i="1"/>
  <c r="O309" i="1"/>
  <c r="N310" i="1"/>
  <c r="O310" i="1"/>
  <c r="N311" i="1"/>
  <c r="O311" i="1"/>
  <c r="N312" i="1"/>
  <c r="O312" i="1"/>
  <c r="N313" i="1"/>
  <c r="O313" i="1"/>
  <c r="N314" i="1"/>
  <c r="O314" i="1"/>
  <c r="N315" i="1"/>
  <c r="O315" i="1"/>
  <c r="N316" i="1"/>
  <c r="O316" i="1"/>
  <c r="N317" i="1"/>
  <c r="O317" i="1"/>
  <c r="N318" i="1"/>
  <c r="O318" i="1"/>
  <c r="N319" i="1"/>
  <c r="O319" i="1"/>
  <c r="N320" i="1"/>
  <c r="O320" i="1"/>
  <c r="N321" i="1"/>
  <c r="O321" i="1"/>
  <c r="N322" i="1"/>
  <c r="O322" i="1"/>
  <c r="N323" i="1"/>
  <c r="O323" i="1"/>
  <c r="N324" i="1"/>
  <c r="O324" i="1"/>
  <c r="N325" i="1"/>
  <c r="O325" i="1"/>
  <c r="N326" i="1"/>
  <c r="O326" i="1"/>
  <c r="N327" i="1"/>
  <c r="O327" i="1"/>
  <c r="N328" i="1"/>
  <c r="O328" i="1"/>
  <c r="N329" i="1"/>
  <c r="O329" i="1"/>
  <c r="N330" i="1"/>
  <c r="O330" i="1"/>
  <c r="N331" i="1"/>
  <c r="O331" i="1"/>
  <c r="N332" i="1"/>
  <c r="O332" i="1"/>
  <c r="N333" i="1"/>
  <c r="O333" i="1"/>
  <c r="N334" i="1"/>
  <c r="O334" i="1"/>
  <c r="N335" i="1"/>
  <c r="O335" i="1"/>
  <c r="N336" i="1"/>
  <c r="O336" i="1"/>
  <c r="N337" i="1"/>
  <c r="O337" i="1"/>
  <c r="N338" i="1"/>
  <c r="O338" i="1"/>
  <c r="N339" i="1"/>
  <c r="O339" i="1"/>
  <c r="N340" i="1"/>
  <c r="O340" i="1"/>
  <c r="N341" i="1"/>
  <c r="O341" i="1"/>
  <c r="N342" i="1"/>
  <c r="O342" i="1"/>
  <c r="N343" i="1"/>
  <c r="O343" i="1"/>
  <c r="N344" i="1"/>
  <c r="O344" i="1"/>
  <c r="N345" i="1"/>
  <c r="O345" i="1"/>
  <c r="N346" i="1"/>
  <c r="O346" i="1"/>
  <c r="N347" i="1"/>
  <c r="O347" i="1"/>
  <c r="N348" i="1"/>
  <c r="O348" i="1"/>
  <c r="N349" i="1"/>
  <c r="O349" i="1"/>
  <c r="N350" i="1"/>
  <c r="O350" i="1"/>
  <c r="N351" i="1"/>
  <c r="O351" i="1"/>
  <c r="N352" i="1"/>
  <c r="O352" i="1"/>
  <c r="N353" i="1"/>
  <c r="O353" i="1"/>
  <c r="N354" i="1"/>
  <c r="O354" i="1"/>
  <c r="N355" i="1"/>
  <c r="O355" i="1"/>
  <c r="N356" i="1"/>
  <c r="O356" i="1"/>
  <c r="N357" i="1"/>
  <c r="O357" i="1"/>
  <c r="N358" i="1"/>
  <c r="O358" i="1"/>
  <c r="N359" i="1"/>
  <c r="O359" i="1"/>
  <c r="N360" i="1"/>
  <c r="O360" i="1"/>
  <c r="N361" i="1"/>
  <c r="O361" i="1"/>
  <c r="N362" i="1"/>
  <c r="O362" i="1"/>
  <c r="N363" i="1"/>
  <c r="O363" i="1"/>
  <c r="N364" i="1"/>
  <c r="O364" i="1"/>
  <c r="N365" i="1"/>
  <c r="O365" i="1"/>
  <c r="N366" i="1"/>
  <c r="O366" i="1"/>
  <c r="N367" i="1"/>
  <c r="O367" i="1"/>
  <c r="N368" i="1"/>
  <c r="O368" i="1"/>
  <c r="N369" i="1"/>
  <c r="O369" i="1"/>
  <c r="N370" i="1"/>
  <c r="O370" i="1"/>
  <c r="N371" i="1"/>
  <c r="O371" i="1"/>
  <c r="N372" i="1"/>
  <c r="O372" i="1"/>
  <c r="N373" i="1"/>
  <c r="O373" i="1"/>
  <c r="N374" i="1"/>
  <c r="O374" i="1"/>
  <c r="N375" i="1"/>
  <c r="O375" i="1"/>
  <c r="N376" i="1"/>
  <c r="O376" i="1"/>
  <c r="N377" i="1"/>
  <c r="O377" i="1"/>
  <c r="N378" i="1"/>
  <c r="O378" i="1"/>
  <c r="N379" i="1"/>
  <c r="O379" i="1"/>
  <c r="N380" i="1"/>
  <c r="O380" i="1"/>
  <c r="N381" i="1"/>
  <c r="O381" i="1"/>
  <c r="N382" i="1"/>
  <c r="O382" i="1"/>
  <c r="N383" i="1"/>
  <c r="O383" i="1"/>
  <c r="N384" i="1"/>
  <c r="O384" i="1"/>
  <c r="N385" i="1"/>
  <c r="O385" i="1"/>
  <c r="N386" i="1"/>
  <c r="O386" i="1"/>
  <c r="N387" i="1"/>
  <c r="O387" i="1"/>
  <c r="N388" i="1"/>
  <c r="O388" i="1"/>
  <c r="N389" i="1"/>
  <c r="O389" i="1"/>
  <c r="N390" i="1"/>
  <c r="O390" i="1"/>
  <c r="N391" i="1"/>
  <c r="O391" i="1"/>
  <c r="N392" i="1"/>
  <c r="O392" i="1"/>
  <c r="N393" i="1"/>
  <c r="O393" i="1"/>
  <c r="N394" i="1"/>
  <c r="O394" i="1"/>
  <c r="N395" i="1"/>
  <c r="O395" i="1"/>
  <c r="N396" i="1"/>
  <c r="O396" i="1"/>
  <c r="N397" i="1"/>
  <c r="O397" i="1"/>
  <c r="N398" i="1"/>
  <c r="O398" i="1"/>
  <c r="N399" i="1"/>
  <c r="O399" i="1"/>
  <c r="N400" i="1"/>
  <c r="O400" i="1"/>
  <c r="N401" i="1"/>
  <c r="O401" i="1"/>
  <c r="N402" i="1"/>
  <c r="O402" i="1"/>
  <c r="N403" i="1"/>
  <c r="O403" i="1"/>
  <c r="N404" i="1"/>
  <c r="O404" i="1"/>
  <c r="N405" i="1"/>
  <c r="O405" i="1"/>
  <c r="N406" i="1"/>
  <c r="O406" i="1"/>
  <c r="N407" i="1"/>
  <c r="O407" i="1"/>
  <c r="N408" i="1"/>
  <c r="O408" i="1"/>
  <c r="N409" i="1"/>
  <c r="O409" i="1"/>
  <c r="N410" i="1"/>
  <c r="O410" i="1"/>
  <c r="N411" i="1"/>
  <c r="O411" i="1"/>
  <c r="N412" i="1"/>
  <c r="O412" i="1"/>
  <c r="N413" i="1"/>
  <c r="O413" i="1"/>
  <c r="N414" i="1"/>
  <c r="O414" i="1"/>
  <c r="N415" i="1"/>
  <c r="O415" i="1"/>
  <c r="N416" i="1"/>
  <c r="O416" i="1"/>
  <c r="N417" i="1"/>
  <c r="O417" i="1"/>
  <c r="N418" i="1"/>
  <c r="O418" i="1"/>
  <c r="N419" i="1"/>
  <c r="O419" i="1"/>
  <c r="N420" i="1"/>
  <c r="O420" i="1"/>
  <c r="N421" i="1"/>
  <c r="O421" i="1"/>
  <c r="N422" i="1"/>
  <c r="O422" i="1"/>
  <c r="N423" i="1"/>
  <c r="O423" i="1"/>
  <c r="N424" i="1"/>
  <c r="O424" i="1"/>
  <c r="N425" i="1"/>
  <c r="O425" i="1"/>
  <c r="N426" i="1"/>
  <c r="O426" i="1"/>
  <c r="N427" i="1"/>
  <c r="O427" i="1"/>
  <c r="N428" i="1"/>
  <c r="O428" i="1"/>
  <c r="N429" i="1"/>
  <c r="O429" i="1"/>
  <c r="N430" i="1"/>
  <c r="O430" i="1"/>
  <c r="N431" i="1"/>
  <c r="O431" i="1"/>
  <c r="N432" i="1"/>
  <c r="O432" i="1"/>
  <c r="N433" i="1"/>
  <c r="O433" i="1"/>
  <c r="N434" i="1"/>
  <c r="O434" i="1"/>
  <c r="N435" i="1"/>
  <c r="O435" i="1"/>
  <c r="N436" i="1"/>
  <c r="O436" i="1"/>
  <c r="N437" i="1"/>
  <c r="O437" i="1"/>
  <c r="N438" i="1"/>
  <c r="O438" i="1"/>
  <c r="N439" i="1"/>
  <c r="O439" i="1"/>
  <c r="N440" i="1"/>
  <c r="O440" i="1"/>
  <c r="N441" i="1"/>
  <c r="O441" i="1"/>
  <c r="N442" i="1"/>
  <c r="O442" i="1"/>
  <c r="N443" i="1"/>
  <c r="O443" i="1"/>
  <c r="N444" i="1"/>
  <c r="O444" i="1"/>
  <c r="N445" i="1"/>
  <c r="O445" i="1"/>
  <c r="N446" i="1"/>
  <c r="O446" i="1"/>
  <c r="N447" i="1"/>
  <c r="O447" i="1"/>
  <c r="N448" i="1"/>
  <c r="O448" i="1"/>
  <c r="N449" i="1"/>
  <c r="O449" i="1"/>
  <c r="N450" i="1"/>
  <c r="O450" i="1"/>
  <c r="N451" i="1"/>
  <c r="O451" i="1"/>
  <c r="N452" i="1"/>
  <c r="O452" i="1"/>
  <c r="N453" i="1"/>
  <c r="O453" i="1"/>
  <c r="N454" i="1"/>
  <c r="O454" i="1"/>
  <c r="N455" i="1"/>
  <c r="O455" i="1"/>
  <c r="N456" i="1"/>
  <c r="O456" i="1"/>
  <c r="N457" i="1"/>
  <c r="O457" i="1"/>
  <c r="N458" i="1"/>
  <c r="O458" i="1"/>
  <c r="N459" i="1"/>
  <c r="O459" i="1"/>
  <c r="N460" i="1"/>
  <c r="O460" i="1"/>
  <c r="N461" i="1"/>
  <c r="O461" i="1"/>
  <c r="N462" i="1"/>
  <c r="O462" i="1"/>
  <c r="N463" i="1"/>
  <c r="O463" i="1"/>
  <c r="N464" i="1"/>
  <c r="O464" i="1"/>
  <c r="N465" i="1"/>
  <c r="O465" i="1"/>
  <c r="N466" i="1"/>
  <c r="O466" i="1"/>
  <c r="N467" i="1"/>
  <c r="O467" i="1"/>
  <c r="N468" i="1"/>
  <c r="O468" i="1"/>
  <c r="N469" i="1"/>
  <c r="O469" i="1"/>
  <c r="N470" i="1"/>
  <c r="O470" i="1"/>
  <c r="N471" i="1"/>
  <c r="O471" i="1"/>
  <c r="N472" i="1"/>
  <c r="O472" i="1"/>
  <c r="N473" i="1"/>
  <c r="O473" i="1"/>
  <c r="N474" i="1"/>
  <c r="O474" i="1"/>
  <c r="N475" i="1"/>
  <c r="O475" i="1"/>
  <c r="N476" i="1"/>
  <c r="O476" i="1"/>
  <c r="N477" i="1"/>
  <c r="O477" i="1"/>
  <c r="N478" i="1"/>
  <c r="O478" i="1"/>
  <c r="N479" i="1"/>
  <c r="O479" i="1"/>
  <c r="N480" i="1"/>
  <c r="O480" i="1"/>
  <c r="N481" i="1"/>
  <c r="O481" i="1"/>
  <c r="N482" i="1"/>
  <c r="O482" i="1"/>
  <c r="N483" i="1"/>
  <c r="O483" i="1"/>
  <c r="N484" i="1"/>
  <c r="O484" i="1"/>
  <c r="N485" i="1"/>
  <c r="O485" i="1"/>
  <c r="N486" i="1"/>
  <c r="O486" i="1"/>
  <c r="N487" i="1"/>
  <c r="O487" i="1"/>
  <c r="N488" i="1"/>
  <c r="O488" i="1"/>
  <c r="N489" i="1"/>
  <c r="O489" i="1"/>
  <c r="N490" i="1"/>
  <c r="O490" i="1"/>
  <c r="N491" i="1"/>
  <c r="O491" i="1"/>
  <c r="N492" i="1"/>
  <c r="O492" i="1"/>
  <c r="N493" i="1"/>
  <c r="O493" i="1"/>
  <c r="N494" i="1"/>
  <c r="O494" i="1"/>
  <c r="N495" i="1"/>
  <c r="O495" i="1"/>
  <c r="N496" i="1"/>
  <c r="O496" i="1"/>
  <c r="N497" i="1"/>
  <c r="O497" i="1"/>
  <c r="N498" i="1"/>
  <c r="O498" i="1"/>
  <c r="N499" i="1"/>
  <c r="O499" i="1"/>
  <c r="N500" i="1"/>
  <c r="O500" i="1"/>
  <c r="N501" i="1"/>
  <c r="O501" i="1"/>
  <c r="N502" i="1"/>
  <c r="O502" i="1"/>
  <c r="N503" i="1"/>
  <c r="O503" i="1"/>
  <c r="N504" i="1"/>
  <c r="O504" i="1"/>
  <c r="N505" i="1"/>
  <c r="O505" i="1"/>
  <c r="N506" i="1"/>
  <c r="O506" i="1"/>
  <c r="N507" i="1"/>
  <c r="O507" i="1"/>
  <c r="N508" i="1"/>
  <c r="O508" i="1"/>
  <c r="N509" i="1"/>
  <c r="O509" i="1"/>
  <c r="N510" i="1"/>
  <c r="O510" i="1"/>
  <c r="N511" i="1"/>
  <c r="O511" i="1"/>
  <c r="N512" i="1"/>
  <c r="O512" i="1"/>
  <c r="N513" i="1"/>
  <c r="O513" i="1"/>
  <c r="N514" i="1"/>
  <c r="O514" i="1"/>
  <c r="N515" i="1"/>
  <c r="O515" i="1"/>
  <c r="N516" i="1"/>
  <c r="O516" i="1"/>
  <c r="N517" i="1"/>
  <c r="O517" i="1"/>
  <c r="N518" i="1"/>
  <c r="O518" i="1"/>
  <c r="N519" i="1"/>
  <c r="O519" i="1"/>
  <c r="N520" i="1"/>
  <c r="O520" i="1"/>
  <c r="N521" i="1"/>
  <c r="O521" i="1"/>
  <c r="N522" i="1"/>
  <c r="O522" i="1"/>
  <c r="N523" i="1"/>
  <c r="O523" i="1"/>
  <c r="N524" i="1"/>
  <c r="O524" i="1"/>
  <c r="N525" i="1"/>
  <c r="O525" i="1"/>
  <c r="N526" i="1"/>
  <c r="O526" i="1"/>
  <c r="N527" i="1"/>
  <c r="O527" i="1"/>
  <c r="N528" i="1"/>
  <c r="O528" i="1"/>
  <c r="N529" i="1"/>
  <c r="O529" i="1"/>
  <c r="N530" i="1"/>
  <c r="O530" i="1"/>
  <c r="N531" i="1"/>
  <c r="O531" i="1"/>
  <c r="N532" i="1"/>
  <c r="O532" i="1"/>
  <c r="N533" i="1"/>
  <c r="O533" i="1"/>
  <c r="N534" i="1"/>
  <c r="O534" i="1"/>
  <c r="N535" i="1"/>
  <c r="O535" i="1"/>
  <c r="N536" i="1"/>
  <c r="O536" i="1"/>
  <c r="N537" i="1"/>
  <c r="O537" i="1"/>
  <c r="N538" i="1"/>
  <c r="O538" i="1"/>
  <c r="N539" i="1"/>
  <c r="O539" i="1"/>
  <c r="N540" i="1"/>
  <c r="O540" i="1"/>
  <c r="N541" i="1"/>
  <c r="O541" i="1"/>
  <c r="N542" i="1"/>
  <c r="O542" i="1"/>
  <c r="N543" i="1"/>
  <c r="O543" i="1"/>
  <c r="N544" i="1"/>
  <c r="O544" i="1"/>
  <c r="N545" i="1"/>
  <c r="O545" i="1"/>
  <c r="N546" i="1"/>
  <c r="O546" i="1"/>
  <c r="N547" i="1"/>
  <c r="O547" i="1"/>
  <c r="N548" i="1"/>
  <c r="O548" i="1"/>
  <c r="N549" i="1"/>
  <c r="O549" i="1"/>
  <c r="N550" i="1"/>
  <c r="O550" i="1"/>
  <c r="N551" i="1"/>
  <c r="O551" i="1"/>
  <c r="N552" i="1"/>
  <c r="O552" i="1"/>
  <c r="N553" i="1"/>
  <c r="O553" i="1"/>
  <c r="N554" i="1"/>
  <c r="O554" i="1"/>
  <c r="N555" i="1"/>
  <c r="O555" i="1"/>
  <c r="N556" i="1"/>
  <c r="O556" i="1"/>
  <c r="N557" i="1"/>
  <c r="O557" i="1"/>
  <c r="N558" i="1"/>
  <c r="O558" i="1"/>
  <c r="N559" i="1"/>
  <c r="O559" i="1"/>
  <c r="N560" i="1"/>
  <c r="O560" i="1"/>
  <c r="N561" i="1"/>
  <c r="O561" i="1"/>
  <c r="N562" i="1"/>
  <c r="O562" i="1"/>
  <c r="N563" i="1"/>
  <c r="O563" i="1"/>
  <c r="N564" i="1"/>
  <c r="O564" i="1"/>
  <c r="N565" i="1"/>
  <c r="O565" i="1"/>
  <c r="N566" i="1"/>
  <c r="O566" i="1"/>
  <c r="N567" i="1"/>
  <c r="O567" i="1"/>
  <c r="N568" i="1"/>
  <c r="O568" i="1"/>
  <c r="N569" i="1"/>
  <c r="O569" i="1"/>
  <c r="N570" i="1"/>
  <c r="O570" i="1"/>
  <c r="N571" i="1"/>
  <c r="O571" i="1"/>
  <c r="N572" i="1"/>
  <c r="O572" i="1"/>
  <c r="N573" i="1"/>
  <c r="O573" i="1"/>
  <c r="N574" i="1"/>
  <c r="O574" i="1"/>
  <c r="N575" i="1"/>
  <c r="O575" i="1"/>
  <c r="N576" i="1"/>
  <c r="O576" i="1"/>
  <c r="N577" i="1"/>
  <c r="O577" i="1"/>
  <c r="N578" i="1"/>
  <c r="O578" i="1"/>
  <c r="N579" i="1"/>
  <c r="O579" i="1"/>
  <c r="N580" i="1"/>
  <c r="O580" i="1"/>
  <c r="N581" i="1"/>
  <c r="O581" i="1"/>
  <c r="N582" i="1"/>
  <c r="O582" i="1"/>
  <c r="N583" i="1"/>
  <c r="O583" i="1"/>
  <c r="N584" i="1"/>
  <c r="O584" i="1"/>
  <c r="N585" i="1"/>
  <c r="O585" i="1"/>
  <c r="N586" i="1"/>
  <c r="O586" i="1"/>
  <c r="N587" i="1"/>
  <c r="O587" i="1"/>
  <c r="N588" i="1"/>
  <c r="O588" i="1"/>
  <c r="N589" i="1"/>
  <c r="O589" i="1"/>
  <c r="N590" i="1"/>
  <c r="O590" i="1"/>
  <c r="N591" i="1"/>
  <c r="O591" i="1"/>
  <c r="N592" i="1"/>
  <c r="O592" i="1"/>
  <c r="N593" i="1"/>
  <c r="O593" i="1"/>
  <c r="N594" i="1"/>
  <c r="O594" i="1"/>
  <c r="N595" i="1"/>
  <c r="O595" i="1"/>
  <c r="N596" i="1"/>
  <c r="O596" i="1"/>
  <c r="N597" i="1"/>
  <c r="O597" i="1"/>
  <c r="N598" i="1"/>
  <c r="O598" i="1"/>
  <c r="N599" i="1"/>
  <c r="O599" i="1"/>
  <c r="N600" i="1"/>
  <c r="O600" i="1"/>
  <c r="N601" i="1"/>
  <c r="O601" i="1"/>
  <c r="N602" i="1"/>
  <c r="O602" i="1"/>
  <c r="N603" i="1"/>
  <c r="O603" i="1"/>
  <c r="N604" i="1"/>
  <c r="O604" i="1"/>
  <c r="N605" i="1"/>
  <c r="O605" i="1"/>
  <c r="N606" i="1"/>
  <c r="O606" i="1"/>
  <c r="N607" i="1"/>
  <c r="O607" i="1"/>
  <c r="N608" i="1"/>
  <c r="O608" i="1"/>
  <c r="N609" i="1"/>
  <c r="O609" i="1"/>
  <c r="N610" i="1"/>
  <c r="O610" i="1"/>
  <c r="N611" i="1"/>
  <c r="O611" i="1"/>
  <c r="N612" i="1"/>
  <c r="O612" i="1"/>
  <c r="N613" i="1"/>
  <c r="O613" i="1"/>
  <c r="N614" i="1"/>
  <c r="O614" i="1"/>
  <c r="N615" i="1"/>
  <c r="O615" i="1"/>
  <c r="N616" i="1"/>
  <c r="O616" i="1"/>
  <c r="N617" i="1"/>
  <c r="O617" i="1"/>
  <c r="N618" i="1"/>
  <c r="O618" i="1"/>
  <c r="N619" i="1"/>
  <c r="O619" i="1"/>
  <c r="N620" i="1"/>
  <c r="O620" i="1"/>
  <c r="N621" i="1"/>
  <c r="O621" i="1"/>
  <c r="N622" i="1"/>
  <c r="O622" i="1"/>
  <c r="N623" i="1"/>
  <c r="O623" i="1"/>
  <c r="N624" i="1"/>
  <c r="O624" i="1"/>
  <c r="N625" i="1"/>
  <c r="O625" i="1"/>
  <c r="N626" i="1"/>
  <c r="O626" i="1"/>
  <c r="N627" i="1"/>
  <c r="O627" i="1"/>
  <c r="N628" i="1"/>
  <c r="O628" i="1"/>
  <c r="N629" i="1"/>
  <c r="O629" i="1"/>
  <c r="N630" i="1"/>
  <c r="O630" i="1"/>
  <c r="N631" i="1"/>
  <c r="O631" i="1"/>
  <c r="N632" i="1"/>
  <c r="O632" i="1"/>
  <c r="N633" i="1"/>
  <c r="O633" i="1"/>
  <c r="N634" i="1"/>
  <c r="O634" i="1"/>
  <c r="N635" i="1"/>
  <c r="O635" i="1"/>
  <c r="N636" i="1"/>
  <c r="O636" i="1"/>
  <c r="N637" i="1"/>
  <c r="O637" i="1"/>
  <c r="N638" i="1"/>
  <c r="O638" i="1"/>
  <c r="N639" i="1"/>
  <c r="O639" i="1"/>
  <c r="N640" i="1"/>
  <c r="O640" i="1"/>
  <c r="N641" i="1"/>
  <c r="O641" i="1"/>
  <c r="N642" i="1"/>
  <c r="O642" i="1"/>
  <c r="N643" i="1"/>
  <c r="O643" i="1"/>
  <c r="N644" i="1"/>
  <c r="O644" i="1"/>
  <c r="N645" i="1"/>
  <c r="O645" i="1"/>
  <c r="N646" i="1"/>
  <c r="O646" i="1"/>
  <c r="N647" i="1"/>
  <c r="O647" i="1"/>
  <c r="N648" i="1"/>
  <c r="O648" i="1"/>
  <c r="N649" i="1"/>
  <c r="O649" i="1"/>
  <c r="N650" i="1"/>
  <c r="O650" i="1"/>
  <c r="N651" i="1"/>
  <c r="O651" i="1"/>
  <c r="N652" i="1"/>
  <c r="O652" i="1"/>
  <c r="N653" i="1"/>
  <c r="O653" i="1"/>
  <c r="N654" i="1"/>
  <c r="O654" i="1"/>
  <c r="N655" i="1"/>
  <c r="O655" i="1"/>
  <c r="N656" i="1"/>
  <c r="O656" i="1"/>
  <c r="N657" i="1"/>
  <c r="O657" i="1"/>
  <c r="N658" i="1"/>
  <c r="O658" i="1"/>
  <c r="N659" i="1"/>
  <c r="O659" i="1"/>
  <c r="N660" i="1"/>
  <c r="O660" i="1"/>
  <c r="N661" i="1"/>
  <c r="O661" i="1"/>
  <c r="N662" i="1"/>
  <c r="O662" i="1"/>
  <c r="N663" i="1"/>
  <c r="O663" i="1"/>
  <c r="N664" i="1"/>
  <c r="O664" i="1"/>
  <c r="N665" i="1"/>
  <c r="O665" i="1"/>
  <c r="N666" i="1"/>
  <c r="O666" i="1"/>
  <c r="N667" i="1"/>
  <c r="O667" i="1"/>
  <c r="N668" i="1"/>
  <c r="O668" i="1"/>
  <c r="N669" i="1"/>
  <c r="O669" i="1"/>
  <c r="N670" i="1"/>
  <c r="O670" i="1"/>
  <c r="N671" i="1"/>
  <c r="O671" i="1"/>
  <c r="N672" i="1"/>
  <c r="O672" i="1"/>
  <c r="N673" i="1"/>
  <c r="O673" i="1"/>
  <c r="N674" i="1"/>
  <c r="O674" i="1"/>
  <c r="N675" i="1"/>
  <c r="O675" i="1"/>
  <c r="N676" i="1"/>
  <c r="O676" i="1"/>
  <c r="N677" i="1"/>
  <c r="O677" i="1"/>
  <c r="N678" i="1"/>
  <c r="O678" i="1"/>
  <c r="N679" i="1"/>
  <c r="O679" i="1"/>
  <c r="N680" i="1"/>
  <c r="O680" i="1"/>
  <c r="N681" i="1"/>
  <c r="O681" i="1"/>
  <c r="N682" i="1"/>
  <c r="O682" i="1"/>
  <c r="N683" i="1"/>
  <c r="O683" i="1"/>
  <c r="N684" i="1"/>
  <c r="O684" i="1"/>
  <c r="N685" i="1"/>
  <c r="O685" i="1"/>
  <c r="N686" i="1"/>
  <c r="O686" i="1"/>
  <c r="N687" i="1"/>
  <c r="O687" i="1"/>
  <c r="N688" i="1"/>
  <c r="O688" i="1"/>
  <c r="N689" i="1"/>
  <c r="O689" i="1"/>
  <c r="N690" i="1"/>
  <c r="O690" i="1"/>
  <c r="N691" i="1"/>
  <c r="O691" i="1"/>
  <c r="N692" i="1"/>
  <c r="O692" i="1"/>
  <c r="N693" i="1"/>
  <c r="O693" i="1"/>
  <c r="N694" i="1"/>
  <c r="O694" i="1"/>
  <c r="N695" i="1"/>
  <c r="O695" i="1"/>
  <c r="N696" i="1"/>
  <c r="O696" i="1"/>
  <c r="N697" i="1"/>
  <c r="O697" i="1"/>
  <c r="N698" i="1"/>
  <c r="O698" i="1"/>
  <c r="N699" i="1"/>
  <c r="O699" i="1"/>
  <c r="N700" i="1"/>
  <c r="O700" i="1"/>
  <c r="N701" i="1"/>
  <c r="O701" i="1"/>
  <c r="N702" i="1"/>
  <c r="O702" i="1"/>
  <c r="N703" i="1"/>
  <c r="O703" i="1"/>
  <c r="N704" i="1"/>
  <c r="O704" i="1"/>
  <c r="N705" i="1"/>
  <c r="O705" i="1"/>
  <c r="N706" i="1"/>
  <c r="O706" i="1"/>
  <c r="N707" i="1"/>
  <c r="O707" i="1"/>
  <c r="N708" i="1"/>
  <c r="O708" i="1"/>
  <c r="N709" i="1"/>
  <c r="O709" i="1"/>
  <c r="N710" i="1"/>
  <c r="O710" i="1"/>
  <c r="N711" i="1"/>
  <c r="O711" i="1"/>
  <c r="N712" i="1"/>
  <c r="O712" i="1"/>
  <c r="N713" i="1"/>
  <c r="O713" i="1"/>
  <c r="N714" i="1"/>
  <c r="O714" i="1"/>
  <c r="N715" i="1"/>
  <c r="O715" i="1"/>
  <c r="N716" i="1"/>
  <c r="O716" i="1"/>
  <c r="N717" i="1"/>
  <c r="O717" i="1"/>
  <c r="N718" i="1"/>
  <c r="O718" i="1"/>
  <c r="N719" i="1"/>
  <c r="O719" i="1"/>
  <c r="N720" i="1"/>
  <c r="O720" i="1"/>
  <c r="N721" i="1"/>
  <c r="O721" i="1"/>
  <c r="N722" i="1"/>
  <c r="O722" i="1"/>
  <c r="N723" i="1"/>
  <c r="O723" i="1"/>
  <c r="N724" i="1"/>
  <c r="O724" i="1"/>
  <c r="N725" i="1"/>
  <c r="O725" i="1"/>
  <c r="N726" i="1"/>
  <c r="O726" i="1"/>
  <c r="N727" i="1"/>
  <c r="O727" i="1"/>
  <c r="N728" i="1"/>
  <c r="O728" i="1"/>
  <c r="N729" i="1"/>
  <c r="O729" i="1"/>
  <c r="N730" i="1"/>
  <c r="O730" i="1"/>
  <c r="N731" i="1"/>
  <c r="O731" i="1"/>
  <c r="N732" i="1"/>
  <c r="O732" i="1"/>
  <c r="N733" i="1"/>
  <c r="O733" i="1"/>
  <c r="N734" i="1"/>
  <c r="O734" i="1"/>
  <c r="N735" i="1"/>
  <c r="O735" i="1"/>
  <c r="N736" i="1"/>
  <c r="O736" i="1"/>
  <c r="N737" i="1"/>
  <c r="O737" i="1"/>
  <c r="N738" i="1"/>
  <c r="O738" i="1"/>
  <c r="N739" i="1"/>
  <c r="O739" i="1"/>
  <c r="N740" i="1"/>
  <c r="O740" i="1"/>
  <c r="N741" i="1"/>
  <c r="O741" i="1"/>
  <c r="N742" i="1"/>
  <c r="O742" i="1"/>
  <c r="N743" i="1"/>
  <c r="O743" i="1"/>
  <c r="N744" i="1"/>
  <c r="O744" i="1"/>
  <c r="N745" i="1"/>
  <c r="O745" i="1"/>
  <c r="N746" i="1"/>
  <c r="O746" i="1"/>
  <c r="N747" i="1"/>
  <c r="O747" i="1"/>
  <c r="N748" i="1"/>
  <c r="O748" i="1"/>
  <c r="N749" i="1"/>
  <c r="O749" i="1"/>
  <c r="N750" i="1"/>
  <c r="O750" i="1"/>
  <c r="N751" i="1"/>
  <c r="O751" i="1"/>
  <c r="N752" i="1"/>
  <c r="O752" i="1"/>
  <c r="N753" i="1"/>
  <c r="O753" i="1"/>
  <c r="N754" i="1"/>
  <c r="O754" i="1"/>
  <c r="N755" i="1"/>
  <c r="O755" i="1"/>
  <c r="N756" i="1"/>
  <c r="O756" i="1"/>
  <c r="N757" i="1"/>
  <c r="O757" i="1"/>
  <c r="N758" i="1"/>
  <c r="O758" i="1"/>
  <c r="N759" i="1"/>
  <c r="O759" i="1"/>
  <c r="N760" i="1"/>
  <c r="O760" i="1"/>
  <c r="N761" i="1"/>
  <c r="O761" i="1"/>
  <c r="N762" i="1"/>
  <c r="O762" i="1"/>
  <c r="N763" i="1"/>
  <c r="O763" i="1"/>
  <c r="N764" i="1"/>
  <c r="O764" i="1"/>
  <c r="N765" i="1"/>
  <c r="O765" i="1"/>
  <c r="N766" i="1"/>
  <c r="O766" i="1"/>
  <c r="N767" i="1"/>
  <c r="O767" i="1"/>
  <c r="N768" i="1"/>
  <c r="O768" i="1"/>
  <c r="N769" i="1"/>
  <c r="O769" i="1"/>
  <c r="N770" i="1"/>
  <c r="O770" i="1"/>
  <c r="N771" i="1"/>
  <c r="O771" i="1"/>
  <c r="N772" i="1"/>
  <c r="O772" i="1"/>
  <c r="N773" i="1"/>
  <c r="O773" i="1"/>
  <c r="N774" i="1"/>
  <c r="O774" i="1"/>
  <c r="N775" i="1"/>
  <c r="O775" i="1"/>
  <c r="N776" i="1"/>
  <c r="O776" i="1"/>
  <c r="N777" i="1"/>
  <c r="O777" i="1"/>
  <c r="N778" i="1"/>
  <c r="O778" i="1"/>
  <c r="N779" i="1"/>
  <c r="O779" i="1"/>
  <c r="N780" i="1"/>
  <c r="O780" i="1"/>
  <c r="N781" i="1"/>
  <c r="O781" i="1"/>
  <c r="N782" i="1"/>
  <c r="O782" i="1"/>
  <c r="N783" i="1"/>
  <c r="O783" i="1"/>
  <c r="N784" i="1"/>
  <c r="O784" i="1"/>
  <c r="N785" i="1"/>
  <c r="O785" i="1"/>
  <c r="N786" i="1"/>
  <c r="O786" i="1"/>
  <c r="N787" i="1"/>
  <c r="O787" i="1"/>
  <c r="N788" i="1"/>
  <c r="O788" i="1"/>
  <c r="N789" i="1"/>
  <c r="O789" i="1"/>
  <c r="N790" i="1"/>
  <c r="O790" i="1"/>
  <c r="N791" i="1"/>
  <c r="O791" i="1"/>
  <c r="N792" i="1"/>
  <c r="O792" i="1"/>
  <c r="N793" i="1"/>
  <c r="O793" i="1"/>
  <c r="N794" i="1"/>
  <c r="O794" i="1"/>
  <c r="N795" i="1"/>
  <c r="O795" i="1"/>
  <c r="N796" i="1"/>
  <c r="O796" i="1"/>
  <c r="N797" i="1"/>
  <c r="O797" i="1"/>
  <c r="N798" i="1"/>
  <c r="O798" i="1"/>
  <c r="N799" i="1"/>
  <c r="O799" i="1"/>
  <c r="N800" i="1"/>
  <c r="O800" i="1"/>
  <c r="N801" i="1"/>
  <c r="O801" i="1"/>
  <c r="N802" i="1"/>
  <c r="O802" i="1"/>
  <c r="N803" i="1"/>
  <c r="O803" i="1"/>
  <c r="N804" i="1"/>
  <c r="O804" i="1"/>
  <c r="N805" i="1"/>
  <c r="O805" i="1"/>
  <c r="N806" i="1"/>
  <c r="O806" i="1"/>
  <c r="N807" i="1"/>
  <c r="O807" i="1"/>
  <c r="N808" i="1"/>
  <c r="O808" i="1"/>
  <c r="N809" i="1"/>
  <c r="O809" i="1"/>
  <c r="N810" i="1"/>
  <c r="O810" i="1"/>
  <c r="N811" i="1"/>
  <c r="O811" i="1"/>
  <c r="N812" i="1"/>
  <c r="O812" i="1"/>
  <c r="N813" i="1"/>
  <c r="O813" i="1"/>
  <c r="N814" i="1"/>
  <c r="O814" i="1"/>
  <c r="N815" i="1"/>
  <c r="O815" i="1"/>
  <c r="N816" i="1"/>
  <c r="O816" i="1"/>
  <c r="N817" i="1"/>
  <c r="O817" i="1"/>
  <c r="N818" i="1"/>
  <c r="O818" i="1"/>
  <c r="N819" i="1"/>
  <c r="O819" i="1"/>
  <c r="N820" i="1"/>
  <c r="O820" i="1"/>
  <c r="N821" i="1"/>
  <c r="O821" i="1"/>
  <c r="N822" i="1"/>
  <c r="O822" i="1"/>
  <c r="N823" i="1"/>
  <c r="O823" i="1"/>
  <c r="N824" i="1"/>
  <c r="O824" i="1"/>
  <c r="N825" i="1"/>
  <c r="O825" i="1"/>
  <c r="N826" i="1"/>
  <c r="O826" i="1"/>
  <c r="N827" i="1"/>
  <c r="O827" i="1"/>
  <c r="N828" i="1"/>
  <c r="O828" i="1"/>
  <c r="N829" i="1"/>
  <c r="O829" i="1"/>
  <c r="N830" i="1"/>
  <c r="O830" i="1"/>
  <c r="N831" i="1"/>
  <c r="O831" i="1"/>
  <c r="N832" i="1"/>
  <c r="O832" i="1"/>
  <c r="N833" i="1"/>
  <c r="O833" i="1"/>
  <c r="N834" i="1"/>
  <c r="O834" i="1"/>
  <c r="N835" i="1"/>
  <c r="O835" i="1"/>
  <c r="N836" i="1"/>
  <c r="O836" i="1"/>
  <c r="N837" i="1"/>
  <c r="O837" i="1"/>
  <c r="N838" i="1"/>
  <c r="O838" i="1"/>
  <c r="N839" i="1"/>
  <c r="O839" i="1"/>
  <c r="N840" i="1"/>
  <c r="O840" i="1"/>
  <c r="N841" i="1"/>
  <c r="O841" i="1"/>
  <c r="N842" i="1"/>
  <c r="O842" i="1"/>
  <c r="N843" i="1"/>
  <c r="O843" i="1"/>
  <c r="N844" i="1"/>
  <c r="O844" i="1"/>
  <c r="N845" i="1"/>
  <c r="O845" i="1"/>
  <c r="N846" i="1"/>
  <c r="O846" i="1"/>
  <c r="N847" i="1"/>
  <c r="O847" i="1"/>
  <c r="N848" i="1"/>
  <c r="O848" i="1"/>
  <c r="N849" i="1"/>
  <c r="O849" i="1"/>
  <c r="N850" i="1"/>
  <c r="O850" i="1"/>
  <c r="N851" i="1"/>
  <c r="O851" i="1"/>
  <c r="N852" i="1"/>
  <c r="O852" i="1"/>
  <c r="N853" i="1"/>
  <c r="O853" i="1"/>
  <c r="N854" i="1"/>
  <c r="O854" i="1"/>
  <c r="N855" i="1"/>
  <c r="O855" i="1"/>
  <c r="N856" i="1"/>
  <c r="O856" i="1"/>
  <c r="N857" i="1"/>
  <c r="O857" i="1"/>
  <c r="N858" i="1"/>
  <c r="O858" i="1"/>
  <c r="N859" i="1"/>
  <c r="O859" i="1"/>
  <c r="N860" i="1"/>
  <c r="O860" i="1"/>
  <c r="N861" i="1"/>
  <c r="O861" i="1"/>
  <c r="N862" i="1"/>
  <c r="O862" i="1"/>
  <c r="N863" i="1"/>
  <c r="O863" i="1"/>
  <c r="N864" i="1"/>
  <c r="O864" i="1"/>
  <c r="N865" i="1"/>
  <c r="O865" i="1"/>
  <c r="N866" i="1"/>
  <c r="O866" i="1"/>
  <c r="N867" i="1"/>
  <c r="O867" i="1"/>
  <c r="N868" i="1"/>
  <c r="O868" i="1"/>
  <c r="N869" i="1"/>
  <c r="O869" i="1"/>
  <c r="N870" i="1"/>
  <c r="O870" i="1"/>
  <c r="N871" i="1"/>
  <c r="O871" i="1"/>
  <c r="N872" i="1"/>
  <c r="O872" i="1"/>
  <c r="N873" i="1"/>
  <c r="O873" i="1"/>
  <c r="N874" i="1"/>
  <c r="O874" i="1"/>
  <c r="N875" i="1"/>
  <c r="O875" i="1"/>
  <c r="N876" i="1"/>
  <c r="O876" i="1"/>
  <c r="N877" i="1"/>
  <c r="O877" i="1"/>
  <c r="N878" i="1"/>
  <c r="O878" i="1"/>
  <c r="N879" i="1"/>
  <c r="O879" i="1"/>
  <c r="N880" i="1"/>
  <c r="O880" i="1"/>
  <c r="N881" i="1"/>
  <c r="O881" i="1"/>
  <c r="N882" i="1"/>
  <c r="O882" i="1"/>
  <c r="N883" i="1"/>
  <c r="O883" i="1"/>
  <c r="N884" i="1"/>
  <c r="O884" i="1"/>
  <c r="N885" i="1"/>
  <c r="O885" i="1"/>
  <c r="N886" i="1"/>
  <c r="O886" i="1"/>
  <c r="N887" i="1"/>
  <c r="O887" i="1"/>
  <c r="N888" i="1"/>
  <c r="O888" i="1"/>
  <c r="N889" i="1"/>
  <c r="O889" i="1"/>
  <c r="N890" i="1"/>
  <c r="O890" i="1"/>
  <c r="N891" i="1"/>
  <c r="O891" i="1"/>
  <c r="N892" i="1"/>
  <c r="O892" i="1"/>
  <c r="N893" i="1"/>
  <c r="O893" i="1"/>
  <c r="N894" i="1"/>
  <c r="O894" i="1"/>
  <c r="N895" i="1"/>
  <c r="O895" i="1"/>
  <c r="N896" i="1"/>
  <c r="O896" i="1"/>
  <c r="N897" i="1"/>
  <c r="O897" i="1"/>
  <c r="N898" i="1"/>
  <c r="O898" i="1"/>
  <c r="N899" i="1"/>
  <c r="O899" i="1"/>
  <c r="N900" i="1"/>
  <c r="O900" i="1"/>
  <c r="N901" i="1"/>
  <c r="O901" i="1"/>
  <c r="N902" i="1"/>
  <c r="O902" i="1"/>
  <c r="N903" i="1"/>
  <c r="O903" i="1"/>
  <c r="N904" i="1"/>
  <c r="O904" i="1"/>
  <c r="N905" i="1"/>
  <c r="O905" i="1"/>
  <c r="N906" i="1"/>
  <c r="O906" i="1"/>
  <c r="N907" i="1"/>
  <c r="O907" i="1"/>
  <c r="N908" i="1"/>
  <c r="O908" i="1"/>
  <c r="N909" i="1"/>
  <c r="O909" i="1"/>
  <c r="N910" i="1"/>
  <c r="O910" i="1"/>
  <c r="N911" i="1"/>
  <c r="O911" i="1"/>
  <c r="N912" i="1"/>
  <c r="O912" i="1"/>
  <c r="N913" i="1"/>
  <c r="O913" i="1"/>
  <c r="N914" i="1"/>
  <c r="O914" i="1"/>
  <c r="N915" i="1"/>
  <c r="O915" i="1"/>
  <c r="N916" i="1"/>
  <c r="O916" i="1"/>
  <c r="N917" i="1"/>
  <c r="O917" i="1"/>
  <c r="N918" i="1"/>
  <c r="O918" i="1"/>
  <c r="N919" i="1"/>
  <c r="O919" i="1"/>
  <c r="N920" i="1"/>
  <c r="O920" i="1"/>
  <c r="N921" i="1"/>
  <c r="O921" i="1"/>
  <c r="N922" i="1"/>
  <c r="O922" i="1"/>
  <c r="N923" i="1"/>
  <c r="O923" i="1"/>
  <c r="N924" i="1"/>
  <c r="O924" i="1"/>
  <c r="N925" i="1"/>
  <c r="O925" i="1"/>
  <c r="N926" i="1"/>
  <c r="O926" i="1"/>
  <c r="N927" i="1"/>
  <c r="O927" i="1"/>
  <c r="N928" i="1"/>
  <c r="O928" i="1"/>
  <c r="N929" i="1"/>
  <c r="O929" i="1"/>
  <c r="N930" i="1"/>
  <c r="O930" i="1"/>
  <c r="N931" i="1"/>
  <c r="O931" i="1"/>
  <c r="N932" i="1"/>
  <c r="O932" i="1"/>
  <c r="N933" i="1"/>
  <c r="O933" i="1"/>
  <c r="N934" i="1"/>
  <c r="O934" i="1"/>
  <c r="N935" i="1"/>
  <c r="O935" i="1"/>
  <c r="N936" i="1"/>
  <c r="O936" i="1"/>
  <c r="N937" i="1"/>
  <c r="O937" i="1"/>
  <c r="N938" i="1"/>
  <c r="O938" i="1"/>
  <c r="N939" i="1"/>
  <c r="O939" i="1"/>
  <c r="N940" i="1"/>
  <c r="O940" i="1"/>
  <c r="N941" i="1"/>
  <c r="O941" i="1"/>
  <c r="N942" i="1"/>
  <c r="O942" i="1"/>
  <c r="N943" i="1"/>
  <c r="O943" i="1"/>
  <c r="N944" i="1"/>
  <c r="O944" i="1"/>
  <c r="N945" i="1"/>
  <c r="O945" i="1"/>
  <c r="N946" i="1"/>
  <c r="O946" i="1"/>
  <c r="N947" i="1"/>
  <c r="O947" i="1"/>
  <c r="N948" i="1"/>
  <c r="O948" i="1"/>
  <c r="N949" i="1"/>
  <c r="O949" i="1"/>
  <c r="N950" i="1"/>
  <c r="O950" i="1"/>
  <c r="N951" i="1"/>
  <c r="O951" i="1"/>
  <c r="N952" i="1"/>
  <c r="O952" i="1"/>
  <c r="N953" i="1"/>
  <c r="O953" i="1"/>
  <c r="N954" i="1"/>
  <c r="O954" i="1"/>
  <c r="N955" i="1"/>
  <c r="O955" i="1"/>
  <c r="N956" i="1"/>
  <c r="O956" i="1"/>
  <c r="N957" i="1"/>
  <c r="O957" i="1"/>
  <c r="N958" i="1"/>
  <c r="O958" i="1"/>
  <c r="N959" i="1"/>
  <c r="O959" i="1"/>
  <c r="N960" i="1"/>
  <c r="O960" i="1"/>
  <c r="N961" i="1"/>
  <c r="O961" i="1"/>
  <c r="N962" i="1"/>
  <c r="O962" i="1"/>
  <c r="N963" i="1"/>
  <c r="O963" i="1"/>
  <c r="N964" i="1"/>
  <c r="O964" i="1"/>
  <c r="N965" i="1"/>
  <c r="O965" i="1"/>
  <c r="N966" i="1"/>
  <c r="O966" i="1"/>
  <c r="N967" i="1"/>
  <c r="O967" i="1"/>
  <c r="N968" i="1"/>
  <c r="O968" i="1"/>
  <c r="N969" i="1"/>
  <c r="O969" i="1"/>
  <c r="N970" i="1"/>
  <c r="O970" i="1"/>
  <c r="N971" i="1"/>
  <c r="O971" i="1"/>
  <c r="N972" i="1"/>
  <c r="O972" i="1"/>
  <c r="N973" i="1"/>
  <c r="O973" i="1"/>
  <c r="N974" i="1"/>
  <c r="O974" i="1"/>
  <c r="N975" i="1"/>
  <c r="O975" i="1"/>
  <c r="N976" i="1"/>
  <c r="O976" i="1"/>
  <c r="N977" i="1"/>
  <c r="O977" i="1"/>
  <c r="N978" i="1"/>
  <c r="O978" i="1"/>
  <c r="N979" i="1"/>
  <c r="O979" i="1"/>
  <c r="N980" i="1"/>
  <c r="O980" i="1"/>
  <c r="N981" i="1"/>
  <c r="O981" i="1"/>
  <c r="N982" i="1"/>
  <c r="O982" i="1"/>
  <c r="N983" i="1"/>
  <c r="O983" i="1"/>
  <c r="N984" i="1"/>
  <c r="O984" i="1"/>
  <c r="N985" i="1"/>
  <c r="O985" i="1"/>
  <c r="N986" i="1"/>
  <c r="O986" i="1"/>
  <c r="N987" i="1"/>
  <c r="O987" i="1"/>
  <c r="N988" i="1"/>
  <c r="O988" i="1"/>
  <c r="N989" i="1"/>
  <c r="O989" i="1"/>
  <c r="N990" i="1"/>
  <c r="O990" i="1"/>
  <c r="N991" i="1"/>
  <c r="O991" i="1"/>
  <c r="N992" i="1"/>
  <c r="O992" i="1"/>
  <c r="N993" i="1"/>
  <c r="O993" i="1"/>
  <c r="N994" i="1"/>
  <c r="O994" i="1"/>
  <c r="N995" i="1"/>
  <c r="O995" i="1"/>
  <c r="N996" i="1"/>
  <c r="O996" i="1"/>
  <c r="N997" i="1"/>
  <c r="O997" i="1"/>
  <c r="N998" i="1"/>
  <c r="O998" i="1"/>
  <c r="N999" i="1"/>
  <c r="O999" i="1"/>
  <c r="N1000" i="1"/>
  <c r="O1000" i="1"/>
  <c r="N1001" i="1"/>
  <c r="O1001" i="1"/>
  <c r="N1002" i="1"/>
  <c r="O1002" i="1"/>
  <c r="N1003" i="1"/>
  <c r="O1003" i="1"/>
  <c r="N1004" i="1"/>
  <c r="O1004" i="1"/>
  <c r="N1005" i="1"/>
  <c r="O1005" i="1"/>
  <c r="N1006" i="1"/>
  <c r="O1006" i="1"/>
  <c r="N1007" i="1"/>
  <c r="O1007" i="1"/>
  <c r="N1008" i="1"/>
  <c r="O1008" i="1"/>
  <c r="N1009" i="1"/>
  <c r="O1009" i="1"/>
  <c r="N1010" i="1"/>
  <c r="O1010" i="1"/>
  <c r="N1011" i="1"/>
  <c r="O1011" i="1"/>
  <c r="N1012" i="1"/>
  <c r="O1012" i="1"/>
  <c r="N1013" i="1"/>
  <c r="O1013" i="1"/>
  <c r="N1014" i="1"/>
  <c r="O1014" i="1"/>
  <c r="N1015" i="1"/>
  <c r="O1015" i="1"/>
  <c r="N1016" i="1"/>
  <c r="O1016" i="1"/>
  <c r="N1017" i="1"/>
  <c r="O1017" i="1"/>
  <c r="N1018" i="1"/>
  <c r="O1018" i="1"/>
  <c r="N1019" i="1"/>
  <c r="O1019" i="1"/>
  <c r="N1020" i="1"/>
  <c r="O1020" i="1"/>
  <c r="N1021" i="1"/>
  <c r="O1021" i="1"/>
  <c r="N1022" i="1"/>
  <c r="O1022" i="1"/>
  <c r="N1023" i="1"/>
  <c r="O1023" i="1"/>
  <c r="N1024" i="1"/>
  <c r="O1024" i="1"/>
  <c r="N1025" i="1"/>
  <c r="O1025" i="1"/>
  <c r="N1026" i="1"/>
  <c r="O1026" i="1"/>
  <c r="N1027" i="1"/>
  <c r="O1027" i="1"/>
  <c r="N1028" i="1"/>
  <c r="O1028" i="1"/>
  <c r="N1029" i="1"/>
  <c r="O1029" i="1"/>
  <c r="N1030" i="1"/>
  <c r="O1030" i="1"/>
  <c r="N1031" i="1"/>
  <c r="O1031" i="1"/>
  <c r="N1032" i="1"/>
  <c r="O1032" i="1"/>
  <c r="N1033" i="1"/>
  <c r="O1033" i="1"/>
  <c r="N1034" i="1"/>
  <c r="O1034" i="1"/>
  <c r="N1035" i="1"/>
  <c r="O1035" i="1"/>
  <c r="N1036" i="1"/>
  <c r="O1036" i="1"/>
  <c r="N1037" i="1"/>
  <c r="O1037" i="1"/>
  <c r="N1038" i="1"/>
  <c r="O1038" i="1"/>
  <c r="N1039" i="1"/>
  <c r="O1039" i="1"/>
  <c r="N1040" i="1"/>
  <c r="O1040" i="1"/>
  <c r="N1041" i="1"/>
  <c r="O1041" i="1"/>
  <c r="N1042" i="1"/>
  <c r="O1042" i="1"/>
  <c r="N1043" i="1"/>
  <c r="O1043" i="1"/>
  <c r="N1044" i="1"/>
  <c r="O1044" i="1"/>
  <c r="N1045" i="1"/>
  <c r="O1045" i="1"/>
  <c r="N1046" i="1"/>
  <c r="O1046" i="1"/>
  <c r="N1047" i="1"/>
  <c r="O1047" i="1"/>
  <c r="N1048" i="1"/>
  <c r="O1048" i="1"/>
  <c r="N1049" i="1"/>
  <c r="O1049" i="1"/>
  <c r="N1050" i="1"/>
  <c r="O1050" i="1"/>
  <c r="N1051" i="1"/>
  <c r="O1051" i="1"/>
  <c r="N1052" i="1"/>
  <c r="O1052" i="1"/>
  <c r="N1053" i="1"/>
  <c r="O1053" i="1"/>
  <c r="N1054" i="1"/>
  <c r="O1054" i="1"/>
  <c r="N1055" i="1"/>
  <c r="O1055" i="1"/>
  <c r="N1056" i="1"/>
  <c r="O1056" i="1"/>
  <c r="N1057" i="1"/>
  <c r="O1057" i="1"/>
  <c r="N1058" i="1"/>
  <c r="O1058" i="1"/>
  <c r="N1059" i="1"/>
  <c r="O1059" i="1"/>
  <c r="N1060" i="1"/>
  <c r="O1060" i="1"/>
  <c r="N1061" i="1"/>
  <c r="O1061" i="1"/>
  <c r="N1062" i="1"/>
  <c r="O1062" i="1"/>
  <c r="N1063" i="1"/>
  <c r="O1063" i="1"/>
  <c r="N1064" i="1"/>
  <c r="O1064" i="1"/>
  <c r="N1065" i="1"/>
  <c r="O1065" i="1"/>
  <c r="N1066" i="1"/>
  <c r="O1066" i="1"/>
  <c r="N1067" i="1"/>
  <c r="O1067" i="1"/>
  <c r="N1068" i="1"/>
  <c r="O1068" i="1"/>
  <c r="N1069" i="1"/>
  <c r="O1069" i="1"/>
  <c r="N1070" i="1"/>
  <c r="O1070" i="1"/>
  <c r="N1071" i="1"/>
  <c r="O1071" i="1"/>
  <c r="N1072" i="1"/>
  <c r="O1072" i="1"/>
  <c r="N1073" i="1"/>
  <c r="O1073" i="1"/>
  <c r="N1074" i="1"/>
  <c r="O1074" i="1"/>
  <c r="N1075" i="1"/>
  <c r="O1075" i="1"/>
  <c r="N1076" i="1"/>
  <c r="O1076" i="1"/>
  <c r="N1077" i="1"/>
  <c r="O1077" i="1"/>
  <c r="N1078" i="1"/>
  <c r="O1078" i="1"/>
  <c r="N1079" i="1"/>
  <c r="O1079" i="1"/>
  <c r="N1080" i="1"/>
  <c r="O1080" i="1"/>
  <c r="N1081" i="1"/>
  <c r="O1081" i="1"/>
  <c r="N1082" i="1"/>
  <c r="O1082" i="1"/>
  <c r="N1083" i="1"/>
  <c r="O1083" i="1"/>
  <c r="N1084" i="1"/>
  <c r="O1084" i="1"/>
  <c r="N1085" i="1"/>
  <c r="O1085" i="1"/>
  <c r="N1086" i="1"/>
  <c r="O1086" i="1"/>
  <c r="N1087" i="1"/>
  <c r="O1087" i="1"/>
  <c r="N1088" i="1"/>
  <c r="O1088" i="1"/>
  <c r="N1089" i="1"/>
  <c r="O1089" i="1"/>
  <c r="N1090" i="1"/>
  <c r="O1090" i="1"/>
  <c r="N1091" i="1"/>
  <c r="O1091" i="1"/>
  <c r="N1092" i="1"/>
  <c r="O1092" i="1"/>
  <c r="N1093" i="1"/>
  <c r="O1093" i="1"/>
  <c r="N1094" i="1"/>
  <c r="O1094" i="1"/>
  <c r="N1095" i="1"/>
  <c r="O1095" i="1"/>
  <c r="N1096" i="1"/>
  <c r="O1096" i="1"/>
  <c r="N1097" i="1"/>
  <c r="O1097" i="1"/>
  <c r="N1098" i="1"/>
  <c r="O1098" i="1"/>
  <c r="N1099" i="1"/>
  <c r="O1099" i="1"/>
  <c r="N1100" i="1"/>
  <c r="O1100" i="1"/>
  <c r="N1101" i="1"/>
  <c r="O1101" i="1"/>
  <c r="N1102" i="1"/>
  <c r="O1102" i="1"/>
  <c r="N1103" i="1"/>
  <c r="O1103" i="1"/>
  <c r="N1104" i="1"/>
  <c r="O1104" i="1"/>
  <c r="N1105" i="1"/>
  <c r="O1105" i="1"/>
  <c r="N1106" i="1"/>
  <c r="O1106" i="1"/>
  <c r="N1107" i="1"/>
  <c r="O1107" i="1"/>
  <c r="N1108" i="1"/>
  <c r="O1108" i="1"/>
  <c r="N1109" i="1"/>
  <c r="O1109" i="1"/>
  <c r="N1110" i="1"/>
  <c r="O1110" i="1"/>
  <c r="N1111" i="1"/>
  <c r="O1111" i="1"/>
  <c r="N1112" i="1"/>
  <c r="O1112" i="1"/>
  <c r="N1113" i="1"/>
  <c r="O1113" i="1"/>
  <c r="N1114" i="1"/>
  <c r="O1114" i="1"/>
  <c r="N1115" i="1"/>
  <c r="O1115" i="1"/>
  <c r="N1116" i="1"/>
  <c r="O1116" i="1"/>
  <c r="N1117" i="1"/>
  <c r="O1117" i="1"/>
  <c r="N1118" i="1"/>
  <c r="O1118" i="1"/>
  <c r="N1119" i="1"/>
  <c r="O1119" i="1"/>
  <c r="N1120" i="1"/>
  <c r="O1120" i="1"/>
  <c r="N1121" i="1"/>
  <c r="O1121" i="1"/>
  <c r="N1122" i="1"/>
  <c r="O1122" i="1"/>
  <c r="N1123" i="1"/>
  <c r="O1123" i="1"/>
  <c r="N1124" i="1"/>
  <c r="O1124" i="1"/>
  <c r="N1125" i="1"/>
  <c r="O1125" i="1"/>
  <c r="N1126" i="1"/>
  <c r="O1126" i="1"/>
  <c r="N1127" i="1"/>
  <c r="O1127" i="1"/>
  <c r="N1128" i="1"/>
  <c r="O1128" i="1"/>
  <c r="N1129" i="1"/>
  <c r="O1129" i="1"/>
  <c r="N1130" i="1"/>
  <c r="O1130" i="1"/>
  <c r="N1131" i="1"/>
  <c r="O1131" i="1"/>
  <c r="N1132" i="1"/>
  <c r="O1132" i="1"/>
  <c r="N1133" i="1"/>
  <c r="O1133" i="1"/>
  <c r="N1134" i="1"/>
  <c r="O1134" i="1"/>
  <c r="N1135" i="1"/>
  <c r="O1135" i="1"/>
  <c r="N1136" i="1"/>
  <c r="O1136" i="1"/>
  <c r="N1137" i="1"/>
  <c r="O1137" i="1"/>
  <c r="N1138" i="1"/>
  <c r="O1138" i="1"/>
  <c r="N1139" i="1"/>
  <c r="O1139" i="1"/>
  <c r="N1140" i="1"/>
  <c r="O1140" i="1"/>
  <c r="N1141" i="1"/>
  <c r="O1141" i="1"/>
  <c r="N1142" i="1"/>
  <c r="O1142" i="1"/>
  <c r="N1143" i="1"/>
  <c r="O1143" i="1"/>
  <c r="N1144" i="1"/>
  <c r="O1144" i="1"/>
  <c r="N1145" i="1"/>
  <c r="O1145" i="1"/>
  <c r="N1146" i="1"/>
  <c r="O1146" i="1"/>
  <c r="N1147" i="1"/>
  <c r="O1147" i="1"/>
  <c r="N1148" i="1"/>
  <c r="O1148" i="1"/>
  <c r="N1149" i="1"/>
  <c r="O1149" i="1"/>
  <c r="N1150" i="1"/>
  <c r="O1150" i="1"/>
  <c r="N1151" i="1"/>
  <c r="O1151" i="1"/>
  <c r="N1152" i="1"/>
  <c r="O1152" i="1"/>
  <c r="N1153" i="1"/>
  <c r="O1153" i="1"/>
  <c r="N1154" i="1"/>
  <c r="O1154" i="1"/>
  <c r="N1155" i="1"/>
  <c r="O1155" i="1"/>
  <c r="N1156" i="1"/>
  <c r="O1156" i="1"/>
  <c r="N1157" i="1"/>
  <c r="O1157" i="1"/>
  <c r="N1158" i="1"/>
  <c r="O1158" i="1"/>
  <c r="N1159" i="1"/>
  <c r="O1159" i="1"/>
  <c r="N1160" i="1"/>
  <c r="O1160" i="1"/>
  <c r="N1161" i="1"/>
  <c r="O1161" i="1"/>
  <c r="N1162" i="1"/>
  <c r="O1162" i="1"/>
  <c r="N1163" i="1"/>
  <c r="O1163" i="1"/>
  <c r="N1164" i="1"/>
  <c r="O1164" i="1"/>
  <c r="N1165" i="1"/>
  <c r="O1165" i="1"/>
  <c r="N1166" i="1"/>
  <c r="O1166" i="1"/>
  <c r="N1167" i="1"/>
  <c r="O1167" i="1"/>
  <c r="N1168" i="1"/>
  <c r="O1168" i="1"/>
  <c r="N1169" i="1"/>
  <c r="O1169" i="1"/>
  <c r="N1170" i="1"/>
  <c r="O1170" i="1"/>
  <c r="N1171" i="1"/>
  <c r="O1171" i="1"/>
  <c r="N1172" i="1"/>
  <c r="O1172" i="1"/>
  <c r="N1173" i="1"/>
  <c r="O1173" i="1"/>
  <c r="N1174" i="1"/>
  <c r="O1174" i="1"/>
  <c r="N1175" i="1"/>
  <c r="O1175" i="1"/>
  <c r="N1176" i="1"/>
  <c r="O1176" i="1"/>
  <c r="N1177" i="1"/>
  <c r="O1177" i="1"/>
  <c r="N1178" i="1"/>
  <c r="O1178" i="1"/>
  <c r="N1179" i="1"/>
  <c r="O1179" i="1"/>
  <c r="N1180" i="1"/>
  <c r="O1180" i="1"/>
  <c r="N1181" i="1"/>
  <c r="O1181" i="1"/>
  <c r="N1182" i="1"/>
  <c r="O1182" i="1"/>
  <c r="N1183" i="1"/>
  <c r="O1183" i="1"/>
  <c r="N1184" i="1"/>
  <c r="O1184" i="1"/>
  <c r="N1185" i="1"/>
  <c r="O1185" i="1"/>
  <c r="N1186" i="1"/>
  <c r="O1186" i="1"/>
  <c r="N1187" i="1"/>
  <c r="O1187" i="1"/>
  <c r="N1188" i="1"/>
  <c r="O1188" i="1"/>
  <c r="N1189" i="1"/>
  <c r="O1189" i="1"/>
  <c r="N1190" i="1"/>
  <c r="O1190" i="1"/>
  <c r="N1191" i="1"/>
  <c r="O1191" i="1"/>
  <c r="N1192" i="1"/>
  <c r="O1192" i="1"/>
  <c r="N1193" i="1"/>
  <c r="O1193" i="1"/>
  <c r="N1194" i="1"/>
  <c r="O1194" i="1"/>
  <c r="N1195" i="1"/>
  <c r="O1195" i="1"/>
  <c r="N1196" i="1"/>
  <c r="O1196" i="1"/>
  <c r="N1197" i="1"/>
  <c r="O1197" i="1"/>
  <c r="N1198" i="1"/>
  <c r="O1198" i="1"/>
  <c r="N1199" i="1"/>
  <c r="O1199" i="1"/>
  <c r="N1200" i="1"/>
  <c r="O1200" i="1"/>
  <c r="N1201" i="1"/>
  <c r="O1201" i="1"/>
  <c r="N1202" i="1"/>
  <c r="O1202" i="1"/>
  <c r="N1203" i="1"/>
  <c r="O1203" i="1"/>
  <c r="N1204" i="1"/>
  <c r="O1204" i="1"/>
  <c r="N1205" i="1"/>
  <c r="O1205" i="1"/>
  <c r="N1206" i="1"/>
  <c r="O1206" i="1"/>
  <c r="N1207" i="1"/>
  <c r="O1207" i="1"/>
  <c r="N1208" i="1"/>
  <c r="O1208" i="1"/>
  <c r="N1209" i="1"/>
  <c r="O1209" i="1"/>
  <c r="N1210" i="1"/>
  <c r="O1210" i="1"/>
  <c r="N1211" i="1"/>
  <c r="O1211" i="1"/>
  <c r="N1212" i="1"/>
  <c r="O1212" i="1"/>
  <c r="N1213" i="1"/>
  <c r="O1213" i="1"/>
  <c r="N1214" i="1"/>
  <c r="O1214" i="1"/>
  <c r="N1215" i="1"/>
  <c r="O1215" i="1"/>
  <c r="N1216" i="1"/>
  <c r="O1216" i="1"/>
  <c r="N1217" i="1"/>
  <c r="O1217" i="1"/>
  <c r="N1218" i="1"/>
  <c r="O1218" i="1"/>
  <c r="N1219" i="1"/>
  <c r="O1219" i="1"/>
  <c r="N1220" i="1"/>
  <c r="O1220" i="1"/>
  <c r="N1221" i="1"/>
  <c r="O1221" i="1"/>
  <c r="N1222" i="1"/>
  <c r="O1222" i="1"/>
  <c r="N1223" i="1"/>
  <c r="O1223" i="1"/>
  <c r="N1224" i="1"/>
  <c r="O1224" i="1"/>
</calcChain>
</file>

<file path=xl/sharedStrings.xml><?xml version="1.0" encoding="utf-8"?>
<sst xmlns="http://schemas.openxmlformats.org/spreadsheetml/2006/main" count="6892" uniqueCount="3964">
  <si>
    <t>Ticker</t>
  </si>
  <si>
    <t>Price</t>
  </si>
  <si>
    <t>Drug</t>
  </si>
  <si>
    <t>Indication</t>
  </si>
  <si>
    <t>Stage</t>
  </si>
  <si>
    <t>Date</t>
  </si>
  <si>
    <t>Catalyst</t>
  </si>
  <si>
    <t>Shares_Millions</t>
  </si>
  <si>
    <t>SNDX</t>
  </si>
  <si>
    <t>Niktimvo (axatilimab-csfr)</t>
  </si>
  <si>
    <t>Chronic Graft versus host disease (cGvHD)Â </t>
  </si>
  <si>
    <t>BLA Filing</t>
  </si>
  <si>
    <t>BLA submitteed to the FDA, noted January 2, 2024.</t>
  </si>
  <si>
    <t>INCY</t>
  </si>
  <si>
    <t>LBPH</t>
  </si>
  <si>
    <t>Bexicaserin (LP352) - (DEEp OCEAN)</t>
  </si>
  <si>
    <t>Adolescent and adult patients with developmental and epileptic encephalopathies (DEEs)Â </t>
  </si>
  <si>
    <t>Phase 1/2</t>
  </si>
  <si>
    <t>Phase 1b/2a top-line data reported a median seizure reduction of 53.3% in countable motor seizures compared to 20.8% in the placebo group across the DEE study population, noted January 2, 2024.</t>
  </si>
  <si>
    <t>ATAI</t>
  </si>
  <si>
    <t>EMP-01</t>
  </si>
  <si>
    <t>Post-Traumatic Stress Disorder (PTSD)Â </t>
  </si>
  <si>
    <t>Phase 1</t>
  </si>
  <si>
    <t>Phase 1 was well-tolerated, and treatment-related adverse events (AEs) were all expected and generally dose-dependent, noted on January 2, 2024.</t>
  </si>
  <si>
    <t>AVXL</t>
  </si>
  <si>
    <t>ANAVEX 2-73-RS-003 - (EXCELLENCE)</t>
  </si>
  <si>
    <t>Pediatric Rett SyndromeÂ </t>
  </si>
  <si>
    <t>Phase 2/3</t>
  </si>
  <si>
    <t>Phase 2/3 results missed a primary endpoint on the LS Mean difference (SE) points between treated and placebo, noted January 2, 2024.</t>
  </si>
  <si>
    <t>ATXI</t>
  </si>
  <si>
    <t>AJ201</t>
  </si>
  <si>
    <t>Spinal and bulbar muscular atrophy (SBMA)Â </t>
  </si>
  <si>
    <t>Phase 1b/2 enrollment completed, noted January 2, 2024.</t>
  </si>
  <si>
    <t>SPRO</t>
  </si>
  <si>
    <t>Tebipenem HBr (SPR994) - (PIVOT-PO)</t>
  </si>
  <si>
    <t>Complicated urinary tract infection (cUTI), including acute pyelonephritis (AP)Â </t>
  </si>
  <si>
    <t>Phase 3</t>
  </si>
  <si>
    <t>Phase 3 dosing initiated, noted January 2, 2024.</t>
  </si>
  <si>
    <t>CTXR</t>
  </si>
  <si>
    <t>Mino-Lok</t>
  </si>
  <si>
    <t>Catheter related blood stream infection (CRBSI)Â </t>
  </si>
  <si>
    <t>Phase 3 enrollment was completed, noted January 2, 2024.</t>
  </si>
  <si>
    <t>NVS</t>
  </si>
  <si>
    <t>â€”</t>
  </si>
  <si>
    <t>Farabursen (RGLS8429) (MAD)</t>
  </si>
  <si>
    <t>Autosomal Dominant Polycystic Kidney Disease (ADPKD)Â </t>
  </si>
  <si>
    <t>Phase 1b</t>
  </si>
  <si>
    <t>Phase 1b third cohort completed, noted January 2, 2024.</t>
  </si>
  <si>
    <t>AGIO</t>
  </si>
  <si>
    <t>PYRUKYND (Mitapivat) - (ENERGIZE)</t>
  </si>
  <si>
    <t>ThalassemiaÂ </t>
  </si>
  <si>
    <t>Phase 3 data reported that the trial met its primary endpoint and key secondary endpoints, noted January 3, 2024.</t>
  </si>
  <si>
    <t>TEVA</t>
  </si>
  <si>
    <t>AVT06 - (EYLEA biosimilar)</t>
  </si>
  <si>
    <t>Eye disordersÂ </t>
  </si>
  <si>
    <t>Phase 3 data reported that the trial met its primary endpoint, noted January 3, 2024.</t>
  </si>
  <si>
    <t>ALVO</t>
  </si>
  <si>
    <t>DYN</t>
  </si>
  <si>
    <t>DYNE-101 - (ACHIEVE)</t>
  </si>
  <si>
    <t>Myotonic Dystrophy Type 1 (DM1)Â </t>
  </si>
  <si>
    <t>Phase 1/2 MAD data reported a dose-dependent splicing correction and increase in muscle delivery and DMPK knockdown while also showing functional improvement in myotonia, noted January 3, 2024.</t>
  </si>
  <si>
    <t>DYNE-251 - (DELIVER)</t>
  </si>
  <si>
    <t>Duchenne muscular dystrophy (DMD)Â </t>
  </si>
  <si>
    <t>Phase 1/2 initial data reported a mean absolute dystrophin level of 0.88% of normal and a 0.28% change from baseline at 6 months, noted January 3, 2024.</t>
  </si>
  <si>
    <t>ATHA</t>
  </si>
  <si>
    <t>Fosgonimeton (ATH-1017) - (LIFT-AD)</t>
  </si>
  <si>
    <t>Alzheimerâ€™s diseaseÂ </t>
  </si>
  <si>
    <t>Phase 2/3 trial enrollment completed, noted January 3, 2024.</t>
  </si>
  <si>
    <t>APLM</t>
  </si>
  <si>
    <t>Uproleselan</t>
  </si>
  <si>
    <t>Relapsed/Refractory (R/R) Acute Myeloid Leukemia (AML)Â </t>
  </si>
  <si>
    <t>Phase 3 enrollment completed, noted January 3, 2024.</t>
  </si>
  <si>
    <t>GLYC</t>
  </si>
  <si>
    <t>CMMB</t>
  </si>
  <si>
    <t>nebokitug (CM-101) - (SPRING)</t>
  </si>
  <si>
    <t>Primary Sclerosing CholangitisÂ </t>
  </si>
  <si>
    <t>Phase 2</t>
  </si>
  <si>
    <t>Phase 2 early enrollment completed, noted January 3, 2023.</t>
  </si>
  <si>
    <t>SLRX</t>
  </si>
  <si>
    <t>Seclidemstat</t>
  </si>
  <si>
    <t>Myelodysplastic Syndromes (MDS) and Chronic Myelomonocytic Leukemia (CMML)Â </t>
  </si>
  <si>
    <t>Additional Phase 1/2 data reported that an additional Ewing sarcoma patient treated with seclidemstat, topotecan and cyclophosphamide (TC) has achieved a partial response as demonstrated by at least a</t>
  </si>
  <si>
    <t>INTS</t>
  </si>
  <si>
    <t>INT230-6</t>
  </si>
  <si>
    <t>Advanced Soft Tissue SarcomaÂ </t>
  </si>
  <si>
    <t>FDA provided "Study May Proceed" letter, noted January 3, 2024.</t>
  </si>
  <si>
    <t>ENVB</t>
  </si>
  <si>
    <t>EB-003 (EVM301 series)</t>
  </si>
  <si>
    <t>Mental health disordersÂ </t>
  </si>
  <si>
    <t>Preclinical</t>
  </si>
  <si>
    <t>Preclinical development to commence in early 2024, with IND submission planned in 2024, noted January 3, 2024.</t>
  </si>
  <si>
    <t>IFRX</t>
  </si>
  <si>
    <t>INF904</t>
  </si>
  <si>
    <t>Chronic Autoimmune and Inflammatory DiseasesÂ </t>
  </si>
  <si>
    <t>Phase 1 MAD results from 24 healthy volunteers showed that study was well tolerated in participants over the entire dose range and resulted in no safety signals of concern. The overall percentage of A</t>
  </si>
  <si>
    <t>GMI-1687</t>
  </si>
  <si>
    <t>Healthy volunteersÂ </t>
  </si>
  <si>
    <t>Phase 1a</t>
  </si>
  <si>
    <t>Phase 1a Initial results demonstrated that subcutaneous dosing achieved target therapeutic plasma concentration and linear pharmacokinetics with rapid renal clearance across all dosing levels, noted</t>
  </si>
  <si>
    <t>ADCT</t>
  </si>
  <si>
    <t>ADCT-601 (mipasetamab uzoptirine)</t>
  </si>
  <si>
    <t>Soft tissue sarcomas, pancreatic cancer and AXL-expressing non-small cell lung cancer (NSCLC)Â </t>
  </si>
  <si>
    <t>Preliminary Phase 1 data shows the maximum-tolerated dose has been reached, and the study is currently in dose optimization, noted Janaury 4, 2024.</t>
  </si>
  <si>
    <t>ADCT-901</t>
  </si>
  <si>
    <t>Solid tumorsÂ </t>
  </si>
  <si>
    <t>Program discontinued due to limited signs of efficacy in the dose escalation phase and to reallocate capital to prioritized programs, noted January 4, 2024.</t>
  </si>
  <si>
    <t>ALDX</t>
  </si>
  <si>
    <t>ADX-629</t>
  </si>
  <si>
    <t>SjÃ¶gren-Larsson Syndrome (SLS)Â </t>
  </si>
  <si>
    <t>Phase 2 biomarker results observed in adult cohort proposed expansion to include pediatric patients expected to be submitted to the FDA in the 1H 2024.</t>
  </si>
  <si>
    <t>ADX-246</t>
  </si>
  <si>
    <t>Systemic Immune-Mediated Diseases and atopic dermatitisÂ </t>
  </si>
  <si>
    <t>Phase 1 expanded to include patients with atopic dermatitis, noted Janaury 4, 2024.</t>
  </si>
  <si>
    <t>KNSA</t>
  </si>
  <si>
    <t>Abiprubart (KPL-404)</t>
  </si>
  <si>
    <t>Rheumatoid arthritisÂ </t>
  </si>
  <si>
    <t>Phase 2 trial met its primary endpoint, noted January 4, 2024.</t>
  </si>
  <si>
    <t>RYTM</t>
  </si>
  <si>
    <t>Bivamelagon (LB54640)</t>
  </si>
  <si>
    <t>Healthy overweight adultsÂ </t>
  </si>
  <si>
    <t>Phase 1 has shown targeted effect on MC4 receptor without hyperpigmentation, noted January 4, 2024.</t>
  </si>
  <si>
    <t>SNGX</t>
  </si>
  <si>
    <t>SGX302/hypericin sodium</t>
  </si>
  <si>
    <t>PsoriasisÂ </t>
  </si>
  <si>
    <t>Phase 2a</t>
  </si>
  <si>
    <t>Phase 2a data reported that two patients reached a disease status of "Almost Clear" represented by an Investigator Global Assessment (IGA) score of 1, noted January 4, 2024.</t>
  </si>
  <si>
    <t>PRTG</t>
  </si>
  <si>
    <t>IMM60 - (PORT-2)</t>
  </si>
  <si>
    <t>Refractory NSCLC &amp; MelanomaÂ </t>
  </si>
  <si>
    <t>Phase 2 paused after a review of Portage's funding requirements, noted January 4, 2024.</t>
  </si>
  <si>
    <t>MRK</t>
  </si>
  <si>
    <t>IMMP</t>
  </si>
  <si>
    <t>Eftilagimod alpha - INSIGHT-004</t>
  </si>
  <si>
    <t>Phase 1 dosing initiated, noted January 4, 2024.</t>
  </si>
  <si>
    <t>APLT</t>
  </si>
  <si>
    <t>AT-001 - (ARISE-HF)</t>
  </si>
  <si>
    <t>Diabetic cardiomyopathy (DbCM)Â </t>
  </si>
  <si>
    <t>Phase 3 topline data demonstrated that while a trend favored active treatment, the difference between active and placebo treated groups (0.30 ml/kg/min) was not statistically significant, noted Januar</t>
  </si>
  <si>
    <t>TBPH</t>
  </si>
  <si>
    <t>YUPELRI (revefenacin) - (PIFR-2)</t>
  </si>
  <si>
    <t>Chronic obstructive pulmonary disease (COPD)Â </t>
  </si>
  <si>
    <t>Phase 4 data reported that the trial did not show a statistically significant difference between YUPELRI and Spiriva HandiHaler on the primary endpoint, noted January 5, 2024.</t>
  </si>
  <si>
    <t>CVAC</t>
  </si>
  <si>
    <t>CV0601</t>
  </si>
  <si>
    <t>COVID-19 vaccineÂ </t>
  </si>
  <si>
    <t>Phase 2 data reported a meaningful immune responses and favorable reactogenicity profiles across all tested doses, including the lowest tested dose, noted January 5, 2024.</t>
  </si>
  <si>
    <t>GSK</t>
  </si>
  <si>
    <t>XMT-2056</t>
  </si>
  <si>
    <t>HER2-Expressing TumorsÂ </t>
  </si>
  <si>
    <t>Phase 1 clinical trial restarting; plan to advance dose escalation in 2024, noted January 5, 2024.</t>
  </si>
  <si>
    <t>MRSN</t>
  </si>
  <si>
    <t>FBIO</t>
  </si>
  <si>
    <t>Emrosi (Minocycline Hydrochloride ER Capsules, 40 mg) (DFD-29) - (MVOR-2)</t>
  </si>
  <si>
    <t>Papulopustular RosaceaÂ </t>
  </si>
  <si>
    <t>NDA Filing</t>
  </si>
  <si>
    <t>NDA submitted to the FDA, noted January 5, 2024.</t>
  </si>
  <si>
    <t>DERM</t>
  </si>
  <si>
    <t>NOVN</t>
  </si>
  <si>
    <t>ZELSUVMI (berdazimer topical gel)</t>
  </si>
  <si>
    <t>Molluscum ContagiosumÂ </t>
  </si>
  <si>
    <t>Approved</t>
  </si>
  <si>
    <t>FDA Approved on January 5, 2023.</t>
  </si>
  <si>
    <t>LGND</t>
  </si>
  <si>
    <t>PTHS</t>
  </si>
  <si>
    <t>VINC</t>
  </si>
  <si>
    <t>VIP236</t>
  </si>
  <si>
    <t>Phase 1 update observed that 15 patients have been treated, showing a promising safety profile and preliminary evidence of clinical activity with once every 3-week dosing, noted January 8, 2024.</t>
  </si>
  <si>
    <t>VIP943 (anti-CD123)</t>
  </si>
  <si>
    <t>Hematologic malignanciesÂ </t>
  </si>
  <si>
    <t>Phase 1 enrollment in the second cohort of the VIP943 trial is nearly complete. Preliminary pharmacokinetic results from the first cohort trial showed very little free payload in circulation, consiste</t>
  </si>
  <si>
    <t>Enitociclib (VIP152) in combination with venetoclax and prednisone - (NIH trial)</t>
  </si>
  <si>
    <t>Peripheral T-cell lymphoma (PTCL) and 2 double-hit diffuse large b-cell lymphoma (DH-DLBCL)Â </t>
  </si>
  <si>
    <t>Phase 1 preliminary data from investigators from the National Institutes of Health (NIH) reported 2 partial responses (PR) in 3 PTCL patients and 1 PR in DH-DLBCL in ongoing dose-escalation trial, not</t>
  </si>
  <si>
    <t>ARGX</t>
  </si>
  <si>
    <t>Empasiprubart (ARGX-117) - (ARDA)</t>
  </si>
  <si>
    <t>Multifocal motor neuropathy (MMN)Â </t>
  </si>
  <si>
    <t>Phase 2 topline data reported that treatment demonstrated a 91% reduction in the need for IVIg rescue compared to placebo, noted January 8, 2024.</t>
  </si>
  <si>
    <t>ABSI</t>
  </si>
  <si>
    <t>ABS-101</t>
  </si>
  <si>
    <t>Inflammatory bowel disease (IBD)Â </t>
  </si>
  <si>
    <t>Preclinical data support profile for development of a potential best-in-class drug. IND submission expected in 1Q 2025; Phase 1 trials anticipated to initiate shortly after, noted January 8, 2024.</t>
  </si>
  <si>
    <t>VERU</t>
  </si>
  <si>
    <t>Enobosarm with semaglutide (Wegovy) - (PLATEAU)</t>
  </si>
  <si>
    <t>ObesityÂ </t>
  </si>
  <si>
    <t>IND-Enabling</t>
  </si>
  <si>
    <t>IND submitted to the FDA, noted January 8, 2024.</t>
  </si>
  <si>
    <t>BIOR</t>
  </si>
  <si>
    <t>BT-600 + NaviCap Platform</t>
  </si>
  <si>
    <t>Ulcerative Colitis (UC)Â </t>
  </si>
  <si>
    <t>Phase 1 dosing initiated, noted January 8, 2024.</t>
  </si>
  <si>
    <t>ALT</t>
  </si>
  <si>
    <t>Pemvidutide - (MOMENTUM)</t>
  </si>
  <si>
    <t>Non-alcoholic steatohepatitis (NASH)/ (MASH) - Healthy, Overweight and Obese VolunteersÂ </t>
  </si>
  <si>
    <t>Phase 2 results presented at NASH-TAG Conference reported that treatment resulted in reductions of up to 76.4% in relative LFC, 15.2 IU/L in serum ALT, and 149.7ms in cT1 at 24 weeks January 6, 2024.</t>
  </si>
  <si>
    <t>CLRB</t>
  </si>
  <si>
    <t>Iopofosine (CLR 131) - (CLOVER-WaM)</t>
  </si>
  <si>
    <t>Waldenstromâ€™s macroglobulinemiaÂ </t>
  </si>
  <si>
    <t>Phase 2b</t>
  </si>
  <si>
    <t>Phase 2b trial met its primary endpoint, noted January 8, 2024.</t>
  </si>
  <si>
    <t>ITOS</t>
  </si>
  <si>
    <t>Belrestotug (EOS-448/GSK4428859A) - (TIG-007) + iberdomide</t>
  </si>
  <si>
    <t>Relapsed/refractory multiple myeloma (r/r MM)Â </t>
  </si>
  <si>
    <t>Phase 1/2 was deprioritized after trial assessment, noted January 8, 2024.</t>
  </si>
  <si>
    <t>BMY</t>
  </si>
  <si>
    <t>CLNN</t>
  </si>
  <si>
    <t>CNM-Au8 - (VISIONARY-MS)</t>
  </si>
  <si>
    <t>Multiple SclerosisÂ </t>
  </si>
  <si>
    <t>Phase 2 long term data demonstrated improvement of vision as measured by low contrast visual acuity (LCLA), noted Janaury 8, 2024.</t>
  </si>
  <si>
    <t>ABBV</t>
  </si>
  <si>
    <t>lutikizumab (ABT-981)</t>
  </si>
  <si>
    <t>Hidradenitis suppurativa (HS)Â </t>
  </si>
  <si>
    <t>Phase 2 300 mg weekly or 300 mg dose every other week showed higher response rates in HiSCR 50 at week 16 than those treated with placebo, noted January 8, 2024.</t>
  </si>
  <si>
    <t>OKYO</t>
  </si>
  <si>
    <t>urcosimod (OK-101)</t>
  </si>
  <si>
    <t>Dry Eye Disease (DED)Â </t>
  </si>
  <si>
    <t>Phase 2 data presented at the Biotech Showcase showed that dose was statistically significant drug effects were observed in FDA-recognized efficacy endpoints as early as the 15-day first visit after d</t>
  </si>
  <si>
    <t>NVO</t>
  </si>
  <si>
    <t>Icosema - (COMBINE 3)</t>
  </si>
  <si>
    <t>Type 2 diabetesÂ </t>
  </si>
  <si>
    <t>Phase 3a trial completed, noted January 8, 2024</t>
  </si>
  <si>
    <t>MNMD</t>
  </si>
  <si>
    <t>MM-120 (LSD)</t>
  </si>
  <si>
    <t>Attention Deficit Hyperactivity Disorder (ADHD)Â </t>
  </si>
  <si>
    <t>Phase 2a trial did not meet its primary endpoint, noted January 8, 2024.</t>
  </si>
  <si>
    <t>NRIX</t>
  </si>
  <si>
    <t>NX-2127</t>
  </si>
  <si>
    <t>B-cell malignancies, chronic lymphocytic leukemia (CLL)Â </t>
  </si>
  <si>
    <t>The company expects to resolve partial hold to enable the introduction of newly manufactured drug product into the ongoing Phase 1 clinical trial., noted January 8, 2024.</t>
  </si>
  <si>
    <t>INCB123667</t>
  </si>
  <si>
    <t>Late-stage cancers, ovarian cancerÂ </t>
  </si>
  <si>
    <t>Phase 1 early clinical activity was observed with several patients with amplified/overexpression of CCNE1, a cell cycle regulator and potential predictive biomarker, achieving partial response (PR), n</t>
  </si>
  <si>
    <t>Ruxolitinib Cream (Opzelura)</t>
  </si>
  <si>
    <t>Adults with hidradenitis suppurativa (HS)Â </t>
  </si>
  <si>
    <t>Phase 2 primary endpoint was met in its randomized, placebo-controlled study, noted on January 8, 2024.</t>
  </si>
  <si>
    <t>Scemblix - (ASC4FIRST)</t>
  </si>
  <si>
    <t>1L Chronic myeloid leukemia (CML)Â </t>
  </si>
  <si>
    <t>Phase 3 trial met its primary endpoint, noted January 8, 2024.</t>
  </si>
  <si>
    <t>CYBN</t>
  </si>
  <si>
    <t>CYB004 (IV) and SPL028 (IM)</t>
  </si>
  <si>
    <t>Generalized anxiety disorder (GAD)Â </t>
  </si>
  <si>
    <t>Intravenous (IV) CYB004 demonstrated robust and rapid-onset psychedelic effects at lower doses compared to native DMT, suggesting potential as a short-acting, scalable treatment. Intramuscular (IM) do</t>
  </si>
  <si>
    <t>FATE</t>
  </si>
  <si>
    <t>FT825/ONO-8250</t>
  </si>
  <si>
    <t>Solid TumorsÂ </t>
  </si>
  <si>
    <t>Phase 1 trial initiated, noted January 8, 2024.</t>
  </si>
  <si>
    <t>BPMC</t>
  </si>
  <si>
    <t>BLU-945 with osimertinib - (SYMPHONY)</t>
  </si>
  <si>
    <t>Treatment-resistant EGFR-driven NSCLCÂ </t>
  </si>
  <si>
    <t>Phase 1/2 discontinued investment based on the evolving external landscape, emerging clinical data and partnering considerations, noted January 8, 2024.</t>
  </si>
  <si>
    <t>BLU-451 - (CONCERTO)</t>
  </si>
  <si>
    <t>EGFR exon 20 insertion-positive NSCLCÂ </t>
  </si>
  <si>
    <t>SMMT</t>
  </si>
  <si>
    <t>Ivonescimab plus chemotherapy - (AK112-201)</t>
  </si>
  <si>
    <t>Non-small cell lung cancer (NSCLC)Â </t>
  </si>
  <si>
    <t>Phase 2 data reported that the 1-year overall survival rate was 85.6%, and the 2-year overall survival rate was 64.8% for patients in Cohort 1 with squamous histology NSCLC, noted January 8, 2024.</t>
  </si>
  <si>
    <t>ORIC</t>
  </si>
  <si>
    <t>ORIC-944</t>
  </si>
  <si>
    <t>Metastatic castration resistant prostate cancer (mCRPC)Â </t>
  </si>
  <si>
    <t>Phase 1b data demonstrated potential best-in-class profile, including half-life &gt;10 hours, robust target engagement and well tolerated safety profile, supporting advancement for combination developmen</t>
  </si>
  <si>
    <t>BMEA</t>
  </si>
  <si>
    <t>Icovamenib (BMF-219) - (COVALENT-112)</t>
  </si>
  <si>
    <t>Type 1 diabetes (T1D)Â </t>
  </si>
  <si>
    <t>Phase 2 was initiated, noted January 8, 2024.</t>
  </si>
  <si>
    <t>NUVB</t>
  </si>
  <si>
    <t>NUV-1511</t>
  </si>
  <si>
    <t>Advanced solid tumorsÂ </t>
  </si>
  <si>
    <t>IND cleared by FDA, noted January 8, 2024.</t>
  </si>
  <si>
    <t>AFMD</t>
  </si>
  <si>
    <t>AFM24-102 and TECENTRIQ (atezolizumab)</t>
  </si>
  <si>
    <t>EGFR Expressing Solid Tumors, Non-small cell lung cancer, and Gastric/gastroesophageal junction (GEJ) cancerÂ </t>
  </si>
  <si>
    <t>Phase 1/2a follow-up showed that three of the initially reported responses have now been confirmed (1 CR, 2 PR) and one still awaiting a confirmatory scan, noted January 8, 2024.</t>
  </si>
  <si>
    <t>AVIR</t>
  </si>
  <si>
    <t>Bemnifosbuvir (AT-527) - (SUNRISE-3)</t>
  </si>
  <si>
    <t>COVID-19Â </t>
  </si>
  <si>
    <t>Phase 3 8-week study showed a 98% SVR4, which exceeds our efficacy criterion of &gt;90% for continuing the study, noted January 8, 2024</t>
  </si>
  <si>
    <t>ELTX</t>
  </si>
  <si>
    <t>ELI-002 (AMPLIFY-201)</t>
  </si>
  <si>
    <t>Phase 1/2 data presented in a paper on Nature Medicine showed that ELI-002 administered as a monotherapy induced robust, polyfunctional, and durable KRAS specific CD4+ and CD8+ T cell responses. Tumor</t>
  </si>
  <si>
    <t>ALPMY</t>
  </si>
  <si>
    <t>Zolbetuximab</t>
  </si>
  <si>
    <t>HER2-negative gastric or gastroesophageal junction (GEJ) adenocarcinoma whose tumors are CLDN18.2-positiveÂ </t>
  </si>
  <si>
    <t>CRL</t>
  </si>
  <si>
    <t>CRL issued by the FDA on January 9, 2024.</t>
  </si>
  <si>
    <t>VCEL</t>
  </si>
  <si>
    <t>NexoBrid (CIDS)</t>
  </si>
  <si>
    <t>Severe burns - pediatricÂ </t>
  </si>
  <si>
    <t>sBLA filing review and accepted by the FDA, noted January 9, 2024.</t>
  </si>
  <si>
    <t>MDWD</t>
  </si>
  <si>
    <t>CRBP</t>
  </si>
  <si>
    <t>CRB-601</t>
  </si>
  <si>
    <t>IND cleared by the FDA, noted January 9, 2024</t>
  </si>
  <si>
    <t>ALC</t>
  </si>
  <si>
    <t>TRYPTYR (acoltremon ophthalmic solution) 0.003%</t>
  </si>
  <si>
    <t>Dry eye disease (DED)Â </t>
  </si>
  <si>
    <t>Phase 3 pivotal efficacy and safety study met the primary endpoint , noted January 9, 2024.</t>
  </si>
  <si>
    <t>AR-15512 (AVX-012) - (COMET-2)</t>
  </si>
  <si>
    <t>Dry eye diseaseÂ </t>
  </si>
  <si>
    <t>Emiltatug Ledadotin (XMT-1660) - (Emi-Le)</t>
  </si>
  <si>
    <t>Metastatic triple-negative breast cancer (TNBC)Â </t>
  </si>
  <si>
    <t>Phase 1 data reported that treatment was generally well tolerated, with no Grade 4 or 5 treatment-related adverse events (TRAEs) reported, noted January 10, 2025.</t>
  </si>
  <si>
    <t>FDMT</t>
  </si>
  <si>
    <t>4D-150 - (SPECTRA)</t>
  </si>
  <si>
    <t>Wet Age-Related Macular Degeneration (wet AMD)Â </t>
  </si>
  <si>
    <t>Phase 2 32-week interim data reported that 3E10 vg/eye achieved an 86% reduction in injection burden vs. projected on-label aflibercept 2mg Q8W and dose response with 61% reduction vs. 1E10 vg/eye, wi</t>
  </si>
  <si>
    <t>CMND</t>
  </si>
  <si>
    <t>CMND-100</t>
  </si>
  <si>
    <t>Alcohol use disorder (AUD)Â </t>
  </si>
  <si>
    <t>IND submitted March 16, 2023. Phase 1/2a trial sites selected noted May 22, 2023. Type A meeting completed, noted January 10, 2024.</t>
  </si>
  <si>
    <t>ACRS</t>
  </si>
  <si>
    <t>ATI-1777-AD-202</t>
  </si>
  <si>
    <t>Atopic dermatitisÂ </t>
  </si>
  <si>
    <t>Phase 2b topline data on ATI-1777 2% QD showed a trend toward significance, ATI-1777 2% BID achieved a statistically significant result in the primary efficacy endpoint at week 4, noted January 10, 2</t>
  </si>
  <si>
    <t>VYNE</t>
  </si>
  <si>
    <t>Repibresib Gel (VYN201)</t>
  </si>
  <si>
    <t>VitiligoÂ </t>
  </si>
  <si>
    <t>Phase 1b biomarker data reported a median reduction in MMP-9 of 40.8% in lesional skin compared to baseline for subjects in the 2.0% cohort, noted January 10, 2024.</t>
  </si>
  <si>
    <t>EYPT</t>
  </si>
  <si>
    <t>EYP-1901 - (VERONA)</t>
  </si>
  <si>
    <t>Diabetic macular edema (DME)Â </t>
  </si>
  <si>
    <t>Phase 2 dosing initiated, noted January 10, 2024.</t>
  </si>
  <si>
    <t>BPTH</t>
  </si>
  <si>
    <t>BP1002</t>
  </si>
  <si>
    <t>Refractory/relapsed lymphoma and chronic lymphocytic leukemiaÂ </t>
  </si>
  <si>
    <t>Phase 1 first cohort completed, noted January 10, 2024.</t>
  </si>
  <si>
    <t>SANA</t>
  </si>
  <si>
    <t>SC291 - (ARDENT)</t>
  </si>
  <si>
    <t>Solid tumors, B-cell lymphomas and leukemiasÂ </t>
  </si>
  <si>
    <t>Phase 1 early data discussed at the JPMorgan Healthcare Conference showed in a presentation that three patients saw at least a reduction in their disease while two patients had no detectable disease a</t>
  </si>
  <si>
    <t>KEYTRUDA with external beam radiotherapy (EBRT) plus concurrent chemotherapy - (KEYNOTE-A18)</t>
  </si>
  <si>
    <t>Cervical cancerÂ </t>
  </si>
  <si>
    <t>FDA Approved on January 12, 2024.</t>
  </si>
  <si>
    <t>ARQT</t>
  </si>
  <si>
    <t>ZORYVE (roflumilast) cream, 0.15%</t>
  </si>
  <si>
    <t>Additional Phase 3 data reported that at Week 4, a statistically significant greater percentage of patients achieved a 50% reduction in EASI scores (EASI-50), with 69.2% of patients treated with roflu</t>
  </si>
  <si>
    <t>ANIP</t>
  </si>
  <si>
    <t>Indomethacin Oral Suspension - (Indocin generic)</t>
  </si>
  <si>
    <t>Rheumatoid arthritis, ankylosing spondylitis, osteoarthritis, acute gouty arthritis, bursitis, and tendinitisÂ </t>
  </si>
  <si>
    <t>Approved January 16, 2024.</t>
  </si>
  <si>
    <t>CLR 121225 (225Ac-CLR 121225)</t>
  </si>
  <si>
    <t>PLE cancerÂ </t>
  </si>
  <si>
    <t>Preclinical data reported tumor volume reduction in a dose dependent manner with the highest dose providing near complete eradication of the tumor, noted January 16, 2024.</t>
  </si>
  <si>
    <t>ALLK</t>
  </si>
  <si>
    <t>Lirentelimab (AK002) - (MAVERICK)</t>
  </si>
  <si>
    <t>Chronic Spontaneous UrticariaÂ </t>
  </si>
  <si>
    <t>Phase 2b trial did not meet its primary endpoint, noted January 16, 2024.</t>
  </si>
  <si>
    <t>Lirentelimab (AK002) - (ATLAS)</t>
  </si>
  <si>
    <t>Atopic DermatitisÂ </t>
  </si>
  <si>
    <t>Phase 2 trial did not meet its primary endpoint, noted January 16, 2024.</t>
  </si>
  <si>
    <t>HALO</t>
  </si>
  <si>
    <t>HYQVIA (Immune Globulin Infusion 10% with Recombinant Human Hyaluronidase)</t>
  </si>
  <si>
    <t>Chronic inflammatory demyelinating polyradiculoneuropathy (CIDP)Â </t>
  </si>
  <si>
    <t>TAK</t>
  </si>
  <si>
    <t>CRSP</t>
  </si>
  <si>
    <t>CASGEVY (exagamglogene autotemcel [exa-cel]</t>
  </si>
  <si>
    <t>Beta-thalassemiaÂ </t>
  </si>
  <si>
    <t>FDA Approved on January 16, 2024.</t>
  </si>
  <si>
    <t>VRTX</t>
  </si>
  <si>
    <t>SRPT</t>
  </si>
  <si>
    <t>SRP-9003-301 - (EMERGENE)</t>
  </si>
  <si>
    <t>Limb-girdle muscular dystrophy type 2E (LGMD2E)Â </t>
  </si>
  <si>
    <t>Phase 3 screening initiated, noted January 16, 2024.</t>
  </si>
  <si>
    <t>BGNE</t>
  </si>
  <si>
    <t>DKN-01 with bevacizumab - (DeFianCe)</t>
  </si>
  <si>
    <t>Colorectal cancerÂ </t>
  </si>
  <si>
    <t>Phase 2 part B data due at ASCO GI on January 20, 2024. Phase 2 part A data showed a 30% ORR and 93% DCR across heterogenous second-line CRC patients. Subgroup analysis reveals greatest benefit in lef</t>
  </si>
  <si>
    <t>ONC</t>
  </si>
  <si>
    <t>LPTX</t>
  </si>
  <si>
    <t>RCUS</t>
  </si>
  <si>
    <t>AB680 + Zimberelimab (AB122) - (ARC-8)</t>
  </si>
  <si>
    <t>Pancreatic CancerÂ </t>
  </si>
  <si>
    <t>Phase 1 data showed a median overall survival was 15.7 months for all patients treated with 100 mg quemliclustat-based regimens in the ARC-8 study, which exceeds the historical benchmark data for chem</t>
  </si>
  <si>
    <t>ADAG</t>
  </si>
  <si>
    <t>muzastotug (ADG126) combined with KEYTRUDA (pembrolizumab) - (ADG126-P001/KEYNOTE-C98)</t>
  </si>
  <si>
    <t>Phase 1/2 data from first tranche of MSS CRC patients treated with ADG126 10 mg/kg every three weeks (Q3W) in dose expansion showed clinical benefit including confirmed responses at higher, more freq</t>
  </si>
  <si>
    <t>ACXP</t>
  </si>
  <si>
    <t>Ibezapolstat</t>
  </si>
  <si>
    <t>C. difficile InfectionÂ </t>
  </si>
  <si>
    <t>Phase 2b data showed that that ibezapolstat outperformed vancomycin, a standard of care to treat patients with CDI, with eradication of fecal C. difficile at Day 3 of treatment in 15 of 16 patients (9</t>
  </si>
  <si>
    <t>EVGN</t>
  </si>
  <si>
    <t>BMC128 with Opdivo</t>
  </si>
  <si>
    <t>Non-small cell lung cancer (NSCLC), melanoma or renal cell carcinomaÂ </t>
  </si>
  <si>
    <t>Phase 1 first patient dosed July 26, 2022. Phase 1 trial enrollment completed, noted January 17, 2024</t>
  </si>
  <si>
    <t>KANT</t>
  </si>
  <si>
    <t>KVA12123 with KEYTRUDA (pembrolizumab) - (VISTA-101)</t>
  </si>
  <si>
    <t>Phase 1/2 update reported that KVA12123 was well tolerated with no dose limiting toxicities (DLT) or cytokine related adverse events at any dose level, noted January 17, 2024.</t>
  </si>
  <si>
    <t>REGN</t>
  </si>
  <si>
    <t>Ateganosine (THIO-101)</t>
  </si>
  <si>
    <t>Phase 2 data reported a 100% preliminary disease control rate (DCR) in second-line and 88% in third-line, in highly difficult-to-treat patients who already progressed through previous lines of treatme</t>
  </si>
  <si>
    <t>MAIA</t>
  </si>
  <si>
    <t>LSTA</t>
  </si>
  <si>
    <t>LSTA1</t>
  </si>
  <si>
    <t>Glioblastoma multiforme (GBM)Â </t>
  </si>
  <si>
    <t>Phase 2a trial initiated, noted January 17, 2024.</t>
  </si>
  <si>
    <t>CATX</t>
  </si>
  <si>
    <t>212Pb-VMT01</t>
  </si>
  <si>
    <t>MC1R-positive metastatic melanomaÂ </t>
  </si>
  <si>
    <t>Phase 1/2 second dose escalation cohorts recruitment commenced, noted January 17, 2024.</t>
  </si>
  <si>
    <t>CNSP</t>
  </si>
  <si>
    <t>Berubicin</t>
  </si>
  <si>
    <t>Glioblastoma (GBM) (adult)Â </t>
  </si>
  <si>
    <t>Enrollment completed, noted January 17, 2024.</t>
  </si>
  <si>
    <t>PFE</t>
  </si>
  <si>
    <t>CRDF-004</t>
  </si>
  <si>
    <t>Metastatic colorectal cancer (mCRC)Â </t>
  </si>
  <si>
    <t>Phase 1b findings highlight the safety and promising efficacy of onvansertib in combination with standard-of-care, noted January 17, 2024.</t>
  </si>
  <si>
    <t>CRDF</t>
  </si>
  <si>
    <t>IXHL</t>
  </si>
  <si>
    <t>IHL-42X - (RePOSA)</t>
  </si>
  <si>
    <t>Obstructive sleep apnea (OSA)Â </t>
  </si>
  <si>
    <t>Phase 2/3 IRB approved protocol to asses drug in patients, noted January 17, 2024.</t>
  </si>
  <si>
    <t>PBLA</t>
  </si>
  <si>
    <t>CPP-1X (eflornithine)</t>
  </si>
  <si>
    <t>NeuroblastomaÂ </t>
  </si>
  <si>
    <t>Phase 1 data reported that 2 partial responses (PR), 4 minor responses (MR), 10 Stable disease (SD), 7 progressive disease (PD) and 1 unevaluable patient, noted January 18, 2024.</t>
  </si>
  <si>
    <t>MTVA</t>
  </si>
  <si>
    <t>DA-1241</t>
  </si>
  <si>
    <t>Metabolic dysfunction-associated steatohepatitis (MASH)Â </t>
  </si>
  <si>
    <t>Pre-clinical results demonstrated that once daily oral administration in rats, of sitagliptin alone (180 mg/kg/day), DA-1241 alone (100 mg/kg/day), or sitagliptin in combination with DA-1241 (up to 18</t>
  </si>
  <si>
    <t>CLDX</t>
  </si>
  <si>
    <t>Barzolvolimab - (CindU)</t>
  </si>
  <si>
    <t>Chronic inducible urticaria (CIndU), cold urticaria (ColdU) and symptomatic dermographism (SD), Chronic Spontaneous Urticaria (CSU)Â </t>
  </si>
  <si>
    <t>Phase 2 data reported that the trial met primary endpoint with clinically meaningful and statistically significant decreases in urticaria disease activity across multiple dose groups, noted January 18</t>
  </si>
  <si>
    <t>CHRS</t>
  </si>
  <si>
    <t>Casdozokitug (casdozo)</t>
  </si>
  <si>
    <t>Phase 2 data presented at ASCO GI demonstrated early activity with 38% objective response rate including three complete responses, noted January 18, 2024.</t>
  </si>
  <si>
    <t>DCPH</t>
  </si>
  <si>
    <t>QINLOCK (ripretinib) - (INTRIGUE)</t>
  </si>
  <si>
    <t>Gastrointestinal Stromal Tumors (GIST) - second-lineÂ </t>
  </si>
  <si>
    <t>Phase 3 long term data median overall survival of 35.5 months versus 31.5 months for sunitinib in the all-Patient intent-to treat-population, noted Janaury 18, 2024.</t>
  </si>
  <si>
    <t>ZLAB</t>
  </si>
  <si>
    <t>LUTATHERA (lutetium Lu 177) - (NETTER-P)</t>
  </si>
  <si>
    <t>Gastroenteropancreatic neuroendocrine tumors (GEP-NETs)Â </t>
  </si>
  <si>
    <t>Phase 3 data reported that treatment reduced the risk of disease progression or death by 72% as first-line therapy in patients with somatostatin receptor-positive (SSTR+) well-differentiated grade 2/3</t>
  </si>
  <si>
    <t>AZN</t>
  </si>
  <si>
    <t>IMFINZI (Durvalumab) + TACE - (EMERALD-1)</t>
  </si>
  <si>
    <t>Locoregional Hepatocellular carcinoma (HCC)Â </t>
  </si>
  <si>
    <t>Phase 3 data presented at ASCO GI reported that treatment reduced the risk of disease progression or death by 23% compared to TACE alone, noted January 19, 2024.</t>
  </si>
  <si>
    <t>SIMLANDI (adalimumab-ryvk) - (Humira biosimilar)</t>
  </si>
  <si>
    <t>Inflammatory diseasesÂ </t>
  </si>
  <si>
    <t>BsUFA</t>
  </si>
  <si>
    <t>FDA facility reinspection in Iceland has concluded, the company also received a form 483 with one observation, noted January 19, 2024. Alvotech believes it is in position to receive approval on BsUFA</t>
  </si>
  <si>
    <t>SELARSDI (ustekinumab-aekn) - (STELARA biosimilar)</t>
  </si>
  <si>
    <t>moderate to severe plaque psoriasis and for active psoriatic arthritis in adults and pediatric patients 6 years and older.Â </t>
  </si>
  <si>
    <t>Phase 1b results presented at the ASCO Gastrointestinal Cancers Symposium reported that a 37% reduction in risk of death and a 5.9-month improvement in mOS, noted January 19, 2024.</t>
  </si>
  <si>
    <t>Opdivo (nivolumab) plus Yervoy - (CheckMate -8HW)</t>
  </si>
  <si>
    <t>Microsatellite Instabilityâ€“High or Mismatch Repair Deficient Metastatic Colorectal CancerÂ </t>
  </si>
  <si>
    <t>Presentation of data reported that it demonstrated significant efficacy benefit compared to chemotherapy as first-line treatment in MSI-H/dMMR mCRC, noted January 20, 2023.</t>
  </si>
  <si>
    <t>Ampligen (rintatolimod) with Imfinzi (durvalumab) - (DURIPANC)</t>
  </si>
  <si>
    <t>Phase 1b/2 trial approved by Netherlands, noted June 27, 2023. Phase 1b/2 enrollment commenced January 22, 2024.</t>
  </si>
  <si>
    <t>AIM</t>
  </si>
  <si>
    <t>Phase 2b complete CNS clearance reported in one patient, noted January 22, 2024.</t>
  </si>
  <si>
    <t>TVRD</t>
  </si>
  <si>
    <t>KORSUVA (CR845/difelikefalin) oral - (KICK)</t>
  </si>
  <si>
    <t>Stage 3-4 Chronic Kidney Disease-Associated PruritusÂ </t>
  </si>
  <si>
    <t>Phase 3 trial was discontinued to focus resources on the notalgia paresthetica (NP) program, noted on January 22, 2024.</t>
  </si>
  <si>
    <t>SGMT</t>
  </si>
  <si>
    <t>Denifanstat - (FASCINATE-3)</t>
  </si>
  <si>
    <t>Nonalcoholic steatohepatitis (NASH)Â </t>
  </si>
  <si>
    <t>Phase 2b topline data reported NASH resolution without worsening of fibrosis with â‰¥2-point reduction in NAS (NAFLD Activity Score) in 36% of denifanstat-treated patients vs 13% with placebo (p=0.002),</t>
  </si>
  <si>
    <t>AGEN</t>
  </si>
  <si>
    <t>Neoadjuvant botensilimab plus balstilimab - (NEST-1)</t>
  </si>
  <si>
    <t>Phase 2 trial data presented at ASCO-GI showed a major tumor regression in 67.5% of patients. The study achieved durable elimination of ctDNA, a critical biomarker for cancer clearance and long-term d</t>
  </si>
  <si>
    <t>IONS</t>
  </si>
  <si>
    <t>DAWNZERA (Donidalorsen)</t>
  </si>
  <si>
    <t>Hereditary Angioedema (HAE)Â </t>
  </si>
  <si>
    <t>Phase 3 topline data met the primary endpoint with a statistically significant reduction in the rate of HAE attacks in patients treated every 4 weeks or patients treated every 8 weeks, noted January 2</t>
  </si>
  <si>
    <t>SEEL</t>
  </si>
  <si>
    <t>SLS-002</t>
  </si>
  <si>
    <t>Acute Suicidal Ideation and Behavior in patients with Major Depressive Disorder (ASIB in MDD)Â </t>
  </si>
  <si>
    <t>EoP2 minutes with FDA agreed that the primary endpoint in a Phase 3 trial could be the change from baseline in the Montgomery-Ã…sberg Depression Rating Scale (MADRS) total score at Day 16, rather than</t>
  </si>
  <si>
    <t>SPRB</t>
  </si>
  <si>
    <t>Tildacerfont - (CAHmelia-204)</t>
  </si>
  <si>
    <t>Congenital Adrenal Hyperplasia (good disease control)Â </t>
  </si>
  <si>
    <t>Phase 2b enrollment completed exceeding target enrollment (100/90), noted January 22, 2024.</t>
  </si>
  <si>
    <t>SXTP</t>
  </si>
  <si>
    <t>ARAKODA (tafenoquine)</t>
  </si>
  <si>
    <t>BabesiosisÂ </t>
  </si>
  <si>
    <t>Type C meeting with FDA on January 17, 2024, concluded that the company now plans to conduct a pivotal clinical study in support of a future indication, noted January 22, 2024.</t>
  </si>
  <si>
    <t>GILD</t>
  </si>
  <si>
    <t>Trodelvy (sacituzumab govitecan-hziy; SG) vs. docetaxel - (EVOKE-01)</t>
  </si>
  <si>
    <t>Phase 3 trial did not meet its primary endpoint, noted January 22, 2024.</t>
  </si>
  <si>
    <t>CRB-701 (SYS6002) with Pembrolizumab</t>
  </si>
  <si>
    <t>Solid tumors, Locally advanced or metastatic urothelial carcinomaÂ </t>
  </si>
  <si>
    <t>Phase 1 dose escalation data from 2024 ASCO GU reported an anti tumor responses across multiple doses were observed, with the first confirmed stable disease at 0.6mg/kg and the first confirmed partial</t>
  </si>
  <si>
    <t>ARTL</t>
  </si>
  <si>
    <t>ART26.12</t>
  </si>
  <si>
    <t>Chemotherapy-Induced PainÂ </t>
  </si>
  <si>
    <t>Preclinical data reported that ART26.12 (10 and 25 mg/kg BID for 15 days) with oxaliplatin prevented thermal hyperalgesia, mitigated mechanical allodynia, and attenuated OXA-induced weight loss, noted</t>
  </si>
  <si>
    <t>LLY</t>
  </si>
  <si>
    <t>AK-OTOF</t>
  </si>
  <si>
    <t>Hearing lossÂ </t>
  </si>
  <si>
    <t>Phase 1/2 clinical trial showed that hearing restoration was observed within 30 days of a single administration of AK-OTOF in the initial AK-OTOF-101 study participant, noted January 23, 2024.</t>
  </si>
  <si>
    <t>VNDA</t>
  </si>
  <si>
    <t>VCA-894A</t>
  </si>
  <si>
    <t>Charcot-Marie-Tooth disease, axonal, type 2S (CMT2S), caused by cryptic splice site variants within IGHMBP2Â </t>
  </si>
  <si>
    <t>Orphan drug designation, noted June 2, 2023. IND clearance by the FDA on January 23, 2024.</t>
  </si>
  <si>
    <t>HRTX</t>
  </si>
  <si>
    <t>ZYNRELEF (bupivacaine and meloxicam) extended-release</t>
  </si>
  <si>
    <t>Soft tissue and orthopedic surgical proceduresÂ </t>
  </si>
  <si>
    <t>FDA Approved on January 23, 2024.</t>
  </si>
  <si>
    <t>URGN</t>
  </si>
  <si>
    <t>ZUSDURI (VesiGel UGN-102 (mitomycin)) - (ENVISION)</t>
  </si>
  <si>
    <t>Low grade non-muscle invasive bladder cancer (LG-NMIBC)Â </t>
  </si>
  <si>
    <t>NDA was submitted to FDA on January 24, 2024</t>
  </si>
  <si>
    <t>ANVS</t>
  </si>
  <si>
    <t>Buntanetap</t>
  </si>
  <si>
    <t>Parkinson's Disease (PD)Â </t>
  </si>
  <si>
    <t>Phase 3 data release postponed due to ongoing data cleaning efforts to ensure the accuracy and reliability of the study results, noted January 24, 2024.</t>
  </si>
  <si>
    <t>ENSC</t>
  </si>
  <si>
    <t>PF614-MPAR-102 - (MPAR)</t>
  </si>
  <si>
    <t>Overdose ProtectionÂ </t>
  </si>
  <si>
    <t>Phase 1 data presented at the HEAL Initiative Scientific Meeting reported that the trial successfully met its overdose protection endpoints, noted January 25, 2024.</t>
  </si>
  <si>
    <t>SBP-101 in combination with Gemcitabine and Nab-Paclitaxel - (ASPIRE)</t>
  </si>
  <si>
    <t>Pancreatic Ductal Adenocarcinoma (PDA)Â </t>
  </si>
  <si>
    <t>Phase 2/3 enrollment exceeded 50% moving faster than expected, full enrollment anticipated 1Q 2025, noted January 25, 2024.</t>
  </si>
  <si>
    <t>VERA</t>
  </si>
  <si>
    <t>Atacicept - (ORIGIN 3)</t>
  </si>
  <si>
    <t>IgA NephropathyÂ </t>
  </si>
  <si>
    <t>Phase 2b OLE data reported a 59% reduction in Gd-IgA1, a reduction in the percentage of participants with hematuria to 41%, and a 47% reduction in UPCR in the PP analysis, noted January 25, 2024.</t>
  </si>
  <si>
    <t>CYTK</t>
  </si>
  <si>
    <t>Aficamten - (FOREST-HCM) (OLE)</t>
  </si>
  <si>
    <t>Non-obstructive hypertrophic cardiomyopathy (HCM)Â </t>
  </si>
  <si>
    <t>Phase 2 sub-study data reported statistically significant improvements in measures of cardiac structure and function including left ventricular mass index (-11.4 g/m2 Â±19.4, p=0.03), maximum left vent</t>
  </si>
  <si>
    <t>EXEL</t>
  </si>
  <si>
    <t>CABOMETYX (cabozantinib) and TECENTRIQ (atezolizumab) - (CONTACT-02)</t>
  </si>
  <si>
    <t>Castration-Resistant Prostate CancerÂ </t>
  </si>
  <si>
    <t>Phase 3 data presented at ASCO GU showed a reduction of the risk of disease progression or death by 35% in patients. While a trend toward OS improvement was observed, the data were immature and did no</t>
  </si>
  <si>
    <t>IPSEY</t>
  </si>
  <si>
    <t>SRRK</t>
  </si>
  <si>
    <t>SRK-439 with apitegromab - (EMBRAZE)</t>
  </si>
  <si>
    <t>Preclinical data supports the potential of SRK-439 to preserve lean muscle mass as part of healthy weight loss, noted January 25, 2024.</t>
  </si>
  <si>
    <t>PCSA</t>
  </si>
  <si>
    <t>NGC-Capecitabine (PCS6422)</t>
  </si>
  <si>
    <t>Gastrointestinal CancerÂ </t>
  </si>
  <si>
    <t>Phase 1b preliminary efficacy data reported that of the 11 cancer patients receiving one of the two highest doses of NGC-Cap, five have completed an efficacy evaluation at this time, and four of these</t>
  </si>
  <si>
    <t>EPIX</t>
  </si>
  <si>
    <t>EPI-7386 and XTANDI (enzalutamide)</t>
  </si>
  <si>
    <t>Castration-resistant prostate cancerÂ </t>
  </si>
  <si>
    <t>Phase 1/2 data due presented at ASCO GU reported that 88% of patients (14 of 16) achieved PSA50, 81% of patients (13 of 16) achieved PSA90, 69% of patients (11 of 16) achieved PSA90 in less than 90 da</t>
  </si>
  <si>
    <t>Dupixent (dupilumab)</t>
  </si>
  <si>
    <t>Eosinophilic esophagitis (EoE) in 1-11 year oldsÂ </t>
  </si>
  <si>
    <t>Approved January 25, 2024.</t>
  </si>
  <si>
    <t>SNY</t>
  </si>
  <si>
    <t>BMS-986365 (CC-94676) - (rechARge)</t>
  </si>
  <si>
    <t>Metastatic CRPCÂ </t>
  </si>
  <si>
    <t>Phase 1 data reported that treatment induces effective and durable suppression of AR signaling, overcomes resistance to existing AR pathway inhibitors (ARPI) therapies and shows promising clinical act</t>
  </si>
  <si>
    <t>Phase 1 dose escalation data from 2024 ASCO GU reported an ORR of 43% in the mixed tumor population, with no dose discontinuations or reductions in the study to date, noted January 26, 2024.</t>
  </si>
  <si>
    <t>KEYTRUDA (pembrolizumab) - (AMBASSADOR (A031501) KEYNOTE-123)</t>
  </si>
  <si>
    <t>Localized muscle-invasive urothelial carcinoma (MIUC)Â </t>
  </si>
  <si>
    <t>Phase 3 data reported that treatment doubled median DFS as adjuvant therapy versus observation â€“ 29 months versus 14 months, noted January 26, 2024.</t>
  </si>
  <si>
    <t>Opdivo Qvantig (nivolumab and hyaluronidase-nvhy) Injection</t>
  </si>
  <si>
    <t>Solid tumors, Metastatic clear cell renal cell carcinoma (ccRCC)Â </t>
  </si>
  <si>
    <t>Phase 3 results presented at ASCO GU reported that with subcutaneous nivolumab demonstrating an ORR of 24.2% vs. 18.2% with IV Opdivo, noted January 27, 2024.</t>
  </si>
  <si>
    <t>KEYTRUDA (KEYNOTE-564)</t>
  </si>
  <si>
    <t>Renal cell carcinoma (RCC)Â </t>
  </si>
  <si>
    <t>Additional Phase 3 data reported that treatment reduced the risk of disease recurrence or death by 32%, noted January 29, 2024.</t>
  </si>
  <si>
    <t>NNVC</t>
  </si>
  <si>
    <t>NV-CoV-2 (NV-387)</t>
  </si>
  <si>
    <t>RSV (Respiratory Syncytial Virus), Coronavirus, Smallpox/Mpox related Ectromelia virus infectionÂ </t>
  </si>
  <si>
    <t>Phase 1a/1b healthy subjects section of trial completed with no adverse events reported, noted January 29, 2024.</t>
  </si>
  <si>
    <t>GC012F</t>
  </si>
  <si>
    <t>Early-line treatment of multiple myeloma (ELMM).Â </t>
  </si>
  <si>
    <t>IND was cleared by the FDA on January 29, 2024.</t>
  </si>
  <si>
    <t>Phase 2b trial showed that 100% (5 of 5) of ibezapolstat-treated patients who agreed to observation for up to three months following Clinical Cure of CDI experienced no recurrence of infection, noted</t>
  </si>
  <si>
    <t>SRP-5051 - (MOMENTUM)</t>
  </si>
  <si>
    <t>Duchenne muscular dystrophyÂ </t>
  </si>
  <si>
    <t>Phase 2 data at target dose (~30 mg/kg), SRP-5051 dosed monthly resulted in mean dystrophin expression of 5.17% and mean exon skipping of 11.11% at 28 weeks (n=20), noted January 29, 2024.</t>
  </si>
  <si>
    <t>PALI</t>
  </si>
  <si>
    <t>PALI-2108</t>
  </si>
  <si>
    <t>Moderate-to-severe ulcerative colitis (UC)Â </t>
  </si>
  <si>
    <t>Preclinical data demonstrated PALI-2108 to be safe and well tolerated, noted January 29, 2024.</t>
  </si>
  <si>
    <t>GAMMAGARD LIQUID [Immune Globulin Infusion (Human) 10% solution]</t>
  </si>
  <si>
    <t>Adults with chronic inflammatory demyelinating polyneuropathy (CIDP)Â </t>
  </si>
  <si>
    <t>FDA Approved on January 29, 2024.</t>
  </si>
  <si>
    <t>LIXT</t>
  </si>
  <si>
    <t>LB-100 with doxorubicin</t>
  </si>
  <si>
    <t>Ovarian clear cell carcinoma (OCCC)Â </t>
  </si>
  <si>
    <t>Phase 1b/2 dosing was initiated, noted January 29, 2024.</t>
  </si>
  <si>
    <t>IKT</t>
  </si>
  <si>
    <t>Risvodetinib - (IkT-148009) - (201 trial)</t>
  </si>
  <si>
    <t>Parkinsonâ€™s diseaseÂ </t>
  </si>
  <si>
    <t>Phase 1 study published at Journal of Parkinson's Disease showed that data demonstrated that Risvodetinib was well tolerated up to 7 days of daily dosing with no serious adverse events in healthy volu</t>
  </si>
  <si>
    <t>KRBP</t>
  </si>
  <si>
    <t>Deltacel-01 - (KB-GDT-01)</t>
  </si>
  <si>
    <t>Stage 4 Metastatic Non-Small Cell Lung CancerÂ </t>
  </si>
  <si>
    <t>Phase 1 efficacy results from first patient reported a stabilization of the disease, indicating a preliminary progression-free survival of one and one-half months, noted January 29, 2024.</t>
  </si>
  <si>
    <t>AVT03-GL-P01 (denosumab) - (PROLIA Biosimilar, Xgeva Biosimilar)</t>
  </si>
  <si>
    <t>Osteoporosis in postmenopausal women and for bone loss in adult men and womenÂ </t>
  </si>
  <si>
    <t>Pk trial met its primary endpoints, noted January 29, 2024.</t>
  </si>
  <si>
    <t>Domvanalimab + zimberelimab vs. zimberelimab vs. chemotherapy - (ARC-10)</t>
  </si>
  <si>
    <t>Non Small Cell Lung Cancer (NSCLC)Â </t>
  </si>
  <si>
    <t>Phase 3 trial discontinued January 30, 2024.</t>
  </si>
  <si>
    <t>KURA</t>
  </si>
  <si>
    <t>Ziftomenib (in combination with SoC cytarabine/daunorubicin (7+3) and venetoclax/azacitidine (ven/aza))- (KOMET-007)</t>
  </si>
  <si>
    <t>Acute myeloid leukemia (AML)Â </t>
  </si>
  <si>
    <t>Phase 1 combinations demonstrated encouraging preliminary evidence of clinical activity in patients with refractory/relapsed disease after failure of other agents, including venetoclax, a setting with</t>
  </si>
  <si>
    <t>KYKOF</t>
  </si>
  <si>
    <t>SCYX</t>
  </si>
  <si>
    <t>SCY-247</t>
  </si>
  <si>
    <t>Pulmonary mucormycosisÂ </t>
  </si>
  <si>
    <t>Preclinical data reported that SCY-247 resulted in 40% and 50% survival at 21 days post infection for the intermediate (32 mg/kg) and high doses (48 mg/kg), respectively, compared to 0% survival in th</t>
  </si>
  <si>
    <t>ITRM</t>
  </si>
  <si>
    <t>ORLYNVAH (Oral Sulopenem)</t>
  </si>
  <si>
    <t>Uncomplicated urinary tract infections (uUTI)Â </t>
  </si>
  <si>
    <t>Phase 3 data met the primary endpoint of non-inferiority to augmentin; and demonstrated statistical superiority, noted January 30, 2024.</t>
  </si>
  <si>
    <t>Suzetrigine (VX-548)</t>
  </si>
  <si>
    <t>Acute Pain following bunionectomy or abdominoplasty surgeryÂ </t>
  </si>
  <si>
    <t>Phase 3 trial data reported a statistically significant improvement on the primary endpoint of the time-weighted sum of the pain intensity difference from 0 to 48 hours (SPID48) compared to placebo, n</t>
  </si>
  <si>
    <t>Sabatolimab (MBG453) - (STIMULUS)</t>
  </si>
  <si>
    <t>Myelodysplastic syndromes (MDS)Â </t>
  </si>
  <si>
    <t>Phase 3 trial did not meet its primary endpoint, noted January 31, 2024.</t>
  </si>
  <si>
    <t>OTLK</t>
  </si>
  <si>
    <t>ONS-5010 / LYTENAVA (bevacizumab-vikg) - (NORSE EIGHT)</t>
  </si>
  <si>
    <t>Wet age-related macular degeneration (wet AMD)Â </t>
  </si>
  <si>
    <t>Special Protocol Assessment (SPA) dosing initiated, noted January 31, 2024.</t>
  </si>
  <si>
    <t>Semaglutide - (STEP HFpEF)</t>
  </si>
  <si>
    <t>Heart failure with preserved ejection fraction (HFpEF) and obesity, Type 2 diabetesÂ </t>
  </si>
  <si>
    <t>Phase 3 reported that KCCQ-CSS estimated treatment difference between semaglutide 2.4 mg and placebo of 7.8, noted January 31, 2024.</t>
  </si>
  <si>
    <t>RHHBY</t>
  </si>
  <si>
    <t>Vabysmo - (BALATON)</t>
  </si>
  <si>
    <t>Macular edema due to branch and central retinal vein occlusion (BRVO and CRVO)Â </t>
  </si>
  <si>
    <t>Phase 3 data reported that patients who recieved Vabysmo as a first-line treatment gained 18.1 letters on the eye chart, while people switched from aflibercept to Vabysmo gained 18.8 letters, noted Fe</t>
  </si>
  <si>
    <t>EDAP</t>
  </si>
  <si>
    <t>Transrectal High-intensity focused ultrasound (TR-HIFU)</t>
  </si>
  <si>
    <t>Rectal Deep Infiltrating EndometriosisÂ </t>
  </si>
  <si>
    <t>Phase 3 enrolment completed, noted February 1, 2024.</t>
  </si>
  <si>
    <t>Attruby (Acoramidis) - (ATTRibute-CM)</t>
  </si>
  <si>
    <t>Amyloid cardiomyopathy (ATTR-CM)Â </t>
  </si>
  <si>
    <t>Additional Phase 3 data reported improved functions and quality of life at 30 months, noted February 2, 2024.</t>
  </si>
  <si>
    <t>BBIO</t>
  </si>
  <si>
    <t>LQDA</t>
  </si>
  <si>
    <t>L606 (liposomal treprostinil)</t>
  </si>
  <si>
    <t>Pulmonary arterial hypertension (PAH) and pulmonary hypertension associated with interstitial lung disease (PH-ILD)Â </t>
  </si>
  <si>
    <t>Open-label trial data presented at the Pulmonary Vascular Research Institute (PVRI) reported that treatment demonstrate sustained plasma levels up to 12 hours, supporting twice daily administration, n</t>
  </si>
  <si>
    <t>4D-150 - (PRISM)</t>
  </si>
  <si>
    <t>Wet age-related macular degeneration (AMD)Â </t>
  </si>
  <si>
    <t>Phase 2 data reported that the high dose 4D-150 resulted in an 89% reduction in the annualized anti-VEGF injection rate; 84% of patients received 0 or 1 injection, and 63% were injection-free through</t>
  </si>
  <si>
    <t>LCTX</t>
  </si>
  <si>
    <t>RG6501 - (OpRegen)</t>
  </si>
  <si>
    <t>Geographic atrophy (GA)Â </t>
  </si>
  <si>
    <t>Additional Phase 1/2a data presented at the Angiogenesis, Exudation, and Degeneration Meeting reported that all patients with extensive delivery to GA showed improvement in outer retinal structure on</t>
  </si>
  <si>
    <t>KOD</t>
  </si>
  <si>
    <t>KSI-501 (KSI-501ABC) - (DAYBREAK)</t>
  </si>
  <si>
    <t>Retinal diseases w/ inflammatory componentÂ </t>
  </si>
  <si>
    <t>Phase 1 trial initial data presented at the Angiogenesis, Exudation, and Degeneration reported that monthly dosing of KSI-501 was safe and well-tolerated, noted February 3, 2024.</t>
  </si>
  <si>
    <t>BRTX</t>
  </si>
  <si>
    <t>BRTX-100</t>
  </si>
  <si>
    <t>Chronic lumbar disc diseaseÂ </t>
  </si>
  <si>
    <t>Phase 2 initial data presented at ORS reported that Visual Analog Scale, Oswestry Disability Index, Roland Morris Disability Questionnaire, and Functional Rating Index collected at weeks 26 and 52 pos</t>
  </si>
  <si>
    <t>DURAVYU (EYP-1901) - (LUGANO)</t>
  </si>
  <si>
    <t>Phase 2 subgroup analysis reported numerical superiority in change in BCVA along with strong anatomic control compared to the aflibercept control group, noted February 5, 2024.</t>
  </si>
  <si>
    <t>OTL-203 - (HURCULES)</t>
  </si>
  <si>
    <t>Mucopolysaccharidosis type I (MPS-I)Â </t>
  </si>
  <si>
    <t>Global Phase 3 registrational trial enrolment initiated across the US and Europe, noted February 5, 2024.</t>
  </si>
  <si>
    <t>PLRX</t>
  </si>
  <si>
    <t>Bexotegrast (PLN-74809) - (INTEGRIS-PSC)</t>
  </si>
  <si>
    <t>Primary sclerosing cholangitis (PSC)Â </t>
  </si>
  <si>
    <t>Phase 2a data reported that 320 mg group met its primary and secondary endpoints demonstrating that bexotegrast was well tolerated over a 12-week treatment period, noted February 5, 2024.</t>
  </si>
  <si>
    <t>RANI</t>
  </si>
  <si>
    <t>RT-111 (RaniPill Containing Ustekinumab Biosimilar, CT-P43)</t>
  </si>
  <si>
    <t>Plaque psoriasis, active psoriatic arthritis, moderate to severe Crohn's disease, and moderate to severe ulcerative colitisÂ </t>
  </si>
  <si>
    <t>Phase 1 data showed that it well-tolerated and delivered ustekinumab with high bioavailability. Data provided clinical validation of our ability to successfully transform an injectable large molecule</t>
  </si>
  <si>
    <t>THAR</t>
  </si>
  <si>
    <t>TH104 (AV104)</t>
  </si>
  <si>
    <t>Primary biliary cholangitis (PBC)Â </t>
  </si>
  <si>
    <t>Phase 1 dosing of first patient completed, noted February 5, 2024.</t>
  </si>
  <si>
    <t>ARCT</t>
  </si>
  <si>
    <t>Kostaive (ARCT-154)</t>
  </si>
  <si>
    <t>COVID-19 variant vaccineÂ </t>
  </si>
  <si>
    <t>Phase 3 results demonstrated continuous advantage of sa-mRNA over conventional mRNA vaccine in terms of duration of immune response, noted February 5, 2024.</t>
  </si>
  <si>
    <t>CSLLY</t>
  </si>
  <si>
    <t>AIMD</t>
  </si>
  <si>
    <t>VELDONA</t>
  </si>
  <si>
    <t>Mild COVID-19Â </t>
  </si>
  <si>
    <t>Company submitted the clinical hold complete response to the FDA for conducting a Phase 2 trial of its low-dose oral interferon (IFN)-alpha formulation, noted February 5, 2024.</t>
  </si>
  <si>
    <t>VX-121/tezacaftor/VX-561 - (SKYLINE-102)</t>
  </si>
  <si>
    <t>Cystic FibrosisÂ </t>
  </si>
  <si>
    <t>Phase 3 study met all primary and key secondary endpoints in two randomized controlled trials in people with CF ages 12 years and older, noted February 5, 2024.</t>
  </si>
  <si>
    <t>Blenrep</t>
  </si>
  <si>
    <t>Multiple myelomaÂ </t>
  </si>
  <si>
    <t>Additional Phase 3 data reported a 59% reduction in risk of disease progression or death, noted February 6, 2024.</t>
  </si>
  <si>
    <t>SGMO</t>
  </si>
  <si>
    <t>Civaparvovec (ST-920) - (STAAR)</t>
  </si>
  <si>
    <t>Fabry diseaseÂ </t>
  </si>
  <si>
    <t>Phase 1/2 clinical data reported a statistically significant improvements in disease severity were reported in the Fabry Outcome Survey adaptation of the Mainz Severity Score Index (FOS-MSSI) age-adju</t>
  </si>
  <si>
    <t>Tirzepatide - (SYNERGY-NASH)</t>
  </si>
  <si>
    <t>Nonalcoholic steatohepatitis (NASH), Metabolic dysfunction-associated steatohepatitis (MASH)Â </t>
  </si>
  <si>
    <t>Phase 2 trial met its primary endpoint, noted February 6, 2024.</t>
  </si>
  <si>
    <t>GANX</t>
  </si>
  <si>
    <t>GT-02287, GT-02329</t>
  </si>
  <si>
    <t>GBA1 and Idiopathic Parkinson's DiseaseÂ </t>
  </si>
  <si>
    <t>Preclinical data presented at the WORLDSymposium reported that GT-02287 restored motor function in a mouse model, even following a delayed administration of the drug candidate after the initial toxic</t>
  </si>
  <si>
    <t>VERZENIO (Abemaciclib) - (CYCLONE-2)</t>
  </si>
  <si>
    <t>Prostate CancerÂ </t>
  </si>
  <si>
    <t>Phase 3 trial was not successful, noted February 6, 2024.</t>
  </si>
  <si>
    <t>ABEO</t>
  </si>
  <si>
    <t>UX111 - (ABO-102)</t>
  </si>
  <si>
    <t>Sanfilippo syndrome type A (MPS IIIA)Â </t>
  </si>
  <si>
    <t>Phase 1/2 presented at the WORLDSymposium demonstrated treatment resulted in rapid and sustained decreased levels of heparan sulfate, noted February 6, 2024.</t>
  </si>
  <si>
    <t>RARE</t>
  </si>
  <si>
    <t>INKT</t>
  </si>
  <si>
    <t>AGENT-797</t>
  </si>
  <si>
    <t>Acute respiratory distress (ARDS) secondary to COVID-19Â </t>
  </si>
  <si>
    <t>Phase 1/2 data showed that agenT-797 holds significant promise in improving patient survival and reducing secondary infections, all while maintaining a favorable safety profile, noted February 6, 2024</t>
  </si>
  <si>
    <t>Libtayo (cemiplimab-rwlc)</t>
  </si>
  <si>
    <t>High-risk cutaneous squamous cell carcinoma (CSCC) after surgeryÂ </t>
  </si>
  <si>
    <t>Phase 3 data from ASCO reported a 68% reduction in the risk of disease recurrence or death, noted June 2, 2025.</t>
  </si>
  <si>
    <t>HCM</t>
  </si>
  <si>
    <t>Fruquintinib and Paclitaxel - (FRUTIGA)</t>
  </si>
  <si>
    <t>Gastric CancerÂ </t>
  </si>
  <si>
    <t>Phase 3 data presented at ASCO plenary series noted that the median PFS for patients who received fruquintinib plus paclitaxel was 5.6 months, compared to 2.7 months for those who received paclitaxel</t>
  </si>
  <si>
    <t>RGNX</t>
  </si>
  <si>
    <t>RGX-202 - (AFFINITY DUCHENNE)</t>
  </si>
  <si>
    <t>Duchenne Muscular Dystrophy (DMD)Â </t>
  </si>
  <si>
    <t>Phase 1/2 dose 2 levels completed; additionally, the company reported interim safety and efficacy data where the third patient at dose level 1 demonstrates the largest increase in microdystrophin expr</t>
  </si>
  <si>
    <t>VRPX</t>
  </si>
  <si>
    <t>Probudur</t>
  </si>
  <si>
    <t>Post-operative painÂ </t>
  </si>
  <si>
    <t>Phase 2 initial data reported that two doses of Probudur showed reduction in incision-induced pain behaviors, noted February 7, 2023.</t>
  </si>
  <si>
    <t>BCTX</t>
  </si>
  <si>
    <t>Bria-IMT - (BRIA-ABC)</t>
  </si>
  <si>
    <t>Advanced breast cancerÂ </t>
  </si>
  <si>
    <t>Additional Phase 2 data reported a disease control rate of 50%, noted February 7, 2024.</t>
  </si>
  <si>
    <t>ALEC</t>
  </si>
  <si>
    <t>Latozinemab (AL001) - (INFRONT-3)</t>
  </si>
  <si>
    <t>Frontotemporal DementiaÂ </t>
  </si>
  <si>
    <t>Breakthrough Therapy Designation granted by the FDA, noted February 7, 2024</t>
  </si>
  <si>
    <t>SAVA</t>
  </si>
  <si>
    <t>Simufilam (PTI-125) - (RETHINK-ALZ)</t>
  </si>
  <si>
    <t>Phase 3 24-month data reported that treated patients scores declined by an average of 1.04 points on ADAS-Cog11, noted February 7, 2024.</t>
  </si>
  <si>
    <t>clemidsogene lanparvovec (RGX-121) - (CAMPSIITE)</t>
  </si>
  <si>
    <t>MPS II (Hunter Syndrome)Â </t>
  </si>
  <si>
    <t>Phase 3 topline data reported that trial met primary endpoint, noted February 7, 2024.</t>
  </si>
  <si>
    <t>DNLI</t>
  </si>
  <si>
    <t>DNL126</t>
  </si>
  <si>
    <t>MPS IIIA (Sanfilippo syndrome Type A)Â </t>
  </si>
  <si>
    <t>Preclinical mouse-model data shared at the WORLDSymposium reported that ETV:SGSH lowered substrate accumulation in the CNS and improved cognitive deficits, noted February 7, 2024.</t>
  </si>
  <si>
    <t>Tividenofusp alfa (DNL310) - (COMPASS)</t>
  </si>
  <si>
    <t>Hunter syndrome MPS IIÂ </t>
  </si>
  <si>
    <t>Phase 1/2 data at WORLDSymposium showed additional improvement and stabilization in clinical outcomes in MPS II with 104 weeks of tividenofusp alfa (DNL310) treatment in the open-label, single-arm stu</t>
  </si>
  <si>
    <t>AL101/GSK4527226 - (PROGRESS-AD)</t>
  </si>
  <si>
    <t>Early Alzheimer's disease (AD)Â </t>
  </si>
  <si>
    <t>Phase 2 dosing initiated, noted February 8, 2024.</t>
  </si>
  <si>
    <t>ADVM</t>
  </si>
  <si>
    <t>Ixo-vec (ixoberogene soroparvovec, ADVM-022) - (ARTEMIS)</t>
  </si>
  <si>
    <t>Phase 2 data presented at the Macula Society Annual Meeting on the 2E11 and 6E10 doses demonstrated maintenance of visual and anatomic outcomes, noted February 8, 2024.</t>
  </si>
  <si>
    <t>Ampligen (AMP-518)</t>
  </si>
  <si>
    <t>Post-COVID conditionsÂ </t>
  </si>
  <si>
    <t>ase 2 efficacy results offer preliminary evidence that Ampligen may reduce fatigue in subjects with Post-COVID conditions. Safety results showed Ampligen is generally well tolerated in the treatment o</t>
  </si>
  <si>
    <t>BDRX</t>
  </si>
  <si>
    <t>MTX110 - (MAGIC-G1)</t>
  </si>
  <si>
    <t>Recurrent Glioblastoma (GBM)Â </t>
  </si>
  <si>
    <t>Phase 1 PFS data reported that one patient had a survival rate of 12 months from the start of treatment, while 3 patients remain in the study, noted February 8, 2024.</t>
  </si>
  <si>
    <t>AMLX</t>
  </si>
  <si>
    <t>AMX0035 - (HELIOS)</t>
  </si>
  <si>
    <t>Wolfram SyndromeÂ </t>
  </si>
  <si>
    <t>Phase 2 enrollment completed, noted February 8, 2024.</t>
  </si>
  <si>
    <t>ATH-1105</t>
  </si>
  <si>
    <t>Amyotrophic Lateral Sclerosis (ALS)Â </t>
  </si>
  <si>
    <t>Preclinical data reported that ATH-1105 treatment results in significant, consistent beneficial effects both in cell culture and in vivo models of ALS, noted February 8, 2024.</t>
  </si>
  <si>
    <t>Oveporexton (TAK-861-2001)</t>
  </si>
  <si>
    <t>Narcolepsy type 1 (NT1)Â </t>
  </si>
  <si>
    <t>Phase 2b trial met its primary and secondary endpoints, noted February 9, 2024.</t>
  </si>
  <si>
    <t>CNTA</t>
  </si>
  <si>
    <t>SerpinPC - (PRESent-3)</t>
  </si>
  <si>
    <t>Hemophilia BÂ </t>
  </si>
  <si>
    <t>Phase 2a data presented at EAHAD reinforce confidence in SerpinPC's novel mechanism of action as we continue to advance the registrational studies, noted February 9, 2024.</t>
  </si>
  <si>
    <t>Urcosimod (OK-101)</t>
  </si>
  <si>
    <t>Neuropathic corneal pain (NCP)Â </t>
  </si>
  <si>
    <t>IND cleared by the FDA, noted February 9, 2024.</t>
  </si>
  <si>
    <t>NRXP</t>
  </si>
  <si>
    <t>NRX-101</t>
  </si>
  <si>
    <t>Bipolar Depression and Suicidal IdeationÂ </t>
  </si>
  <si>
    <t>hase 2b/3 enrollment completed, noted February 9, 2024.</t>
  </si>
  <si>
    <t>IRON</t>
  </si>
  <si>
    <t>MWTX-003 - (DISC-3405)</t>
  </si>
  <si>
    <t>Polycythemia vera (PV)Â </t>
  </si>
  <si>
    <t>Orphan drug designation granted by the FDA on February 9, 2024</t>
  </si>
  <si>
    <t>ANTX</t>
  </si>
  <si>
    <t>EBO-301</t>
  </si>
  <si>
    <t>Treatment-Refractory MAC Lung DiseaseÂ </t>
  </si>
  <si>
    <t>Phase 2/3 enrollment voluntary pause enables time to evaluate study data further and for the independent DSMB to conduct an unblinded assessment and recommend next steps, which could include changes t</t>
  </si>
  <si>
    <t>CSL112 -(AEGIS-II)</t>
  </si>
  <si>
    <t>Acute myocardial infarction (AMI)Â </t>
  </si>
  <si>
    <t>Phase 3 study did not meet its primary endpoint, noted February 12, 2024.</t>
  </si>
  <si>
    <t>LRMR</t>
  </si>
  <si>
    <t>Nomlabofusp (CTI-1601)</t>
  </si>
  <si>
    <t>Friedreichâ€™s ataxia (FA)Â </t>
  </si>
  <si>
    <t>Phase 2 study showed that treatment was generally well tolerated following repeated subcutaneous injections in patients in the 25 and 50 mg cohorts with no serious adverse events, noted February 12, 2</t>
  </si>
  <si>
    <t>BTAI</t>
  </si>
  <si>
    <t>BXCL701 and KEYTRUDA (pembrolizumab)</t>
  </si>
  <si>
    <t>Neuroendocrine Prostate Cancer (NEPC)Â </t>
  </si>
  <si>
    <t>Fast Track designation granted by the FDA on February 12, 2024.</t>
  </si>
  <si>
    <t>PYPD</t>
  </si>
  <si>
    <t>D-PLEX100 - (SHIELD II)</t>
  </si>
  <si>
    <t>Surgical Site InfectionÂ </t>
  </si>
  <si>
    <t>Phase 3 trial 100th patient enrollment, noted February 12, 2024.</t>
  </si>
  <si>
    <t>NUVL</t>
  </si>
  <si>
    <t>Neladalkib (NVL-655) - (ALKove-1)</t>
  </si>
  <si>
    <t>ALK non-small cell lung cancer (NSCLC)Â </t>
  </si>
  <si>
    <t>Phase 1/2 trial initiated, noted February 12, 2024.</t>
  </si>
  <si>
    <t>EOHILIA (budesonide oral suspension)</t>
  </si>
  <si>
    <t>People 11 years and older with eosinophilic esophagitis (EoE)Â </t>
  </si>
  <si>
    <t>FDA approved on February 12, 2024.</t>
  </si>
  <si>
    <t>JAGX</t>
  </si>
  <si>
    <t>Mytesi (crofelemer)</t>
  </si>
  <si>
    <t>Moderate-to-severe diarrhea including Vibrio choleraeÂ </t>
  </si>
  <si>
    <t>Orphan Drug Designation (ODD) submited to the FDA, noted February 12, 2024.</t>
  </si>
  <si>
    <t>Type-D meeting with the FDA agreed in a that data from a single, adequate, and well-controlled study may form the primary basis of approval of a BLA for isaralgagene civaparvovec, noted February 12, 2</t>
  </si>
  <si>
    <t>TNXP</t>
  </si>
  <si>
    <t>TNX-102 SL - (OASIS)</t>
  </si>
  <si>
    <t>Acute stress reaction (ASR), acute stress disorder (ASD), and posttraumatic stress disorder (PTSD)Â </t>
  </si>
  <si>
    <t>FDA Cleared IND on February 12, 2024.</t>
  </si>
  <si>
    <t>ANIX</t>
  </si>
  <si>
    <t>Chimeric endocrine receptor T-cell (CER-T)</t>
  </si>
  <si>
    <t>Ovarian CancerÂ </t>
  </si>
  <si>
    <t>Phase 1 2nd cohort dosing initiated, noted February 12, 2024.</t>
  </si>
  <si>
    <t>KTRA</t>
  </si>
  <si>
    <t>REM-001</t>
  </si>
  <si>
    <t>Cutaneous Metastatic Breast Cancer (CMBC)Â </t>
  </si>
  <si>
    <t>Phase 3 was initiated, noted February 12, 2024.</t>
  </si>
  <si>
    <t>4D-310 - (INGLAXA)</t>
  </si>
  <si>
    <t>Fabry DiseaseÂ </t>
  </si>
  <si>
    <t>Phase 1/2 interim data presented at the WORLDSymposium 2024 demonstrated clinically meaningful cardiac endpoint improvements through 12-24 months in contractility (echocardiography), peak VO2 (cardiop</t>
  </si>
  <si>
    <t>PHRRF</t>
  </si>
  <si>
    <t>KETARX (ketamine)</t>
  </si>
  <si>
    <t>Surgical pain managementÂ </t>
  </si>
  <si>
    <t>ANDA Filing</t>
  </si>
  <si>
    <t>ANDA continues to be under review by the FDA and has provided preliminary thoughts on possible deficiencies identified by Quality, noted February 12, 2024.</t>
  </si>
  <si>
    <t>BMRN</t>
  </si>
  <si>
    <t>Valoctocogene roxaparvovec (BMN 270-303) - (GENEr8-3)</t>
  </si>
  <si>
    <t>Hemophilia AÂ </t>
  </si>
  <si>
    <t>Phase 3 trial data presented at EAHAD after liver biopsy analysis suggests efficient hepatocyte transduction occurred, noted February 9, 2024.</t>
  </si>
  <si>
    <t>KRYS</t>
  </si>
  <si>
    <t>KB707 - (KYANITE-1)</t>
  </si>
  <si>
    <t>The FDA cleared IND and granted fast-track designation on February 13, 2024.</t>
  </si>
  <si>
    <t>KALV</t>
  </si>
  <si>
    <t>EKTERLY (sebetralstat)</t>
  </si>
  <si>
    <t>Phase 3 clinical trial met all primary and key secondary endpoints and demonstrated a favorable safety profile, noted February 13, 2024.</t>
  </si>
  <si>
    <t>CADL</t>
  </si>
  <si>
    <t>CAN-3110</t>
  </si>
  <si>
    <t>GliomaÂ </t>
  </si>
  <si>
    <t>Fast track designation granted by the FDA on February 13, 2024.</t>
  </si>
  <si>
    <t>AST-OPC1 SCiSTAR - (DOSED)</t>
  </si>
  <si>
    <t>Cervical spinal cord injuryÂ </t>
  </si>
  <si>
    <t>INDa cleared by the FDA on February 13, 2024.</t>
  </si>
  <si>
    <t>RCKT</t>
  </si>
  <si>
    <t>KRESLADI (marnetegragene autotemcel)</t>
  </si>
  <si>
    <t>Leukocyte Adhesion Deficiency-I (LAD-I)Â </t>
  </si>
  <si>
    <t>PDUFA</t>
  </si>
  <si>
    <t>PDUFA date extended by 3 months to June 30, 2024.</t>
  </si>
  <si>
    <t>CALC</t>
  </si>
  <si>
    <t>Auxora - (KOURAGE)</t>
  </si>
  <si>
    <t>Acute kidney injury (AKI) with associated acute hypoxemic respiratory failure (AHRF)Â </t>
  </si>
  <si>
    <t>IND cleared by the FDA, noted February 13, 2024.</t>
  </si>
  <si>
    <t>ROIV</t>
  </si>
  <si>
    <t>RVT-2001</t>
  </si>
  <si>
    <t>Transfusion-Dependent Anemia in Patients with Lower-Risk MDSÂ </t>
  </si>
  <si>
    <t>Phase 1/2 development discontinued after interim data analysis.</t>
  </si>
  <si>
    <t>PTIX</t>
  </si>
  <si>
    <t>PT00114</t>
  </si>
  <si>
    <t>Major Depressive Disorder (MDD) / Generalized Anxiety Disorder (GAD) / Post-Traumatic Stress Disorder (PTSD)Â </t>
  </si>
  <si>
    <t>Phase 1/2 demonstrated safety at a low dose of 125 micrograms in the initial cohort of patients, with zero reported adverse reactions among subjects, noted February 13, 2024.</t>
  </si>
  <si>
    <t>PBYI</t>
  </si>
  <si>
    <t>Alisertib - (PUMA-ALI-4201) - (ALISCA-Lung1)</t>
  </si>
  <si>
    <t>Small Cell Lung Cancer (SCLC)Â </t>
  </si>
  <si>
    <t>Phase 2 was initiated, noted on February 13, 2024.</t>
  </si>
  <si>
    <t>OCUL</t>
  </si>
  <si>
    <t>AXPAXLI (OTX-TKI) - (SOL-1)</t>
  </si>
  <si>
    <t>Wet Age-related Macular Degeneration (AMD)Â </t>
  </si>
  <si>
    <t>Phase 3 first three subjects have been screened and dosed with first aflibercept injection, noted February 13, 2024.</t>
  </si>
  <si>
    <t>MACK</t>
  </si>
  <si>
    <t>Onivyde (NALIRIFOX)</t>
  </si>
  <si>
    <t>Pancreatic cancerÂ </t>
  </si>
  <si>
    <t>FDA Approved on February 13, 2024.</t>
  </si>
  <si>
    <t>Eohilia (formerly TAK-721)</t>
  </si>
  <si>
    <t>Eosinophilic esophagitisÂ </t>
  </si>
  <si>
    <t>Approved February 13, 2024.</t>
  </si>
  <si>
    <t>OPT</t>
  </si>
  <si>
    <t>Sozinibercept (OPT-302) with Aflibercept - (COAST)</t>
  </si>
  <si>
    <t>Age-related macular degeneration (AMD)Â </t>
  </si>
  <si>
    <t>Phase 3 patient enrollment completed, noted February 14, 2024.</t>
  </si>
  <si>
    <t>Phase 1 initiated, noted February 14, 2024.</t>
  </si>
  <si>
    <t>DTIL</t>
  </si>
  <si>
    <t>PBGENE-HBV - (ELIMINATE-B)</t>
  </si>
  <si>
    <t>Chronic Hepatitis B Virus (HBV)Â </t>
  </si>
  <si>
    <t>Pre-IND meeting with FDA provided feedback on overall design for the proposed first-in-human clinical study as well as feedback on the toxicology and specificity assessments, noted February 14, 2024.</t>
  </si>
  <si>
    <t>GLSI</t>
  </si>
  <si>
    <t>GP2 (GLSI-100) - (FLAMINGO-01)</t>
  </si>
  <si>
    <t>HER2 positive breast cancerÂ </t>
  </si>
  <si>
    <t>DSMB recommended to continue the study as is without modification. No serious adverse events related to GLSI-100 have been reported to date, noted February 14 2024.</t>
  </si>
  <si>
    <t>ARVN</t>
  </si>
  <si>
    <t>Vepdegestrant (ARV-471) - (TACTIVE-U)</t>
  </si>
  <si>
    <t>Phase 1b umbrella trial combination to be initiated in other arms, noted February 14, 2024.</t>
  </si>
  <si>
    <t>Phase 1b/2 dosing commenced on February 14, 2024.</t>
  </si>
  <si>
    <t>ATRA</t>
  </si>
  <si>
    <t>ATA3219</t>
  </si>
  <si>
    <t>B-cell non-Hodgkin's lymphoma (NHL), Lupus NephritisÂ </t>
  </si>
  <si>
    <t>IND submitted to the FDA, noted February 14, 2024.</t>
  </si>
  <si>
    <t>Buntanetap (ANVS401)</t>
  </si>
  <si>
    <t>Alzheimerâ€™s disease (AD)Â </t>
  </si>
  <si>
    <t>Phase 2/3 last patient completed, noted February 14, 2024.</t>
  </si>
  <si>
    <t>SILO</t>
  </si>
  <si>
    <t>SP-26</t>
  </si>
  <si>
    <t>Fibromyalgia / Chornic painÂ </t>
  </si>
  <si>
    <t>The preclinical study demonstrated successful drug delivery, noted February 14, 2024.</t>
  </si>
  <si>
    <t>Botensilimab plus balstilimab, agenT-797</t>
  </si>
  <si>
    <t>Gastric cancerÂ </t>
  </si>
  <si>
    <t>Phase 2 trial initiated, noted February 14, 2024.</t>
  </si>
  <si>
    <t>AMPE</t>
  </si>
  <si>
    <t>OA-201</t>
  </si>
  <si>
    <t>OsteoarthritisÂ </t>
  </si>
  <si>
    <t>Preclinical efficacy results from recently completed pre-IND enabling studies with OA-201 reported that the efficacy results of these studies do not support an Investigational New Drug (IND) submissio</t>
  </si>
  <si>
    <t>MESO</t>
  </si>
  <si>
    <t>Revascor (Rexlemestrocel-L) - (DREAM-HF)</t>
  </si>
  <si>
    <t>Heart failureÂ </t>
  </si>
  <si>
    <t>Orphan drug designation was granted on February 14, 2024.</t>
  </si>
  <si>
    <t>RPTX</t>
  </si>
  <si>
    <t>RP-1664 - (LIONS)</t>
  </si>
  <si>
    <t>Adult and adolescent with TRIM37-high tumor cells to treat Solid TumorsÂ </t>
  </si>
  <si>
    <t>Phase 1 dosing initiated, noted February 15, 2024.</t>
  </si>
  <si>
    <t>govorestat (AT-007) - (INSPIRE)</t>
  </si>
  <si>
    <t>Sorbitol Dehydrogenase Deficiency (SORD Deficiency)Â </t>
  </si>
  <si>
    <t>Phase 3 study met the interim primary endpoint, noted February 15, 2024.</t>
  </si>
  <si>
    <t>TRYNGOLZA (olezarsen)</t>
  </si>
  <si>
    <t>Familial Chylomicronemia Syndrome (FCS)Â </t>
  </si>
  <si>
    <t>Orphan Drug Designation granted by the FDA, noted February 15, 2024.</t>
  </si>
  <si>
    <t>CRDL</t>
  </si>
  <si>
    <t>CardiolRx - (MAvERIC-Pilot)</t>
  </si>
  <si>
    <t>Recurrent PericarditisÂ </t>
  </si>
  <si>
    <t>FDA has granted Orphan Drug Designation (ODD), noted February 15, 2024.</t>
  </si>
  <si>
    <t>ONCY</t>
  </si>
  <si>
    <t>Pelareorep and mFOLFIRINOX with and without atezolizumab - (GOBLET)</t>
  </si>
  <si>
    <t>Colorectal and advanced anal cancersÂ </t>
  </si>
  <si>
    <t>Phase 1 Stage 1 data showed a near tripling of Objective Response Rate compared to checkpoint inhibitor monotherapy, including a Complete Response, and supports expansion, additionally an enrollment e</t>
  </si>
  <si>
    <t>MNKD</t>
  </si>
  <si>
    <t>Afrezza (Technosphere Insulin) - (INHALE-1)</t>
  </si>
  <si>
    <t>Pediatric type 1/2 diabetesÂ </t>
  </si>
  <si>
    <t>Phase 3 enrollment goal reached, noted February 15, 2024.</t>
  </si>
  <si>
    <t>AUPH</t>
  </si>
  <si>
    <t>Aritinercept (AUR200)</t>
  </si>
  <si>
    <t>BAFF/APRIL (B-Cell Activating Factor)Â </t>
  </si>
  <si>
    <t>Phase 1 was discontinued due to resource allocation, noted February 15, 2024.</t>
  </si>
  <si>
    <t>AUR300</t>
  </si>
  <si>
    <t>M2 MacrophageÂ </t>
  </si>
  <si>
    <t>The trial was discontinued due to resource allocation, noted on February 15, 2024.</t>
  </si>
  <si>
    <t>PF614-102</t>
  </si>
  <si>
    <t>Severe painÂ </t>
  </si>
  <si>
    <t>Phase 3 additional results from the two-part PF614â€‘102 study are very significant as we believe they demonstrate a clear dose relationship between PF614 and oxycodone, which is the foundation for the</t>
  </si>
  <si>
    <t>Triplex - (COLT)</t>
  </si>
  <si>
    <t>Cytomegalovirus (CMV)Â </t>
  </si>
  <si>
    <t>Phase 1 data results demonstrated the potential benefit of vaccinating donors with dose to enhance CMV protective immunity and reduce CMV events in recipients of allogeneic hematopoietic cell transpla</t>
  </si>
  <si>
    <t>CASI</t>
  </si>
  <si>
    <t>FOLOTYN (Pralatrexate Injection) - (PROPEL)</t>
  </si>
  <si>
    <t>Peripheral T-cell lymphomaÂ </t>
  </si>
  <si>
    <t>Phase 1 dosing initiated in China, noted February 16, 2024.</t>
  </si>
  <si>
    <t>XOLAIR (omalizumab) - (OUtMATCH)</t>
  </si>
  <si>
    <t>Food allergyÂ </t>
  </si>
  <si>
    <t>FDA Approved on February 16, 2024.</t>
  </si>
  <si>
    <t>IOVA</t>
  </si>
  <si>
    <t>AMTAGVI (Lifileucel (LN-144)) - (TILVANCE-301)</t>
  </si>
  <si>
    <t>Refractory metastatic melanomaÂ </t>
  </si>
  <si>
    <t>TAGRISSO (Osimertinib) - (FLAURA2)</t>
  </si>
  <si>
    <t>Approved February 17, 2024.</t>
  </si>
  <si>
    <t>TAGRISSO (osimertinib) - (LAURA)</t>
  </si>
  <si>
    <t>Unresectable, Stage III epidermal growth factor receptor-mutated (EGFRm) non-small cell lung cancer (NSCLC)Â </t>
  </si>
  <si>
    <t>Phase 3 data reported that the trial showed statistically significant and highly clinically meaningful improvement in progression-free survival (PFS), noted February 19, 2024.</t>
  </si>
  <si>
    <t>RAPT</t>
  </si>
  <si>
    <t>Zelnecirnon (RPT193)</t>
  </si>
  <si>
    <t>AsthmaÂ </t>
  </si>
  <si>
    <t>Phase 2a trial initiated March 29, 2023. Phase 2a trial placed on clinical hold February 20, 2024.</t>
  </si>
  <si>
    <t>Phase 2b trial initiated May 23, 2022. Phase 2b trial placed on hold February 20, 2024.</t>
  </si>
  <si>
    <t>IMRX</t>
  </si>
  <si>
    <t>Atebimetinib (IMM-1-104) + mGnP</t>
  </si>
  <si>
    <t>Solid tumors, pancreatic cancer, melanomaÂ </t>
  </si>
  <si>
    <t>Fast Track Designation granted by the FDA on February 20, 2024.</t>
  </si>
  <si>
    <t>DISC-0974</t>
  </si>
  <si>
    <t>Patients with non-dialysis dependent chronic kidney disease (NDD-CKD) and anemiaÂ </t>
  </si>
  <si>
    <t>Phase 1b/2 ongoing. FDA granted Fast Track designation, noted February 20, 2024.</t>
  </si>
  <si>
    <t>Duvakitug (TEV-'574/SAR447189) - (RELIEVE UCCD)</t>
  </si>
  <si>
    <t>Moderate-to-severe inflammatory bowel disease (IBD); this includes ulcerative colitis (UC) and Crohn's disease (CD)Â </t>
  </si>
  <si>
    <t>PK data reported rapid and sustained suppression of free TL1A, noted February 20, 2024.</t>
  </si>
  <si>
    <t>ARV-102</t>
  </si>
  <si>
    <t>Parkinson's Disease in Healthy VolunteersÂ </t>
  </si>
  <si>
    <t>Phase 1 dosing commenced, noted February 20, 2024.</t>
  </si>
  <si>
    <t>SPRY</t>
  </si>
  <si>
    <t>Neffy (epinephrine nasal spray)</t>
  </si>
  <si>
    <t>Allergic reactions (type I) including anaphylaxisÂ </t>
  </si>
  <si>
    <t>Phase 3 topline data showed that Repeated doses of neffy under nasal allergen challenge demonstrated a pharmacokinetic profile greater than or similar to injection and a pharmacodynamic profile greate</t>
  </si>
  <si>
    <t>JNJ</t>
  </si>
  <si>
    <t>TECVAYLI (teclistamab)</t>
  </si>
  <si>
    <t>Relapsed or refractory (R/R) multiple myeloma.Â </t>
  </si>
  <si>
    <t>Supplemental approval granted by the FDA, noted February 20, 2024.</t>
  </si>
  <si>
    <t>Cabenuva (cabotegravir + rilpivirine) - (LATITUDE)</t>
  </si>
  <si>
    <t>HIVÂ </t>
  </si>
  <si>
    <t>Phase 3 interim data reported that demonstrated superior efficacy in maintaining viral load suppression compared to daily oral therapy in individuals with a history of ART adherence challenges, noted</t>
  </si>
  <si>
    <t>KZIA</t>
  </si>
  <si>
    <t>Paxalisib (GDC-0084) with radiotherapy</t>
  </si>
  <si>
    <t>Brain MetastasesÂ </t>
  </si>
  <si>
    <t>Phase 1 trial met its primary endpoint, noted February 21, 2024.</t>
  </si>
  <si>
    <t>ENLV</t>
  </si>
  <si>
    <t>Allocetra</t>
  </si>
  <si>
    <t>SepsisÂ </t>
  </si>
  <si>
    <t>Phase 2 enrollment completed, noted February 21, 2024.</t>
  </si>
  <si>
    <t>NRSN</t>
  </si>
  <si>
    <t>PrimeC - (PARADIGM)</t>
  </si>
  <si>
    <t>Additional Phase 2b 6 month data reported a reduction of the risk of ALS disease complications or death by up to 53%, noted February 21, 2024.</t>
  </si>
  <si>
    <t>MNPR</t>
  </si>
  <si>
    <t>MNPR-101-Zr (uPAR)</t>
  </si>
  <si>
    <t>Preclinical data to date demonstrated compelling and durable anti-tumor benefits with MNPR-101 conjugated to therapeutic radioisotopes, noted February 22, 2024.</t>
  </si>
  <si>
    <t>ELEV</t>
  </si>
  <si>
    <t>EO-3021 (SYSA1801) with ramucirumab + dostarlimab</t>
  </si>
  <si>
    <t>Advanced Unresectable or Metastatic Solid Tumors Likely to Express Claudin 18.2Â </t>
  </si>
  <si>
    <t>Phase 1 first patient dosed in Japan, noted February 22, 2024.</t>
  </si>
  <si>
    <t>TARS</t>
  </si>
  <si>
    <t>TP-05 - (Carpo)</t>
  </si>
  <si>
    <t>Lyme diseaseÂ </t>
  </si>
  <si>
    <t>Phase 2a data demonstrated a statistically significant benefit in killing ticks compared to placebo, noted February 22, 2024.</t>
  </si>
  <si>
    <t>BAER-101</t>
  </si>
  <si>
    <t>Absence epilepsyÂ </t>
  </si>
  <si>
    <t>Preclinical data reported full suppression of seizure activity with a minimal effective dose (MED) of 0.3 mg/kg, noted February 22, 2024.</t>
  </si>
  <si>
    <t>PHVS</t>
  </si>
  <si>
    <t>Deucrictibant (PHVS416) - (CHAPTER-3)</t>
  </si>
  <si>
    <t>Hereditary angioedema - prophylactic useÂ </t>
  </si>
  <si>
    <t>Phase 2 data reported that deucrictibant significantly reduced the monthly attack rate by 84.5% (p=0.0008) in participants dosed at 40 mg/day and 79.3% (p=0.0009) in participants dosed at 20 mg/day co</t>
  </si>
  <si>
    <t>ATNM</t>
  </si>
  <si>
    <t>Iomab-B - (SIERRA)</t>
  </si>
  <si>
    <t>Phase 3 data shared at ASTCT reported that a median overall survival of 5.49 months versus 1.66 months, noted February 22, 2023.</t>
  </si>
  <si>
    <t>GMDA</t>
  </si>
  <si>
    <t>NAM-NK (GDA-201)</t>
  </si>
  <si>
    <t>Follicular and diffuse large B cell lymphomasÂ </t>
  </si>
  <si>
    <t>Phase 1/2 results presented at the Tandem Meetings, Transplantation &amp; Cellular Therapy (TCT) Meetings reported that EAP data for omidubicel are consistent with Phase 3 trial results, noted February 2</t>
  </si>
  <si>
    <t>VTYX</t>
  </si>
  <si>
    <t>Tamuzimod (VTX002)</t>
  </si>
  <si>
    <t>Phase 2 open-label extension data reported that both both doses of VTX002 achieved nominal statistical significance for all key secondary endpoints, noted February 22, 2024.</t>
  </si>
  <si>
    <t>Dupixent (dupilumab) - (NOTUS)</t>
  </si>
  <si>
    <t>PDUFA priority review</t>
  </si>
  <si>
    <t>PDUFA Priority Review date June 27, 2024.</t>
  </si>
  <si>
    <t>Tolimidone</t>
  </si>
  <si>
    <t>Preclinical data reported inconclusive data, noted February 23, 2024.</t>
  </si>
  <si>
    <t>COGT</t>
  </si>
  <si>
    <t>Bezuclastinib - (SUMMIT)</t>
  </si>
  <si>
    <t>Non-Advanced Systemic MastocytosisÂ </t>
  </si>
  <si>
    <t>Additional Part 1b data from AAAAI reported that 51% week 12 mean change in Total Symptom Score (TSS), including 70% of patients achieving â‰¥50% reduction in TSS at week 12, noted February 23, 2024.</t>
  </si>
  <si>
    <t>Phase 1/2a approval to commence dosing, noted February 23, 2024.</t>
  </si>
  <si>
    <t>MTX110 - (PNOC015)</t>
  </si>
  <si>
    <t>Diffuse Midline Glioma (DMG)Â </t>
  </si>
  <si>
    <t>Phase 1 results reported that the median overall survival (OS) of patients in the study was 16.5 months, noted February 23, 2024.</t>
  </si>
  <si>
    <t>Approved February 23, 2024.</t>
  </si>
  <si>
    <t>Barzolvolimab (CDX-0159)</t>
  </si>
  <si>
    <t>Chronic spontaneous urticaria (CSU)Â </t>
  </si>
  <si>
    <t>Phase 2 data presented at AAAAI reported that treatment demonstrated strong improvement in UAS7 independent of omalizumab status at Week 12, noted February 24, 2024.</t>
  </si>
  <si>
    <t>Phase 3 additional data presented at AAAAI reported that 94% of attacks required only one dose to achieve primary endpoint, noted February 25, 2024.</t>
  </si>
  <si>
    <t>Blujepa (Gepotidacin) - (EAGLE 2/3)</t>
  </si>
  <si>
    <t>Uncomplicated urinary tract infection (uUTI)Â </t>
  </si>
  <si>
    <t>EAGLE-1 trial met its primary endpoint, noted February 26, 2024.</t>
  </si>
  <si>
    <t>AK006</t>
  </si>
  <si>
    <t>Prurigo nodularisÂ </t>
  </si>
  <si>
    <t>Preclinical data presented at AAAAI showed evidence of MRGPRX2 mast cell activation and activated macrophages on skin lesions, noted February 26, 2024.</t>
  </si>
  <si>
    <t>KB407 - (CORAL-1)</t>
  </si>
  <si>
    <t>Phase 1 data reported that no severe or serious adverse events were observed in patients treated in Cohort 1, noted February 26, 2024.</t>
  </si>
  <si>
    <t>TNYA</t>
  </si>
  <si>
    <t>TN-301</t>
  </si>
  <si>
    <t>Heart Failure with Preserved Ejection FractionÂ </t>
  </si>
  <si>
    <t>Preclinical data reported that treatment achieved comparable or superior efficacy and was shown to have a distinctive multi-modal mechanism of action versus empagliflozin, noted February 26, 2024.</t>
  </si>
  <si>
    <t>BRUKINSA (zanubrutinib) + Obinutuzumab - (ROSEWOOD)</t>
  </si>
  <si>
    <t>Follicular Non-Hodgkin LymphomaÂ </t>
  </si>
  <si>
    <t>Approval noted February 26, 2024.</t>
  </si>
  <si>
    <t>TCRX</t>
  </si>
  <si>
    <t>TSC-100, TSC-101 - (ALLOHA)</t>
  </si>
  <si>
    <t>Phase 1 presented at Tandem Meetings showed that all eight (100%) treatment-arm patients are relapse-free and have achieved and maintained complete donor chimerism following treatment, noted February</t>
  </si>
  <si>
    <t>MTNB</t>
  </si>
  <si>
    <t>Oral amphotericin b (MAT2203) - (EnACT)</t>
  </si>
  <si>
    <t>Cryptococcal meningitisÂ </t>
  </si>
  <si>
    <t>Phase 3 update from ongoing Compassionate/Expanded use access of the 19 patients enrolled in the program, 15 have available follow-up and 4 recently initiated or will soon commence treatment with MAT2</t>
  </si>
  <si>
    <t>JANX</t>
  </si>
  <si>
    <t>PSMA-TRACTr (JANX007) - (ENGAGER-PSMA-01)</t>
  </si>
  <si>
    <t>Metastatic castration-resistant prostate cancer (mCPRC)Â </t>
  </si>
  <si>
    <t>Phase 1 updated clinical data at KOL illustrated a potential best-in-class profile: promising efficacy with favorable safety profile in heavily pretreated subjects with late-stage mCRPC, noted Februar</t>
  </si>
  <si>
    <t>EGFR-TRACTr (JANX008)</t>
  </si>
  <si>
    <t>Metastatic colorectal cancer (mCRC), squamous cell carcinoma of the head and neck (SCCHN) and non-small cell lung cancer (NSCLC)Â </t>
  </si>
  <si>
    <t>Phase 1 data at KOL display differentiated safety and encouraging signs of efficacy in heavily pretreated subjects with different solid tumor types, noted February 26, 2024.</t>
  </si>
  <si>
    <t>Biktarvy</t>
  </si>
  <si>
    <t>Approved for expanded indication to treat people with HIV (PWH) who have suppressed viral loads with known or suspected M184V/I resistance, noted February 26, 2024.</t>
  </si>
  <si>
    <t>NERV</t>
  </si>
  <si>
    <t>Roluperidone (MIN-101)</t>
  </si>
  <si>
    <t>SchizophreniaÂ </t>
  </si>
  <si>
    <t>CRL issued by the FDA, noted February 27, 2024.</t>
  </si>
  <si>
    <t>VKTX</t>
  </si>
  <si>
    <t>VK2735 - (VENTURE)</t>
  </si>
  <si>
    <t>Phase 2 study met primary and all secondary endpoints, demonstrating reductions in body weight, noted February 27, 2024.</t>
  </si>
  <si>
    <t>TP-04 - (Galatea)</t>
  </si>
  <si>
    <t>RosaceaÂ </t>
  </si>
  <si>
    <t>Phase 2a topline data reported statistically significant improvements (p&lt;0.05) in inflammatory lesions and Investigator's Global Assessment (IGA) score compared to vehicle at Week 12 TP-04 was genera</t>
  </si>
  <si>
    <t>Phase 2b FDA confirmed that trial adequate information was submitted for EoP2 meeting, noted February 27, 2024.</t>
  </si>
  <si>
    <t>CGON</t>
  </si>
  <si>
    <t>cretostimogene - (PIVOT-006) (EAP)</t>
  </si>
  <si>
    <t>Non-Muscle Invasive Bladder Cancer (NMIBC)Â </t>
  </si>
  <si>
    <t>Phase 3 dosing initiated, noted February 27, 2024.</t>
  </si>
  <si>
    <t>PPBT</t>
  </si>
  <si>
    <t>NT219 in combination with cetuximab</t>
  </si>
  <si>
    <t>Recurrent/metastatic squamous cell carcinoma of the head and neck (R/M SCCHN)Â </t>
  </si>
  <si>
    <t>Phase 2 was well tolerated with anti-tumor activity at relevant higher dose levels observed with 29% Objective Response Rate (ORR) and 71% Disease Control Rate (DCR), noted February 27, 2024.</t>
  </si>
  <si>
    <t>Phase 1 dosing initiated, noted February 27, 2024.</t>
  </si>
  <si>
    <t>PTN</t>
  </si>
  <si>
    <t>PL9643 - (MELODY-1)</t>
  </si>
  <si>
    <t>Phase 3 final results reported met the first co-primary endpoint in the Intent-to-Treat Analysis, however did not meet the co-primary endpoint showing superiority over vehicle, noted February 28, 2024.Â read less</t>
  </si>
  <si>
    <t>PSX-001 (Psilocybin treatment) - (PsiGAD2)</t>
  </si>
  <si>
    <t>Phase 2 topline data reported that the trial met its primary endpoint, noted February 28, 2024.</t>
  </si>
  <si>
    <t>CMPX</t>
  </si>
  <si>
    <t>CTX-8371</t>
  </si>
  <si>
    <t>Preclinical data reported that CTX-8371 demonstrates enhanced anti-tumor activity relative to approved anti-PD-1 blockers and anti-PD-L1 blockers in a series of in vitro and in vivo experimental settings, noted February 28, 2024.Â read less</t>
  </si>
  <si>
    <t>SPC-15</t>
  </si>
  <si>
    <t>Post-traumatic stress disorder (PTSD)Â </t>
  </si>
  <si>
    <t>Preclinical data reported rapid absorption of SPC-15 with good exposure over a 24-hour period, suggesting a once-per-day human intranasal dosing regimen would be optimal, noted February 28, 2024.</t>
  </si>
  <si>
    <t>Amdizalisib (HMPL-689)</t>
  </si>
  <si>
    <t>Follicular Lymphoma and Marginal Zone LymphomaÂ </t>
  </si>
  <si>
    <t>Phase 2 topline FL results reported that the trial met its primary endpoint, noted February 28, 2024.</t>
  </si>
  <si>
    <t>SNSE</t>
  </si>
  <si>
    <t>Solnerstotug (formerly SNS-101) with Libtayo - (VISTA)</t>
  </si>
  <si>
    <t>One microsatellite stable (MSS) endometrial cancerÂ </t>
  </si>
  <si>
    <t>Phase 1 initial safety data reported that in the monotherapy dose escalation arm, 13/16 patients (81%) experienced at least one treatment-emergent adverse event (TEAE), with the majority of adverse events (AEs) Grade 1 or 2. In the combination dose escalation arm, 10/17 patients (59%) experienced at least one TEAE, with the majority of AEs Grade 1 or 2, noted February 28, 2024.Â read less</t>
  </si>
  <si>
    <t>VANI</t>
  </si>
  <si>
    <t>NPM-115 (exenatide implant) - (LIBERATE-1)</t>
  </si>
  <si>
    <t>Subdermal implants in development for chronic weight managementÂ </t>
  </si>
  <si>
    <t>Preclinical data showed that implant generated significant weight loss comparable to injectable semaglutide (Ozempic/Wegovy) from a single administration with expected twice-yearly dosing, noted February 28, 2024.Â read less</t>
  </si>
  <si>
    <t>Bemnifosbuvir and ruzasvir (RZR) - (C-FORWARD)</t>
  </si>
  <si>
    <t>Hepatitis C Virus (HCV)Â </t>
  </si>
  <si>
    <t>Phase 2 final data from the 60-patient lead-in cohort reported that the SVR4 rate exceeded the protocol-defined efficacy criterion of â‰¥90% SVR4 for continuing the study, noted February 28, 2024.</t>
  </si>
  <si>
    <t>BLRX</t>
  </si>
  <si>
    <t>Motixafortide (BL-8040), gemcitabine, nab-paclitaxel and LIBTAYO (cemiplimab) - (Columbia University trial) - (CheMo4METPANC)</t>
  </si>
  <si>
    <t>First-line pancreatic ductal adenocarcinoma (PDAC)Â </t>
  </si>
  <si>
    <t>Phase 2 trial initiated, noted February 28, 2024.</t>
  </si>
  <si>
    <t>Phase 1/2 initial data reported a partial Response in 1 patient with a PD-L1 negative mucoepidermoid carcinoma and a 54% reduction in target lesions and a complete response in non-target lesions, noted March 12, 2024. Phase 1/2 new enrollment terminated, noted February 29, 2024.Â read less</t>
  </si>
  <si>
    <t>IMUX</t>
  </si>
  <si>
    <t>IMU-838 - (CALLIPER)</t>
  </si>
  <si>
    <t>Progressive Multiple SclerosisÂ </t>
  </si>
  <si>
    <t>Phase 2 interim data presented at ACTRIMS reported that serum NfL was decreased in the treatment group by 22.4%, noted February 29, 2024.</t>
  </si>
  <si>
    <t>IMU-838 - (CALVID-1)</t>
  </si>
  <si>
    <t>Additional Phase 2 data reported that 80% of patients who received placebo reported fatigue, compared to 50% who received 45 mg vidofludimus calcium, noted February 29, 2024.</t>
  </si>
  <si>
    <t>IRWD</t>
  </si>
  <si>
    <t>Apraglutide - (STARS)</t>
  </si>
  <si>
    <t>Short Bowel Syndrome with Intestinal Failure (SBS-IF)Â </t>
  </si>
  <si>
    <t>Phase 3 top-line data reported that the trial met its primary endpoint, however two key secondary endpoints were specific to colon-in-continuity patients in assessing at least one day/week off PS versus baseline and reaching enteral autonomy at week 48, both of which were not achieved, noted February 29, 2024.Â read less</t>
  </si>
  <si>
    <t>Phase 2 full clinical results presented at ACTRIMS Forum reported that treatment demonstrated significant improvement of vision as measured by low contrast letter acuity (LCLA) through 35 months from randomization, noted February 29, 2024.Â read less</t>
  </si>
  <si>
    <t>IMNN</t>
  </si>
  <si>
    <t>IMNN-101 - (IMUNON)</t>
  </si>
  <si>
    <t>SARS-CoV-2 variant XBB.1.5Â </t>
  </si>
  <si>
    <t>Challenge study data reported that a single dose produced IgG neutralizing antibody and T-cell responses, noted February 29, 2024.</t>
  </si>
  <si>
    <t>CUE</t>
  </si>
  <si>
    <t>CUE-101 and KEYTRUDA (pembrolizumab) - (KEYNOTE-A78)</t>
  </si>
  <si>
    <t>HPV16+ head and neck cancerÂ </t>
  </si>
  <si>
    <t>Phase 1 data reported from the Multi-disciplinary Head and Neck Cancers Symposium that overall response rate (ORR) of 47% in first line (1L) patients treated with CUE-101 and pembrolizumab, compared to the historical ORR of 19% reported in the KEYNOTE-48 trial, noted February 29, 2024.Â read less</t>
  </si>
  <si>
    <t>Onvansertib, FOLFIRI and AVASTIN (bevacizumab) - (ONSEMBLE)</t>
  </si>
  <si>
    <t>KRAS-Mutated Colorectal CancerÂ </t>
  </si>
  <si>
    <t>Phase 2 data reported a 50% ORR rate in Bev Naive patients and 0% ORR in Bev Exposed patients, noted February 29, 2024.</t>
  </si>
  <si>
    <t>TGTX</t>
  </si>
  <si>
    <t>BRIUMVI (ublituximab-xiiy) - (ENHANCE)</t>
  </si>
  <si>
    <t>Relapsing forms of Multiple Sclerosis (RMS)Â </t>
  </si>
  <si>
    <t>Phase 3b data presented at ACTRIMS reported that 18 (86%) of participants completed the infusion without interruption or slowing, with a median infusion duration of 60 min, noted February 29, 2024.</t>
  </si>
  <si>
    <t>Setmelanotide - (DAYBREAK)</t>
  </si>
  <si>
    <t>Variants in one of 31 additional genes with MC4R pathway relevanceÂ </t>
  </si>
  <si>
    <t>Phase 2 data showed that nearly 97% of followed patients were relapse-free at 90 days post Zeposia discontinuation; patients that did relapse showed no evidence of rebound effect, noted February 29, 2024.Â read less</t>
  </si>
  <si>
    <t>IND cleared by the FDA, noted February 29, 2024</t>
  </si>
  <si>
    <t>CGEM</t>
  </si>
  <si>
    <t>CLN-619 - (MICB)</t>
  </si>
  <si>
    <t>Relapsed or Refractory Multiple MyelomaÂ </t>
  </si>
  <si>
    <t>IND Clearaed by the FDA, noted March 1, 2024.</t>
  </si>
  <si>
    <t>BIVI</t>
  </si>
  <si>
    <t>NE3107</t>
  </si>
  <si>
    <t>Parkinson's diseaseÂ </t>
  </si>
  <si>
    <t>Additional Phase 2a data reported significant improvement of -2.4 points for the sleep/fatigue domain of the Non-Motor Symptom Scale (NMSS) in Parkinson's Disease, whereas placebo patients experienced a worsening of +1.0 points, noted March 1, 2024Â read less</t>
  </si>
  <si>
    <t>Additional Phase 3 data reported that due to the exclusion of data from so many sites the trial missed statistical significance but showed promising directional data on cognitive and functional measures. NE3107-treated patients saw an advantage compared to placebo of -0.95 (68% slowing of decline) on CDR-SB, -0.94 (26%) on ADAS-COG-12, -0.43 (139%) on ADAS-CGIC, -0.03 (27%) on ADCOMS, +1.02 (40%) on MMSE, and +3.08 (47%) on ADCS-ADL, noted March 1, 2024.Â read less</t>
  </si>
  <si>
    <t>Phase 1 third patient enrolled completed treatment, noted March 1, 2024</t>
  </si>
  <si>
    <t>LEXX</t>
  </si>
  <si>
    <t>HYPER-H23-1 (DehydraTECH-CBD)</t>
  </si>
  <si>
    <t>HypertensionÂ </t>
  </si>
  <si>
    <t>IND Cleared by the FDA, noted March 1, 2024</t>
  </si>
  <si>
    <t>SLS</t>
  </si>
  <si>
    <t>Tambiciclib (SLS009) (GFH009) with venetoclax</t>
  </si>
  <si>
    <t>Hematologic malignancies, acute myeloid leukemia (AML), chronic lymphocytic leukemia (CLL), small lymphocytic lymphoma (SLL) and lymphomaÂ </t>
  </si>
  <si>
    <t>Phase 1 dose-escalation topline data for the heavily pretreated AML patients showed evidence of anti-tumor activity increasing with higher dose levels and no significant safety issues. Treatment with SLS009 resulted in a complete remission (CR) with no minimal residual disease (MRD) after three cycles as a monotherapy in an AML patient who had failed prior venetoclax plus azacytidine (aza/ven) therapy. The CR lasted eight months with the patient achieving one year survival at the latest assessment. This is the first time that a relapsed/refractory (r/r) AML patient achieved a CR with CDK9 inhibition monotherapy. Notably, the median survival for patients relapsed after aza/ven therapy is approximately 2.5 months. All key study objectives were met regarding pharmacokinetic (PK), pharmacodynamic (PD), safety, and clinical activity, noted March 1, 2024.Â read less</t>
  </si>
  <si>
    <t>RYBREVANT (amivantamab) - (PAPILLON)</t>
  </si>
  <si>
    <t>Non-small cell lung cancerÂ </t>
  </si>
  <si>
    <t>FDA approved on March 1, 2024.</t>
  </si>
  <si>
    <t>WHWK</t>
  </si>
  <si>
    <t>Nab-sirolimus - (AMPECT)</t>
  </si>
  <si>
    <t>Malignant PEComa (Perivascular epithelioid cell tumour)Â </t>
  </si>
  <si>
    <t>Phase 2 long-term efficacy and safety results demonstrated 40 months median duration of response and median survival &gt;53 months, noted March 1, 2024.</t>
  </si>
  <si>
    <t>RNA</t>
  </si>
  <si>
    <t>Delpacibart etedesiran (del-desiran) - (MARINA-OLE)</t>
  </si>
  <si>
    <t>Myotonic dystrophy type 1 (DM1)Â </t>
  </si>
  <si>
    <t>Phase 2 preliminary data anticipated at the MDA conference showed reversal of disease progression in multiple functional measures, noted March 4, 2024.</t>
  </si>
  <si>
    <t>Efruxifermin - (HARMONY)</t>
  </si>
  <si>
    <t>Nonalcoholic SteatohepatitisÂ </t>
  </si>
  <si>
    <t>Phase 2b 96-week results reported that the 50mg (75%, p&lt;0.001) and 28mg (46%, p=0.07) EFX groups demonstrated â‰¥1 stage improvement in fibrosis without worsening of MASH, approximately three- and two-fold the placebo rate (24%), noted March 4, 2024.Â read less</t>
  </si>
  <si>
    <t>AKRO</t>
  </si>
  <si>
    <t>CLR 131 (iopofosine) in combination with external beam radiation (EBRT)</t>
  </si>
  <si>
    <t>Head &amp; neck cancerÂ </t>
  </si>
  <si>
    <t>Phase 1 data reported the complete remission was achieved in 64% of patients, with an ORR of 73%, noted March 4, 2024.</t>
  </si>
  <si>
    <t>Zolgensma (onasemnogene abeparvovec) - (SMART)</t>
  </si>
  <si>
    <t>Spinal muscular atrophy (SMA)Â </t>
  </si>
  <si>
    <t>Phase 3b data reported that nearly all patients treated maintained or improved motor milestones after 52 weeks, with most switching to the one-time gene therapy from another chronically administered disease-modifying therapy, noted March 4, 2024.Â read less</t>
  </si>
  <si>
    <t>INDP</t>
  </si>
  <si>
    <t>Decoy-20 - (INDP-D101)</t>
  </si>
  <si>
    <t>Advanced/metastatic solid tumorsÂ </t>
  </si>
  <si>
    <t>Phase 1 data following completion of second cohort trial of Decoy 20 leads the independent Safety Review Committee to recommend initiating a multi-dosing cohort, noted March 4, 2024. Single dose cohort data expected to be published at a scientific conference in 2024Â read less</t>
  </si>
  <si>
    <t>BCDA</t>
  </si>
  <si>
    <t>CardiAMP (BCDA-01)</t>
  </si>
  <si>
    <t>Ischemic Heart FailureÂ </t>
  </si>
  <si>
    <t>Phase 3 data reported that patients had 37% relative risk reduction in heart death equivalent and 9% relative risk reduction in non-fatal major adverse cardiac and cerebrovascular events (MACCE) at mean 20-month follow-up compared to control patients on guideline-directed heart medications alone, noted March 4, 2024.Â read less</t>
  </si>
  <si>
    <t>VTVT</t>
  </si>
  <si>
    <t>Cadisegliatin (TTP399)</t>
  </si>
  <si>
    <t>Type 1 DiabetesÂ </t>
  </si>
  <si>
    <t>Phase 3 announced the submission of the study protocol to the FDA to initiate the trial, noted March 4, 2024.</t>
  </si>
  <si>
    <t>LNTH</t>
  </si>
  <si>
    <t>DEFINITY (Perflutren Lipid Microsphere)</t>
  </si>
  <si>
    <t>Ultrasound enhancing agent for use in pediatric patients with suboptimal echocardiogramsÂ </t>
  </si>
  <si>
    <t>FDA approved on March 4, 2024.</t>
  </si>
  <si>
    <t>MTEM</t>
  </si>
  <si>
    <t>MT-6402</t>
  </si>
  <si>
    <t>Phase 1 dose-escalation data showed that treatment appears generally well-tolerated at the 63 and 83 mcg/kg doses with no Grade 4 or Grade 5 adverse events and no instances of CLS seen at any dose, noted March 4, 2024.Â read less</t>
  </si>
  <si>
    <t>Phase 2/3 last patient dosed, noted March 4, 2024.</t>
  </si>
  <si>
    <t>PCVX</t>
  </si>
  <si>
    <t>VAX-24</t>
  </si>
  <si>
    <t>Pneumococcal Disease in infantsÂ </t>
  </si>
  <si>
    <t>Phase 2 enrollment completed, noted March 4, 2024.</t>
  </si>
  <si>
    <t>Allogeneic CardiALLO</t>
  </si>
  <si>
    <t>Data presented at the Technology and Heart Failure Therapeutics Conference (THT) reported that first patient has been enrolled and treated in the low dose group and is doing well clinically, noted March 4, 2024.Â read less</t>
  </si>
  <si>
    <t>Cabenuva (cabotegravir, rilpivirine) - (CAB-ULA)</t>
  </si>
  <si>
    <t>HIV treatment and prevention dosed at intervals of at least four monthsÂ </t>
  </si>
  <si>
    <t>Phase 1 data show for the first time a new ultra-long-acting cabotegravir formulation (CAB-ULA) that doubles the current dosing interval, noted March 4, 2024.</t>
  </si>
  <si>
    <t>APGE</t>
  </si>
  <si>
    <t>APG777 - (APEX)</t>
  </si>
  <si>
    <t>Healthy volunteers, Atopic dermatitis (AD)Â </t>
  </si>
  <si>
    <t>Phase 1 interim data reported a half-life of approximately 75 days across doses tested and Pharmacodynamic (PD) data showed deep and sustained inhibition of key AD biomarkers pSTAT6 and TARC for ~3 months, noted March 5, 2024.Â read less</t>
  </si>
  <si>
    <t>Cabotegravir ultra long-acting (CAB-ULA) - (4 month dosing)</t>
  </si>
  <si>
    <t>Phase 1 data reported that intramuscular dosing of CAB-ULA has a safety and pharmacokinetic (PK) profile that supports a longer dose interval, noted March 5, 2024.</t>
  </si>
  <si>
    <t>Semaglutide - (FLOW)</t>
  </si>
  <si>
    <t>Renal impairment in people with type 2 diabetes and chronic kidney disease (CKD)Â </t>
  </si>
  <si>
    <t>Phase 3 trial stopped early due to efficacy, based on a recommendation from an Independent Data Monitoring Committee. The trial achieved its primary endpoint by demonstrating a statistically significant and superior reduction in kidney disease progression, major adverse cardiovascular events (MACE) and death of 24% for people treated with semaglutide 1.0 mg compared to placebo, noted March 5, 2024.Â read less</t>
  </si>
  <si>
    <t>BI-1206 with rituximab - (China trial)</t>
  </si>
  <si>
    <t>Non-Hodgkin's Lymphoma (NHL)Â </t>
  </si>
  <si>
    <t>Phase 1 initial data showed promising responses including a long-lasting complete response for patients with difficult-to-treat disease, noted March 5, 2024.</t>
  </si>
  <si>
    <t>Addtional preclinical data demonstrated highly preferential uptake in the tumor. The new imaging data released today support the tumor-targeting ability of MNPR-101, noted March 5, 2024.</t>
  </si>
  <si>
    <t>ALNY</t>
  </si>
  <si>
    <t>Zilebesiran - (KARDIA-2)</t>
  </si>
  <si>
    <t>Phase 2 trial met the primary endpoint, noted March 5, 2024.</t>
  </si>
  <si>
    <t>Phase 1/2 new three-month assessment in first patient at dose level 2 demonstrates robust microdystrophin expression. Patient aged 12 years at dosing had expression level at 75.7% of control, noted March 5, 2024.Â read less</t>
  </si>
  <si>
    <t>CRVO</t>
  </si>
  <si>
    <t>Neflamapimod - (AscenD-LB)</t>
  </si>
  <si>
    <t>Dementia with Lewy bodies (DLB)Â </t>
  </si>
  <si>
    <t>Phase 2a data presented at AD/PD reported that there was a mean 3.7 pg/mL increase GFAP levels in placebo vs. mean 12.3 pg/mL reduction with neflamapimod, noted March 5, 2024.</t>
  </si>
  <si>
    <t>Preclinical data presented at AD/PD reported that GT-02287, through its interaction with glucocerebrosidase (GCase) in the endoplasmic reticulum (ER), aids correct GCase folding, preventing ER retention, ER stress, and ER-associated degradation of mutated GCase enzyme, noted March 5, 2024.Â read less</t>
  </si>
  <si>
    <t>Eftilagimod Alpha with weekly paclitaxel - (AIPAC-003)</t>
  </si>
  <si>
    <t>Metastatic breast cancer (MBC)Â </t>
  </si>
  <si>
    <t>Phase 2/3 90mg data reported a 50% overall response rate, including one complete response and two partial responses, and a 100% disease control rate overall, noted March 5, 2024.</t>
  </si>
  <si>
    <t>Rezpegaldesleukin (LY3471851) - (REZOLVE-AA)</t>
  </si>
  <si>
    <t>Severe to very severe alopecia areata (AA)Â </t>
  </si>
  <si>
    <t>https://www.biopharmcatalyst.com/company/NKTR/news/189917</t>
  </si>
  <si>
    <t>NKTR</t>
  </si>
  <si>
    <t>mFOLFIRINOX +/- atezolizumab and pelareorep - (PanCAN)</t>
  </si>
  <si>
    <t>Pancreatic Ductal Adenocarcinoma (PDAC)Â </t>
  </si>
  <si>
    <t>Company submitted an amendment to GOBLET to initiate a new Phase 1/2 cohort, noted March 5, 2024.</t>
  </si>
  <si>
    <t>LIPO</t>
  </si>
  <si>
    <t>LP-410</t>
  </si>
  <si>
    <t>Graft-Versus-Host Disease (GVHD)Â </t>
  </si>
  <si>
    <t>IND cleared by the FDA noted, March 5, 2024.</t>
  </si>
  <si>
    <t>IBRX</t>
  </si>
  <si>
    <t>Anktiva (N-803)</t>
  </si>
  <si>
    <t>Phase 1 pilot study experienced a marked decrease in the burden of infection, and the procedures were found to be safe and well tolerated, noted March 5, 2024.</t>
  </si>
  <si>
    <t>OPK</t>
  </si>
  <si>
    <t>SAR441236</t>
  </si>
  <si>
    <t>human immunodeficiency virus (HIV)Â </t>
  </si>
  <si>
    <t>Phase 1 study delivers first clinical safety and pharmacokinetic data as proof of concept for the use of multispecific antibodies in humans, noted March 5, 2024.</t>
  </si>
  <si>
    <t>Bictegravir and Lenacapavir - (ARTISTRY-1)</t>
  </si>
  <si>
    <t>Phase 2/3 data reported that all three treatment groups had robust virologic suppression at six months, with consistently low viral loads throughout the study, noted March 5, 2024.</t>
  </si>
  <si>
    <t>Wyost (denosumab-bddz) and Jubbonti (denosumab-bddz) interchangeable</t>
  </si>
  <si>
    <t>multiple myeloma and in patients with bone metastases from solid tumorsÂ </t>
  </si>
  <si>
    <t>FDA biosimilar of Xgeva (denosumab) and Prolia (denosumab) approved on March 5, 2024.</t>
  </si>
  <si>
    <t>BXCL501 - (SERENITY III)</t>
  </si>
  <si>
    <t>Agitation associated with bipolar I or II disorder or schizophreniaÂ </t>
  </si>
  <si>
    <t>A Type C meeting with FDA feedback resulted in an amended Phase 3 trial planned for the at-home setting, noted March 6, 2024.</t>
  </si>
  <si>
    <t>HETLIOZ (tasimelteon)</t>
  </si>
  <si>
    <t>InsomniaÂ </t>
  </si>
  <si>
    <t>CRL issued by FDA on March 6, 2024.</t>
  </si>
  <si>
    <t>Icovamenib (BMF-219) - (COVALENT-111)</t>
  </si>
  <si>
    <t>Healthy volunteers, type 2 diabetesÂ </t>
  </si>
  <si>
    <t>Phase 1/2 data presented at ATTD reported that across 100mg QD, 200mg QD, and 100mg BID cohorts, 38% of patients had â‰¥0.5% HbA1c reduction, and 23% of patients had â‰¥1.0% HbA1c reduction at Week 26, noted March 6, 2024.Â read less</t>
  </si>
  <si>
    <t>XOMA</t>
  </si>
  <si>
    <t>RZ358 - (sunRIZE)</t>
  </si>
  <si>
    <t>Congenital hyperinsulinism (HI), non-islet cell tumors (NICTs) that have uncontrolled hypoglycemiaÂ </t>
  </si>
  <si>
    <t>Preclinical data reported that data demonstrated the ability of RZ358 to similarly blunt both IGF-2 and insulin-mediated insulin-receptor signaling, at levels of these ligands that are disease-relevant in humans, noted March 6, 2024.Â read less</t>
  </si>
  <si>
    <t>RZLT</t>
  </si>
  <si>
    <t>KO-2806 and adagrasib in combination with cabozantinib - (FIT-001)</t>
  </si>
  <si>
    <t>Clear cell renal cell carcinoma (ccRCC)Â </t>
  </si>
  <si>
    <t>Phase 1 dosing initiated, noted March 6, 2024.</t>
  </si>
  <si>
    <t>ASLN</t>
  </si>
  <si>
    <t>eblasakimab versus dupilumab</t>
  </si>
  <si>
    <t>human tissue model of chronic obstructive pulmonary disease (COPD)Â </t>
  </si>
  <si>
    <t>Preclinical new translational data from a head-to-head study of eblasakimab and dupilumab in a human tissue model of COPD shows eblasakimab performed better than dupilumab in improving airway function and enhancing bronchodilation at the same concentrations, noted March 6, 2024.Â read less</t>
  </si>
  <si>
    <t>COYA</t>
  </si>
  <si>
    <t>COYA 302</t>
  </si>
  <si>
    <t>Frontotemporal dementia (FTD)Â </t>
  </si>
  <si>
    <t>Preclinical biomarker data shared at the AD/PD 2024 Conference clearly depicts a compromised peripheral immune environment present in patients with FTD that, we believe, contributes to the pathophysiology of the disease process, noted March 5, 2024. IND filing intended later in 2024 and Phase 2 initiation, noted March 6, 2024.Â read less</t>
  </si>
  <si>
    <t>BHC</t>
  </si>
  <si>
    <t>RELISTOR (methylnaltrexone bromide: MNTX)</t>
  </si>
  <si>
    <t>Resectable head and neck squamous cell carcinomaÂ </t>
  </si>
  <si>
    <t>Phase 2 initiated sponsored by Salix Pharmaceuticals, noted March 6, 2024.</t>
  </si>
  <si>
    <t>Phase 2 third-line ombination THIO 180mg + cemiplimab achieved 38% overall response rate (ORR) in difficult-to-treat, noted March 6, 2024</t>
  </si>
  <si>
    <t>Islatravir (MK-8591D) and Lenacapavir - (ISLEND)</t>
  </si>
  <si>
    <t>Human immunodeficiency virus (HIV)Â </t>
  </si>
  <si>
    <t>Phase 2 data reported that one participant (1.9%) treated with islatravir and lenacapavir had a viral load of more than 50 copies/mL at Week 24; the participant later suppressed on islatravir and lenacapavir at Week 30. No participants in the Biktarvy group had a viral load of more than 50 copies/mL at Week 24, noted March 6, 2024.Â read less</t>
  </si>
  <si>
    <t>Phase 3 data reported that 24.1% of participants on LA-ART experienced regimen failure compared to 38.5% on SOC, noted March 6, 2024.</t>
  </si>
  <si>
    <t>ZEJULA (niraparib) - (NORA)</t>
  </si>
  <si>
    <t>Platinum-Sensitive Recurrent Ovarian Cancer (PSROC)Â </t>
  </si>
  <si>
    <t>Phase 3 data reported that treatment demonstrated a favorable OS trend versus placebo in this disease setting, regardless of BRCA-gene mutation status. No new safety signals were identified during the long-term follow up period subsequent to the primary analysis, noted March 6, 2024.Â read less</t>
  </si>
  <si>
    <t>Biktarvy - (ALLIANCE)</t>
  </si>
  <si>
    <t>HIV/HBV CoinfectionÂ </t>
  </si>
  <si>
    <t>Phase 3 data reported that 97% percent (71/73) of participants treated with Biktarvy achieved viral suppression (HIV-1 RNA &lt; 50 copies /ml) as did 97% (36/37) of participants treated with the DTG-based regimen, noted March 6, 2024.Â read less</t>
  </si>
  <si>
    <t>Phase 1/2 initial data show levels of exon skipping, dystrophin, and PDPF increased at 6 months vs. baseline, noted March 6, 2024.</t>
  </si>
  <si>
    <t>Opdivo (nivolumab) plus Yervoy (ipilimumab)</t>
  </si>
  <si>
    <t>Urothelial carcinomaÂ </t>
  </si>
  <si>
    <t>Approved March 7, 2024.</t>
  </si>
  <si>
    <t>Generalized Anxiety Disorder (GAD)Â </t>
  </si>
  <si>
    <t>Phase 2b data 12-week data reported that the trial met its key secondary endpoint and maintained a clinically and statistically significant HAM-A reductions compared to placebo at 12 weeks with a 65% clinical response rate and 48% clinical remission rate, noted March 7, 2024.Â read less</t>
  </si>
  <si>
    <t>MB-101 - (City of Hope)</t>
  </si>
  <si>
    <t>High-Grade GliomaÂ </t>
  </si>
  <si>
    <t>Phase 1 data reported well-tolerated and 50% of patients achieved stable disease or better with two partial responses and two complete responses lasting 7.5 and 66+ months, noted March 7, 2024.</t>
  </si>
  <si>
    <t>MBIO</t>
  </si>
  <si>
    <t>BLENREP (belantamab mafodotin) and POMALYST (Pomalidomide) and Dexamethasone - (DREAMM-8)</t>
  </si>
  <si>
    <t>Multiple MyelomaÂ </t>
  </si>
  <si>
    <t>Phase 3 trial met its primary endpoint, noted March 7, 2024</t>
  </si>
  <si>
    <t>IMRN</t>
  </si>
  <si>
    <t>Travelan - (CHIM)</t>
  </si>
  <si>
    <t>Enterotoxigenic Escherichia coli (ETEC)Â </t>
  </si>
  <si>
    <t>Phase 2 interim data reported that the intended attack rate for this study was approximately 70%. The attack rate for the Placebo group of this study was only 37%, noted March 7, 2024.</t>
  </si>
  <si>
    <t>TELO</t>
  </si>
  <si>
    <t>Telomir-1</t>
  </si>
  <si>
    <t>Age-related conditionsÂ </t>
  </si>
  <si>
    <t>Preclinical data reported that Telomir-1 was observed to cause cell cytotoxicity at a concentration of 500 M in both MRC-5 and HUVEC cells, noted March 7, 2024.</t>
  </si>
  <si>
    <t>APVO</t>
  </si>
  <si>
    <t>ALG.APV-527</t>
  </si>
  <si>
    <t>Phase 1 data reported 2 stable disease responses, noted March 7, 2024.</t>
  </si>
  <si>
    <t>Fosgonimeton (ATH-1017) - (SHAPE)</t>
  </si>
  <si>
    <t>Parkinsonâ€™s disease dementiaÂ </t>
  </si>
  <si>
    <t>Phase 2 data presented at AD/PD reported that changes in ADAS-Cog13 observed in the fosgonimeton 40 mg dose arm were suggestive of a pro-cognitive effect, noted March 8, 2024.</t>
  </si>
  <si>
    <t>AMX0035 - (A35-004 PHOENIX)</t>
  </si>
  <si>
    <t>Amyotrophic Lateral Sclerosis (AML)Â </t>
  </si>
  <si>
    <t>Phase 3 topline results did not meet the primary endpoint, noted March 8, 2024.</t>
  </si>
  <si>
    <t>KYTX</t>
  </si>
  <si>
    <t>KYV-101</t>
  </si>
  <si>
    <t>Non-relapsing and progressive forms of multiple sclerosisÂ </t>
  </si>
  <si>
    <t>Phase 1 trial with Stanford University commenced, noted March 8, 2024.</t>
  </si>
  <si>
    <t>Wegovy (Semaglutide)</t>
  </si>
  <si>
    <t>Cardiovascular risk reduction in adults with obesityÂ </t>
  </si>
  <si>
    <t>Approved March 8, 2024.</t>
  </si>
  <si>
    <t>ABOS</t>
  </si>
  <si>
    <t>Sabirnetug (ACU193) - (INTERCEPT-AD)</t>
  </si>
  <si>
    <t>Phase 1 biomarker results presented at PD/AD support sabirnetug's downstream pharmacological effects in the brain in early AD, noted March 8, 2024.</t>
  </si>
  <si>
    <t>Afrezza Combined With Insulin Degludec - (INHALE-3)</t>
  </si>
  <si>
    <t>Phase 4 data presented at ATTD reported that post-meal hyperglycemia was significantly reduced by 20% with inhaled insulin compared with rapid-acting insulin delivered through MDI or insulin pumps, noted March 8, 2024.Â read less</t>
  </si>
  <si>
    <t>TLSA</t>
  </si>
  <si>
    <t>Foralumab (Intranasal)</t>
  </si>
  <si>
    <t>Alzheimerâ€™s DiseaseÂ </t>
  </si>
  <si>
    <t>IND clearance by FDA, noted August 15, 2023. Phase 1 data presented at the AD/PD Conference on March 8, 2024.</t>
  </si>
  <si>
    <t>Roflumilast Cream (ARQ-151) - (DERMIS-1)</t>
  </si>
  <si>
    <t>Plaque psoriasisÂ </t>
  </si>
  <si>
    <t>Additional data shared at AAD reported a clinically meaningful response in &gt;70% of patients, noted March 9, 2024.</t>
  </si>
  <si>
    <t>MLTX</t>
  </si>
  <si>
    <t>Nanobody sonelokimab - (IZAR)</t>
  </si>
  <si>
    <t>Active psoriatic arthritis (PsA)Â </t>
  </si>
  <si>
    <t>Phase 2b 24-week data reported that 52% of patients achieved ACR50+PASI100 and up to 61% of patients achieved Minimal Disease Activity (MDA), noted March 10, 2024.</t>
  </si>
  <si>
    <t>ZORYVE (roflumilast) Cream 0.05%</t>
  </si>
  <si>
    <t>Atopic Dermatitis - ages of 2-5 years oldÂ </t>
  </si>
  <si>
    <t>Phase 3 data to be shared at late-breaking presentation at AAD reported significant improvements in atopic dermatitis across multiple efficacy endpoints and all timepoints, noted March 10, 2024.</t>
  </si>
  <si>
    <t>LXRX</t>
  </si>
  <si>
    <t>Zynquista (sotagliflozin)</t>
  </si>
  <si>
    <t>Type 1 Diabetes and chronic kidney disease (CKD)Â </t>
  </si>
  <si>
    <t>After public Notice of Opportunity for Hearing (NOOH) proceeding in late 2023, the FDA issued feedback for sotagliflozin resbmisssion, noted March 11, 2024.</t>
  </si>
  <si>
    <t>AMGN</t>
  </si>
  <si>
    <t>Otezla - (SPROUT)</t>
  </si>
  <si>
    <t>Plaque psoriasis in pediatric patientsÂ </t>
  </si>
  <si>
    <t>Phase 3 results data presented at AAD reported that 56.3% of patients who received Otezla through week 52 achieved static Physician Global Assessment (sPGA) response, noted March 11, 2024.</t>
  </si>
  <si>
    <t>Phase 2 additional data reported that more than three quarters (79.2%) of on-treatment patients achieved at least a 50% reduction in AN count (AN50), 54.2% achieved a 75% reduction (AN75), 20.8% achieved 90% reduction (AN90), and 20.8% achieved complete clearance (100% reduction, AN100), surpassing the 56.3%, 25.0%, 12.5% and 12.5% reductions, respectively, in the vehicle control group, noted March 11, 2024.Â read less</t>
  </si>
  <si>
    <t>Povorcitinib (INCB54707)</t>
  </si>
  <si>
    <t>Prurigo NodularisÂ </t>
  </si>
  <si>
    <t>Phase 2 data reported that the trial met its primary endpoint, noted March 11, 2024.</t>
  </si>
  <si>
    <t>Eblasakimab (ASLAN004) - (TREK-DX)</t>
  </si>
  <si>
    <t>Atopic dermatitis (AD)Â </t>
  </si>
  <si>
    <t>Phase 2b preliminary review of blinded data from 22 patients treated to date, 45% (10/22) of patients saw at least a 90% reduction in their EASI score (EASI-90) and 50% (11/22) of patients achieved a vIGA score of 0 or 1 (clear or almost clear skin) after 16 weeks, noted March 11, 2024.Â read less</t>
  </si>
  <si>
    <t>Phase 1a/1b clinical hold lifted by the FDA, noted March 11, 2024.</t>
  </si>
  <si>
    <t>SONN</t>
  </si>
  <si>
    <t>SON-080 - (SB211)</t>
  </si>
  <si>
    <t>Chemotherapy Induced Peripheral Neuropathy (CIPN)Â </t>
  </si>
  <si>
    <t>Phase 1b/2a cleared after review by the independent DSMB, noted March 11, 2024.</t>
  </si>
  <si>
    <t>APRE</t>
  </si>
  <si>
    <t>APR-1051 - (ACESOT-1051)</t>
  </si>
  <si>
    <t>IND cleared by the FDA, noted March 11, 2024.</t>
  </si>
  <si>
    <t>Lebrikizumab</t>
  </si>
  <si>
    <t>Moderate-to-severe atopic dermatitisÂ </t>
  </si>
  <si>
    <t>Phase 3 data reported that 68% of people experienced significant improvement of at least 75% in disease extent and severity (EASI-75), noted March 11, 2024.</t>
  </si>
  <si>
    <t>VTX3232</t>
  </si>
  <si>
    <t>Phase 1 clinical update presented at virtual investor event showed that treatment was well-tolerated with no dose-limiting toxicities identified. All treatment-emergent adverse events were graded mild or moderate, noted March 11, 2024.Â read less</t>
  </si>
  <si>
    <t>VTX2735</t>
  </si>
  <si>
    <t>Healthy volunteers, cryopyrin-associated periodic syndrome (CAPS)Â </t>
  </si>
  <si>
    <t>Phase 2 trial ongoing, with clinical update presented at virtual investor event showed that treatment demonstrated clinically meaningful improvements in disease activity, including an 85% mean reduction in the Key Symptom Score during Treatment Period 1, noted March 11, 2024.Â read less</t>
  </si>
  <si>
    <t>Phase 2 OLE clinical update presented at the virtual investor event data continues to support the potentially differentiated profile of VTX002 in ulcerative colitis, with robust rates of clinical remission and endoscopic remission observed among participants completing 52 weeks of treatment with VTX002, noted March 11, 2024.Â read less</t>
  </si>
  <si>
    <t>NVCR</t>
  </si>
  <si>
    <t>Tumor Treating Fields (TTFields) - (INNOVATE-3)</t>
  </si>
  <si>
    <t>Ovarian cancerÂ </t>
  </si>
  <si>
    <t>Phase 3 exploratory subgroup analysis finds that pegylated liposomal doxorubicin (PLD) -naÃ¯ve patients randomized to receive TTFields therapy and paclitaxel had a median overall survival of 16.0 months compared to 11.7 months in PLD-naÃ¯ve patients treated with paclitaxel alone, noted March 11, 2024.Â read less</t>
  </si>
  <si>
    <t>TVTX</t>
  </si>
  <si>
    <t>FILSPARI (sparsentan)</t>
  </si>
  <si>
    <t>IgA nephropathy (IgAN)Â </t>
  </si>
  <si>
    <t>sNDA Filing</t>
  </si>
  <si>
    <t>sNDA submitted to the FDA, noted March 11, 2024.</t>
  </si>
  <si>
    <t>PN-235 (JNJ-77242113) - (FRONTIER 1)</t>
  </si>
  <si>
    <t>Phase 2b data presented at AAD reported that response rates were maintained from Week 16 to Week 52 with the highest PASI 75 response observed in the 100 mg twice daily group (78.6% at 16 weeks and 76.2% at 52 weeks), noted March 11, 2024Â read less</t>
  </si>
  <si>
    <t>PTGX</t>
  </si>
  <si>
    <t>Phase 2b data presented at AAD reported that response rates were maintained from Week 16 to Week 52 with the highest PASI 75 response observed in the 100 mg twice daily group (78.6% at 16 weeks and 76.2% at 52 weeks), noted March 11, 2024.Â read less</t>
  </si>
  <si>
    <t>ALMS</t>
  </si>
  <si>
    <t>Izokibep</t>
  </si>
  <si>
    <t>Hidradenitis Suppurativa (HS)Â </t>
  </si>
  <si>
    <t>Phase 2b long-term data reported that data demonstrated no evidence of increased safety liability with longer-term treatment and increased duration of therapy was associated with further clinical improvements over time, noted March 11, 2024.Â read less</t>
  </si>
  <si>
    <t>Psoriatic arthritis (PsA)Â </t>
  </si>
  <si>
    <t>VTRS</t>
  </si>
  <si>
    <t>Glatiramer (GA Depot)</t>
  </si>
  <si>
    <t>Primary Progressive Multiple Sclerosis (PPMS)Â </t>
  </si>
  <si>
    <t>CRL announced March 11, 2024.</t>
  </si>
  <si>
    <t>ACAD</t>
  </si>
  <si>
    <t>NUPLAZID (pimavanserin) - (Advance-2)</t>
  </si>
  <si>
    <t>Adjunctive treatment in patients with negative symptoms of schizophreniaÂ </t>
  </si>
  <si>
    <t>Phase 3 study did not meet its primary endpoint, noted March 11, 2024.</t>
  </si>
  <si>
    <t>TERN</t>
  </si>
  <si>
    <t>TERN-701 - (CARDINAL)</t>
  </si>
  <si>
    <t>Chronic myeloid leukemia (CML)Â </t>
  </si>
  <si>
    <t>Orphan drug designation grated by the FDA, noted March 11, 2024</t>
  </si>
  <si>
    <t>Phase 2 OLE dosing initiated, noted March 11, 2024.</t>
  </si>
  <si>
    <t>PSTV</t>
  </si>
  <si>
    <t>REYOBIQ (rhenium Re186 obisbemeda) - (ReSPECT-LM)</t>
  </si>
  <si>
    <t>Leptomeningeal metastases (LM)Â </t>
  </si>
  <si>
    <t>Phase 1 Cohort 5 dosing completed, noted March 11, 2024.</t>
  </si>
  <si>
    <t>Phase 1b MAD data from the second cohort, reported that a mechanistic dose response was observed at a 2mg/kg dose level based on urinary biomarker analyses, noted March 12, 2024.</t>
  </si>
  <si>
    <t>ADCETRIS (brentuximab vedotin) with lenalidomide and rituximab - (ECHELON-3)</t>
  </si>
  <si>
    <t>Relapsed/refractory diffuse large B-cell lymphoma (DLBCL)Â </t>
  </si>
  <si>
    <t>Phase 3 data reported a statistically significant and clinically meaningful improvement in overall survival (OS) compared to lenalidomide and rituximab plus placebo, noted March 12, 2024.</t>
  </si>
  <si>
    <t>Phase 1/2 initial data reported a partial Response in 1 patient with a PD-L1 negative mucoepidermoid carcinoma and a 54% reduction in target lesions and a complete response in non-target lesions, note</t>
  </si>
  <si>
    <t>CRNX</t>
  </si>
  <si>
    <t>Paltusotine</t>
  </si>
  <si>
    <t>Carcinoid syndrome associated with neuroendocrine tumors (NETs)Â </t>
  </si>
  <si>
    <t>Phase data from treatment demonstrated rapid and sustained reductions in the frequency and severity of flushing episodes and bowel movements. Results confirm initial positive data previously reported,</t>
  </si>
  <si>
    <t>CYB003 - (EXTEND and EMBRACE)</t>
  </si>
  <si>
    <t>Major Depressive Disorder (MDD) and Alcohol use disorder (AUD)Â </t>
  </si>
  <si>
    <t>Additional Phase 2 durability data reported with significant improvement in depression symptoms at four months with 75% of patients in remission from depression after two doses, noted March 13, 2024.</t>
  </si>
  <si>
    <t>SLN</t>
  </si>
  <si>
    <t>Zerlasiran (formerly SLN360) - (ALPACAR-360)</t>
  </si>
  <si>
    <t>Cardiovascular diseases and Polycythemia veraÂ </t>
  </si>
  <si>
    <t>Phase 2 study met its primary endpoint, noted March 13, 2024.</t>
  </si>
  <si>
    <t>PRTC</t>
  </si>
  <si>
    <t>LYT-200</t>
  </si>
  <si>
    <t>Relapsed/refractory AML and MDSÂ </t>
  </si>
  <si>
    <t>Phase 1b orphan drug designation granted by FDA, noted March 13, 2024.</t>
  </si>
  <si>
    <t>STAC-BBB</t>
  </si>
  <si>
    <t>Neurological diseasesÂ </t>
  </si>
  <si>
    <t>Preclinical data reported robust penetration of the BBB and widespread transgene expression throughout the brain, and the treatment was well tolerated in NHPs, with no notable treatment related pathological findings in brain, spinal cord or peripheral tissues, noted March 13, 2024.Â read less</t>
  </si>
  <si>
    <t>Mezagitamab (TAK-079) - (TAK-079-1004)</t>
  </si>
  <si>
    <t>Primary Immune ThrombocytopeniaÂ </t>
  </si>
  <si>
    <t>Phase 2 topline data reported that treatment was safe and well tolerated, with all mezagitamab doses tested demonstrated a higher platelet response rate than placebo, noted March 13, 2024.</t>
  </si>
  <si>
    <t>PHIO</t>
  </si>
  <si>
    <t>PH-762</t>
  </si>
  <si>
    <t>Cutaneous Squamous Cell CarcinomaÂ </t>
  </si>
  <si>
    <t>Phase 1b new trial sites opened, noted March 13, 2024.</t>
  </si>
  <si>
    <t>Tildacerfont - (CAHmelia-203)</t>
  </si>
  <si>
    <t>Congenital Adrenal Hyperplasia (poor disease control)Â </t>
  </si>
  <si>
    <t>Phase 2b top-line data reported that trial did not meet its primary endpoint, noted March 13, 2024.</t>
  </si>
  <si>
    <t>Tildacerfont - (CAHptain-205)</t>
  </si>
  <si>
    <t>Pediatric Classic Congenital Adrenal HyperplasiaÂ </t>
  </si>
  <si>
    <t>Phase 2 top-line data reported that 73% of all patients (22 of 30 patients) met the efficacy endpoint of A4 or GC reduction from baseline at 12 weeks with no treatment-related SAEs reported, noted March 13, 2024.Â read less</t>
  </si>
  <si>
    <t>MIRM</t>
  </si>
  <si>
    <t>LIVMARLI (maralixibat)</t>
  </si>
  <si>
    <t>Progressive Familial Intrahepatic Cholestasis (PFIC)Â </t>
  </si>
  <si>
    <t>Approval announced March 13, 2024.</t>
  </si>
  <si>
    <t>Preclinical data consistent with clinical observations made with Auxora, supporting the KOURAGE trial, noted March 13, 2024.</t>
  </si>
  <si>
    <t>IND filed to FDA, noted March 13, 2024.</t>
  </si>
  <si>
    <t>ION224</t>
  </si>
  <si>
    <t>metabolic dysfunction-associated steatohepatitis (MASH), previously referred to as nonalcoholic steatohepatitis (NASH)Â </t>
  </si>
  <si>
    <t>Phase 2 achieved statistically significant liver histologic improvement as measured by at least a 2-point reduction in NAFLD Activity Score (NAS), noted March 13, 2024.</t>
  </si>
  <si>
    <t>PCRX</t>
  </si>
  <si>
    <t>PCRX-201 (enekinragene inzadenovec) - (ASCEND)</t>
  </si>
  <si>
    <t>Osteoarthritis of the kneeÂ </t>
  </si>
  <si>
    <t>Additional 104-week data presented at ACR reported MRI B-score change from baseline ranged from 2.3 to 5.4 in the not pretreated cohort and from 2.6 to 5.9 in the steroid pretreated cohort, noted November 17, 2024. RMAT designation granted March 13, 2024.Â read less</t>
  </si>
  <si>
    <t>OCGN</t>
  </si>
  <si>
    <t>OCU410 - (ArMaDa)</t>
  </si>
  <si>
    <t>Geographic Atrophy (GA)Â </t>
  </si>
  <si>
    <t>Phase 1/2 dosing initiated March 13, 2024.</t>
  </si>
  <si>
    <t>Phase 1 topline data reported that 100% suppression of acquired RAS alterations was observed in evaluable patients profiled for ctDNA and treated with IMM-1-104, with 53% of patients had â‰¥ 1 target lesion(s) regress when treated with IMM-1-104 at either 320mg or 240mg, noted March 14, 2024.Â read less</t>
  </si>
  <si>
    <t>NVCT</t>
  </si>
  <si>
    <t>NXP800</t>
  </si>
  <si>
    <t>Ovarian Clear Cell CarcinomaÂ </t>
  </si>
  <si>
    <t>Phase 1b preliminary data reported that a 33% response rate and 100% disease control rate, defined as partial response ("PR") plus stable disease ("SD"), in patients evaluated for efficacy, noted March 14, 2024.Â read less</t>
  </si>
  <si>
    <t>GERN</t>
  </si>
  <si>
    <t>RYTELO (imetelstat) - (IMerge)</t>
  </si>
  <si>
    <t>Myelodysplastic syndromes with transfusion-dependent (TD) anemiaÂ </t>
  </si>
  <si>
    <t>Advisory committee voted 12 to 2 in favor, noted March 14, 2024.</t>
  </si>
  <si>
    <t>MDGL</t>
  </si>
  <si>
    <t>Rezdiffra (resmetirom)</t>
  </si>
  <si>
    <t>Non-alcoholic steatohepatitis (NASH) with liver fibrosis (also known as MASH)Â </t>
  </si>
  <si>
    <t>Approved on March 14, 2024.</t>
  </si>
  <si>
    <t>TEVIMBRA</t>
  </si>
  <si>
    <t>Esophageal Squamous Cell Carcinoma (ESCC)Â </t>
  </si>
  <si>
    <t>Approved March 14, 2024.</t>
  </si>
  <si>
    <t>Breyanzi (lisocabtagene maraleucel)</t>
  </si>
  <si>
    <t>Relapsed or Refractory Chronic Lymphocytic Leukemia (CLL) or Small Lymphocytic Lymphoma (SLL)Â </t>
  </si>
  <si>
    <t>Tislelizumab-jsgr (Tevimbra)</t>
  </si>
  <si>
    <t>Esophageal squamous cell carcinoma (ESCC)Â </t>
  </si>
  <si>
    <t>AQST</t>
  </si>
  <si>
    <t>Anaphylm (AQ-109)- (103)</t>
  </si>
  <si>
    <t>AnaphylaxisÂ </t>
  </si>
  <si>
    <t>Phase 3 trial met all primary and secondary pharmacokinetic endpoints, noted March 15, 2024.</t>
  </si>
  <si>
    <t>JSPR</t>
  </si>
  <si>
    <t>Briquilimab (JSP191)</t>
  </si>
  <si>
    <t>Fanconi Anemia (FA)Â </t>
  </si>
  <si>
    <t>Additional Phase 1/2 data reported that all six patients with Fanconi Anemia treated with briquilimab achieved full donor engraftment and full blood count recovery and briquilimab was well tolerated, noted March 15, 2024.Â read less</t>
  </si>
  <si>
    <t>CARVYKTI (ciltacabtagene autoleucel) - (CARTITUDE-4)</t>
  </si>
  <si>
    <t>Adcom resulted votes 11 to 0 supporting favorable risk-benefit assessment, noted March 15, 2024.</t>
  </si>
  <si>
    <t>LEGN</t>
  </si>
  <si>
    <t>OPTN</t>
  </si>
  <si>
    <t>XHANCE</t>
  </si>
  <si>
    <t>Chronic sinusitisÂ </t>
  </si>
  <si>
    <t>Approved March 15, 2024.</t>
  </si>
  <si>
    <t>TSVT</t>
  </si>
  <si>
    <t>Abecma (idecabtagene vicleucel; ide-cel)</t>
  </si>
  <si>
    <t>AdCom ODAC noted positively (8-3) that Abecma (idecabtagene vicleucel) demonstrated a favorable benefit/risk profile for patients, noted March 15, 2024.</t>
  </si>
  <si>
    <t>Phase 2 full results presented at ITACA reported that treatment significantly reduced the monthly attack rate, noted March 15, 2024.</t>
  </si>
  <si>
    <t>Phase 2 data presented at SGO reported that the overall response rate to nab-sirolimus for the subgroup was 37.5% (6/16), noted March 18, 2024.</t>
  </si>
  <si>
    <t>Imfinzi (durvalumab) in combination with carboplatin and paclitaxel</t>
  </si>
  <si>
    <t>Endometrial cancer (EC)Â </t>
  </si>
  <si>
    <t>Additional Phase 3 data reported that treatment demonstrated an improvement in multiple key secondary efficacy endpoints, particularly in patients with mismatch repair proficient (pMMR) advanced or recurrent endometrial cancer compared to chemotherapy alone, noted March 18, 2024.Â read less</t>
  </si>
  <si>
    <t>ALGS</t>
  </si>
  <si>
    <t>ALG-055009 - (HERALD)</t>
  </si>
  <si>
    <t>Phase 2a study initiated, noted March 18, 2024.</t>
  </si>
  <si>
    <t>IVA</t>
  </si>
  <si>
    <t>Lanifibranor in combination with empagliflozin (Jardiance1) - (LEGEND)</t>
  </si>
  <si>
    <t>Metabolic dysfunction-associated steatohepatitis (MASH), and type 2 diabetes (T2D)Â </t>
  </si>
  <si>
    <t>Phase 2a achieved its primary efficacy endpoint by significantly lowering HbA1c level in both the lanifibranor arm and in the lanifibranor with empagliflozin arm compared to placebo, noted March 18, 2</t>
  </si>
  <si>
    <t>PMVP</t>
  </si>
  <si>
    <t>Rezatapopt (PC14586) - (PYNNACLE)</t>
  </si>
  <si>
    <t>Phase 1/2 part 1 analysis showed promising efficacy of rezatapopt (PC14586) in heavily pre-treated patients, noted March 18, 2024</t>
  </si>
  <si>
    <t>PBM</t>
  </si>
  <si>
    <t>Psilocybin</t>
  </si>
  <si>
    <t>Adjustment Disorder due to a recent cancer diagnosisÂ </t>
  </si>
  <si>
    <t>Recent study published in the journal Molecular Psychiatry, suggests that nature-derived psilocybin may be demonstrably more therapeutic than its synthetic analog, noted March 18, 2024.</t>
  </si>
  <si>
    <t>EDURANT (rilpivirine)</t>
  </si>
  <si>
    <t>HIV in pediatric patients (2-12 years)Â </t>
  </si>
  <si>
    <t>Approved March 19, 2024.</t>
  </si>
  <si>
    <t>PALSONIFY (paltusotine)</t>
  </si>
  <si>
    <t>AcromegalyÂ </t>
  </si>
  <si>
    <t>Phase 3 topline data reported that the trial met its primary endpoint, noted March 19, 2024.</t>
  </si>
  <si>
    <t>PBGENE-PMM</t>
  </si>
  <si>
    <t>Primary mitochondrial myopathiesÂ </t>
  </si>
  <si>
    <t>Preclinical data presented at Mitochondrial Medicine Therapeutic Development (MMTD) annual conference demonstrated ARCUS' ability to efficiently eliminate mutant mitochondrial DNA without nuclear off-target editing, noted March 19, 2024.Â read less</t>
  </si>
  <si>
    <t>AXSM</t>
  </si>
  <si>
    <t>Sunosi (Solriamfetol) - (PARADIGM)</t>
  </si>
  <si>
    <t>Major depressive disorder (MDD)Â </t>
  </si>
  <si>
    <t>Phase 3 initiated, noted March 19, 2024.</t>
  </si>
  <si>
    <t>CERS</t>
  </si>
  <si>
    <t>INTERCEPT (ReCePI)</t>
  </si>
  <si>
    <t>Patients undergoing complex cardiac surgery proceduresÂ </t>
  </si>
  <si>
    <t>Phase 3 trial met the primary efficacy endpoint demonstrating non-inferiority of the incidence of acute kidney injury, noted March 19, 2024.</t>
  </si>
  <si>
    <t>Phase 1 results reported that stable disease status was confirmed, and the new onset metastatic disease, which completely resolved on repeat MRI imaging performed six weeks from the beginning of treat</t>
  </si>
  <si>
    <t>SLS-005 (IV trehalose) - (HEALEY ALS Platform Trial)</t>
  </si>
  <si>
    <t>Amyotrophic lateral sclerosis (ALS)Â </t>
  </si>
  <si>
    <t>Phase 2/3 trial did not meet the primary and secondary endpoint in the Full Analysis Set (FAS), noted March 19, 2024.</t>
  </si>
  <si>
    <t>HOTH</t>
  </si>
  <si>
    <t>HT-ALZ</t>
  </si>
  <si>
    <t>Alzheimer's DiseaseÂ </t>
  </si>
  <si>
    <t>Preclinical data research presented compelling evidence of HT-ALZ's capacity to improve memory tasks related to the hippocampus and sensorimotor gating, showcasing an important step forward in Alzheim</t>
  </si>
  <si>
    <t>Subcutaneous briquilimab - (SPOTLIGHT)</t>
  </si>
  <si>
    <t>Chronic inducible urticaria (CIndU)Â </t>
  </si>
  <si>
    <t>Phase 1b/2a patient enrollment commenced, noted March 19, 2024</t>
  </si>
  <si>
    <t>ALIM</t>
  </si>
  <si>
    <t>ILUVIEN - (New Day)</t>
  </si>
  <si>
    <t>Visual Acuity Loss due to Radiation RetinopathyÂ </t>
  </si>
  <si>
    <t>Phase 1 first patient dosed, noted March 19, 2024.</t>
  </si>
  <si>
    <t>V116 - (STRIDE-6)</t>
  </si>
  <si>
    <t>Pneumococcal Conjugate VaccineÂ </t>
  </si>
  <si>
    <t>Phase 3 extensive data reaffirms confidence in the potential clinical value V116 could provide to a range of adult populations, noted March 19, 2024.</t>
  </si>
  <si>
    <t>CVM</t>
  </si>
  <si>
    <t>CEL-4000</t>
  </si>
  <si>
    <t>Rheumatoid arthritis (RA)Â </t>
  </si>
  <si>
    <t>Preclinical data published at the scientific journal Frontiers in Immunology showed that treatment may deliver safe and effective therapy for RA by rebalancing the inflammatory response, without weak</t>
  </si>
  <si>
    <t>ICLUSIG (ponatinib) - (PhALLCON)</t>
  </si>
  <si>
    <t>Philadelphia chromosome-positive acute lymphoblastic leukemia (Ph+ ALL)Â </t>
  </si>
  <si>
    <t>FDA approved on March 19, 2024.</t>
  </si>
  <si>
    <t>TSHA</t>
  </si>
  <si>
    <t>TSHA-102 - (REVEAL)</t>
  </si>
  <si>
    <t>Rett syndromeÂ </t>
  </si>
  <si>
    <t>Phase 1/2 clinical data from cohort one (low dose) showed that dosing was well-tolerated with no treatment-emergent SAEs as of 35-week assessment. Data from second adult patient showed TSHA-102 (low d</t>
  </si>
  <si>
    <t>AEON</t>
  </si>
  <si>
    <t>ABP-450 (prabotulinumtoxinA)</t>
  </si>
  <si>
    <t>Chronic Migraine (prophylaxis)Â </t>
  </si>
  <si>
    <t>FDA and AEON align on the design and endpoints for the proposed pivotal Phase 3 trials for the preventive treatment of both episodic and chronic migraine, noted March 19, 2024.</t>
  </si>
  <si>
    <t>Opdivo (nivolumab) plus Yervoy (ipilimumab) - (CheckMate -9DW)</t>
  </si>
  <si>
    <t>Hepatocellular carcinoma (HCC)Â </t>
  </si>
  <si>
    <t>Phase 3 trial met primary endpoint, noted March 20, 2024.</t>
  </si>
  <si>
    <t>Subcutaneous lonigutamab - (LONGITUDE)</t>
  </si>
  <si>
    <t>Thyroid eye disease (TED)Â </t>
  </si>
  <si>
    <t>Phase 1/2 proof of concept data exhibited rapid improvements demonstrated for proptosis, clinical activity scores, and diplopia versus placebo with a favorable safety profile, noted March 20, 2024.</t>
  </si>
  <si>
    <t>ENTX</t>
  </si>
  <si>
    <t>N-Tab (GLP-2 agonist)</t>
  </si>
  <si>
    <t>Short Bowel SyndromeÂ </t>
  </si>
  <si>
    <t>PK data reported that the trial objective were met, with oral GLP-2 tablets exhibiting significant systemic exposure, noted March 20, 2024.</t>
  </si>
  <si>
    <t>TFFP</t>
  </si>
  <si>
    <t>TFF TAC (Tacrolimus Inhalation Powder)</t>
  </si>
  <si>
    <t>Lung transplant (post)Â </t>
  </si>
  <si>
    <t>Phase 2 data reported that eight out of eight patients have successfully transitioned from oral Tacrolimus to TFF TAC, with favorable safety results with no mortality or discontinuations due to advers</t>
  </si>
  <si>
    <t>BNOX</t>
  </si>
  <si>
    <t>BNC210 - (ATTUNE)</t>
  </si>
  <si>
    <t>Phase 2b results reported that BNC210 led to statistically significant improvement (p&lt;0.05) in the following secondary endpoints: depressive symptoms as measured by the Montgomery-Ã…sberg Depression Ra</t>
  </si>
  <si>
    <t>KEYTRUDA + LYNPARZA - (KEYLYNK-006)</t>
  </si>
  <si>
    <t>Metastatic nonsquamous non-small cell lung cancer (NSCLC)Â </t>
  </si>
  <si>
    <t>Phase 3 data reported that the trial did not meet its dual primary endpoints of overall survival (OS) and progression-free survival (PFS), noted March 21, 2024.</t>
  </si>
  <si>
    <t>INTASYL</t>
  </si>
  <si>
    <t>Hematological malignanciesÂ </t>
  </si>
  <si>
    <t>Preclinical data presented at Immunotherapy of Cancer Conference (ITOC10) reported a consistent silencing of Cbl-b mRNA, which has been shown to limit NK cell activation, noted March 21, 2024.</t>
  </si>
  <si>
    <t>VX-407</t>
  </si>
  <si>
    <t>Autosomal Dominant Polycystic Kidney Disease (ADPKD), healthy volunteersÂ </t>
  </si>
  <si>
    <t>IND cleared by the FDA, noted March 21, 2024.</t>
  </si>
  <si>
    <t>ALPN</t>
  </si>
  <si>
    <t>ALPN-303 - (DENALI)</t>
  </si>
  <si>
    <t>Systemic lupus erythematosus (SLE)Â </t>
  </si>
  <si>
    <t>Preclinical data presented at SLEuro demonstrated greater reductions in disease activity in a mouse model of lupus compared to WT TACI-Ig or B cell depletion, noted March 21, 2024.</t>
  </si>
  <si>
    <t>NKTX</t>
  </si>
  <si>
    <t>NKX101</t>
  </si>
  <si>
    <t>Acute myeloid leukemia / myelodysplastic syndromesÂ </t>
  </si>
  <si>
    <t>Phase 1 trial update reported that enrollment has been closed, with the aggregate CR/CRi rate (5 of 20 patients) was lower than what had been observed in the first 6 patients in the cohort, noted Marc</t>
  </si>
  <si>
    <t>Mirvetuximab - (MIRASOL)</t>
  </si>
  <si>
    <t>Cancer - ovarian cancer and relapsed endometrial cancerÂ </t>
  </si>
  <si>
    <t>Approved March 22, 2024.</t>
  </si>
  <si>
    <t>Phase 2 additional efficacy data showed a statistically significant and durable reduction in ocular pain statistically significant improvement in Tear Film Break-Up Time (TFBUT) throughout the study,</t>
  </si>
  <si>
    <t>Phase 2 combination data shared at the 2024 European Lung Cancer Congress (ELCC 2024) showed that patients experienced a median PFS of 11.1 months (95% CI: 9.5 â€“ 16.3 months). The frequency of treatme</t>
  </si>
  <si>
    <t>ivonescimab (AK112-202)</t>
  </si>
  <si>
    <t>Patients with Advanced Non-Small Cell Lung Cancer (NSCLC) and Brain MetastasesÂ </t>
  </si>
  <si>
    <t>Phase 2 monotherapy data shared at the 2024 European Lung Cancer Congress (ELCC 2024) showed that treatment led to intracranial responses among 34% of patients with brain metastases at baseline â€“ 23%</t>
  </si>
  <si>
    <t>ELAHERE (mirvetuximab soravtansine-gynx)</t>
  </si>
  <si>
    <t>Platinum-Resistant Ovarian CancerÂ </t>
  </si>
  <si>
    <t>Full approval announced March 22, 2024.</t>
  </si>
  <si>
    <t>IVVD</t>
  </si>
  <si>
    <t>PEMGARDA (VYD222 (pemivibart)) - (CANOPY)</t>
  </si>
  <si>
    <t>COVID-19 PreventionÂ </t>
  </si>
  <si>
    <t>EUA approval announced March 22, 2024.</t>
  </si>
  <si>
    <t>Additional Phase 3 data reported that only one patient (0.03%) was symptomatic after 90 days, noted March 22, 2024.</t>
  </si>
  <si>
    <t>ESPR</t>
  </si>
  <si>
    <t>NEXLETOL (bempedoic acid) - (CLEAR Outcomes)</t>
  </si>
  <si>
    <t>Cardiovascular DiseasesÂ </t>
  </si>
  <si>
    <t>Poster presentation delivers pre-clinical results that demonstrate that its lead development product, Telomir-1, elongates telomere caps on human normal embryonic fibroblast cells, noted March 22, 202</t>
  </si>
  <si>
    <t>Ewing's and other FET-rearranged sarcomasÂ </t>
  </si>
  <si>
    <t>Phase 1/2 trial enrollment resumed, noted March 22, 2024.</t>
  </si>
  <si>
    <t>ZL-1310 (DLL3 ADC)</t>
  </si>
  <si>
    <t>Solid tumors, relapsed and refractory second-line+ SCLCÂ </t>
  </si>
  <si>
    <t>Preclinical data presented at ELCC reported strong and specific binding to DLL3 on the cell surface, leading to internalization, cell cycle arrest and the induction of apoptosis in tumor cells, noted</t>
  </si>
  <si>
    <t>Reboxetine (AXS-12) - (SYMPHONY)</t>
  </si>
  <si>
    <t>NarcolepsyÂ </t>
  </si>
  <si>
    <t>Phase 3 trial met its primary endpoint, noted March 25, 2024.</t>
  </si>
  <si>
    <t>ULTOMIRIS (ravulizumab-cwvz)</t>
  </si>
  <si>
    <t>Neuromyelitis Optica Spectrum Disorder (NMOSD)Â </t>
  </si>
  <si>
    <t>Approved March 25, 2024.</t>
  </si>
  <si>
    <t>ULTOMIRIS (ravulizumab-cwvz) - (CHAMPION-NMOSD)</t>
  </si>
  <si>
    <t>Neuromyelitis optica spectrum disorder (NMOSD)Â </t>
  </si>
  <si>
    <t>FDA Approved on March 25, 2024.</t>
  </si>
  <si>
    <t>ATXS</t>
  </si>
  <si>
    <t>Navenibart (STAR-0215) - (ALPHA-ORBIT)</t>
  </si>
  <si>
    <t>Hereditary angioedema (HAE), healthy volunteersÂ </t>
  </si>
  <si>
    <t>Phase 1b/2 proof of concept data reported favorable safety and tolerability profile, mean monthly attack rate reduction of 90-96% for up to 6 months of follow up, noted March 25, 2024.</t>
  </si>
  <si>
    <t>APG808</t>
  </si>
  <si>
    <t>Healthy volunteer, asthma, COPDÂ </t>
  </si>
  <si>
    <t>Phase 1 dosing commenced and preclinical data demonstrated the potential for improved dosing over other treatment options in development, including the potential for dosing every six- or eight- weeks</t>
  </si>
  <si>
    <t>MBRX</t>
  </si>
  <si>
    <t>Annamycin (MB-106) in combination with Cytarabine - (Ara-C, MIRACLE)</t>
  </si>
  <si>
    <t>Acute Myeloid Leukemia (AML)Â </t>
  </si>
  <si>
    <t>Phase 1/2 topline data reported a complete response composite (CRc) rate of 39% in all currently evaluable, intent to treat subjects (n= 18), noted March 25, 2024.</t>
  </si>
  <si>
    <t>Odronextamab - (OLYMPIA)</t>
  </si>
  <si>
    <t>Non-Hodgkin Lymphoma (NHL)Â </t>
  </si>
  <si>
    <t>CRL issued by FDA on March 25 2024.</t>
  </si>
  <si>
    <t>ARWR</t>
  </si>
  <si>
    <t>Plozasiran (ARO-APOC3-2001) - (SHASTA-2)</t>
  </si>
  <si>
    <t>HypertriglyceridemiaÂ </t>
  </si>
  <si>
    <t>Phase 2 expanded Access Program (EAP) initiated, noted March 25, 2024.</t>
  </si>
  <si>
    <t>RM-718</t>
  </si>
  <si>
    <t>Hypothalamic ObesityÂ </t>
  </si>
  <si>
    <t>Phase 1 trial dosing initiated, noted March 25, 2024.</t>
  </si>
  <si>
    <t>Plinabulin with Pembrolizumab plus Etoposide/Platinum (EP)</t>
  </si>
  <si>
    <t>1L Extensive-Stage Small-Cell Lung Cancer (ES-SCLC)Â </t>
  </si>
  <si>
    <t>Phase 2 investigator-initiated trial (IIT) dosing initiated, noted March 25, 2024.</t>
  </si>
  <si>
    <t>BYSI</t>
  </si>
  <si>
    <t>SYRS</t>
  </si>
  <si>
    <t>Tamibarotene (SY-1425) and VIDAZA (azaciditine) - (SELECT-MDS-1)</t>
  </si>
  <si>
    <t>Myelodysplastic SyndromeÂ </t>
  </si>
  <si>
    <t>Phase 3 enrollment completed, noted March 25, 2024</t>
  </si>
  <si>
    <t>Docetaxel</t>
  </si>
  <si>
    <t>Metastatic and unresectable tumorsÂ </t>
  </si>
  <si>
    <t>Preclinical in vivo data reported that an oral LNC-docetaxel, at a total administered dose of more than 8x greater than IV-docetaxel, showed no evidence of weight loss, compared to an average peak wei</t>
  </si>
  <si>
    <t>STOK</t>
  </si>
  <si>
    <t>Zorevunersen (STK-001) - (EMPEROR)</t>
  </si>
  <si>
    <t>Dravet syndromeÂ </t>
  </si>
  <si>
    <t>Phase 1/2a end of study data of 70mg doses demonstrated substantial and sustained reductions in convulsive seizure frequency on top of the best available anti-seizure medicines, noted March 25, 2024.</t>
  </si>
  <si>
    <t>NKGN</t>
  </si>
  <si>
    <t>Troculeucel (SNK01)</t>
  </si>
  <si>
    <t>Phase 1 additional data suggested clinical activity regarding cognitive function in patients with advanced Alzheimer's disease in addition to previously disclosed positive effects on amyloid protein a</t>
  </si>
  <si>
    <t>AMRX</t>
  </si>
  <si>
    <t>ciprofloxacin and dexamethasone otic suspension</t>
  </si>
  <si>
    <t>Acute Otitis Externa (AOE) in pediatric (age 6 months and older), adult, and elderly patients due to staphylococcus aureus and pseudomonas aeruginosa.Â </t>
  </si>
  <si>
    <t>ANDA Approval from the FDA, noted March 25, 2024.</t>
  </si>
  <si>
    <t>Odronextamab</t>
  </si>
  <si>
    <t>Relapsed/refractory (R/R) follicular lymphoma (FL) or R/R diffuse large B-cell lymphoma (DLBCL)Â </t>
  </si>
  <si>
    <t>CRL issued March 25, 2024.</t>
  </si>
  <si>
    <t>PRAX</t>
  </si>
  <si>
    <t>PRAX-628</t>
  </si>
  <si>
    <t>Photo-Paroxysmal Response (PPR)Â </t>
  </si>
  <si>
    <t>Phase 2 data reported a 100% complete response rate in the 45 mg cohort, and in the 15 mg cohort, 80% of patients achieved a complete response and 20% achieved a partial response, noted March 26, 2024</t>
  </si>
  <si>
    <t>Phase 1b/2 topline data reported a 10% response rate in the 45 mg QW safety cohort , 20% response rate in the 60 mg QW cohort, and 50% response rate in the 60 mg, 2 x 30 mg BIW cohort, noted March 26,</t>
  </si>
  <si>
    <t>TECX</t>
  </si>
  <si>
    <t>TX45</t>
  </si>
  <si>
    <t>Group 2 Pulmonary HypertensionÂ </t>
  </si>
  <si>
    <t>Phase 1a clinical program advancing on track based on promising initial data, noted March 26, 2024.</t>
  </si>
  <si>
    <t>VK2735</t>
  </si>
  <si>
    <t>Metabolic and endocrine disorders (GLP-1)Â </t>
  </si>
  <si>
    <t>Phase 1 data was shown to be safe and well-tolerated in the 28-day study with low rates of GI-related adverse events. Up to 3.3% placebo-adjusted mean weight loss (5.3% from baseline) observed after 2</t>
  </si>
  <si>
    <t>INTERCEPT</t>
  </si>
  <si>
    <t>PlateletsÂ </t>
  </si>
  <si>
    <t>FDA has granted approval of 12-month shelf life for INTERCEPT Platelet Processing Sets, from the date of manufacture, effective immediately, noted March 26, 2024.</t>
  </si>
  <si>
    <t>LITS</t>
  </si>
  <si>
    <t>Voruciclib plus Venclexta (venetoclax)</t>
  </si>
  <si>
    <t>B-Cell Malignancies or Acute Myeloid Leukemia (AML)Â </t>
  </si>
  <si>
    <t>Additional Phase 1 data observed anti-leukemic activity in multiple heavily pretreated patients in the dose escalation cohorts, including responses, anticipated decreases in myeloid leukemia cell diff</t>
  </si>
  <si>
    <t>MEIP</t>
  </si>
  <si>
    <t>Zorevunersen (STK-001)</t>
  </si>
  <si>
    <t>Dravet SyndromeÂ </t>
  </si>
  <si>
    <t>Phase 1/2 data demonstrated durable reductions in seizures and clinically meaningful improvements in multiple measures of cognition and behavior were maintained over 12 months with continued dosing at</t>
  </si>
  <si>
    <t>Iomab-ACT</t>
  </si>
  <si>
    <t>Targeted conditioning prior to CD19 CAR T-cell therapyÂ </t>
  </si>
  <si>
    <t>Phase 1 trial has commenced enrollment, noted March 26, 2024.</t>
  </si>
  <si>
    <t>ZVRA</t>
  </si>
  <si>
    <t>Serdexmethylphenidate (SDX) - (KP1077)</t>
  </si>
  <si>
    <t>Idiopathic hypersomnia (IH)Â </t>
  </si>
  <si>
    <t>Phase 2 topline data demonstrated clinically meaningful impact and encouraging outcomes on both clinical safety and efficacy, noted March 26, 2024.</t>
  </si>
  <si>
    <t>WINREVAIR (sotatercept-csrk)</t>
  </si>
  <si>
    <t>Pulmonary arterial hypertension (PAH)Â </t>
  </si>
  <si>
    <t>Approved March 26, 2024.</t>
  </si>
  <si>
    <t>Efgartigimod - (RHO)</t>
  </si>
  <si>
    <t>Primary Sjogren's syndromeÂ </t>
  </si>
  <si>
    <t>Phase 2 trial data reported safety and tolerability profile that was consistent with other clinical trials, and a treatment effect across multiple clinical endpoints, noted March 27, 2024.</t>
  </si>
  <si>
    <t>MRNA</t>
  </si>
  <si>
    <t>mRNA-1283 - (NEXTCove)</t>
  </si>
  <si>
    <t>Phase 3 data reported a higher immune response against both the Omicron BA.4/BA.5 and original virus strains of SARS-CoV-2 compared to mRNA-1273.222, noted March 27, 2024.</t>
  </si>
  <si>
    <t>Tumor Treating Fields (TTFields) - (METIS)</t>
  </si>
  <si>
    <t>Brain Metastases Originating from Non-Small Cell Lung CancerÂ </t>
  </si>
  <si>
    <t>Phase 3 final data clinical trial met its primary endpoint, demonstrating a statistically significant improvement in time to intracranial progression for adult patients treated with Tumor Treating Fie</t>
  </si>
  <si>
    <t>BPL-003</t>
  </si>
  <si>
    <t>Resistant DepressionÂ </t>
  </si>
  <si>
    <t>Phase 2a initial results demonstrated that a single 10mg dose of BPL-003 was well-tolerated and resulted in a rapid onset and durable antidepressant effect in patients living with TRD, noted March 27,</t>
  </si>
  <si>
    <t>Phase 2 body composition study showed lean mass preservation, with only 25.5% of weight loss derived from lean mass, noted March 27, 2024.</t>
  </si>
  <si>
    <t>HepTCell</t>
  </si>
  <si>
    <t>Hepatitis BÂ </t>
  </si>
  <si>
    <t>Phase 2 clinical trial evaluating the efficacy has been completed. The overall response in the trial was deemed to be insufficient to warrant further advancement. As a result, any further development</t>
  </si>
  <si>
    <t>AVTX</t>
  </si>
  <si>
    <t>AVTX-009 (anti-IL-1Î² mAb) - (LOTUS)</t>
  </si>
  <si>
    <t>Avalo acquires Phase 2-ready anti-IL-1Î² mAb, AVTX-009, through acquisition of AlmataBio, Inc, noted March 27 , 2024. Phase 2 topline results from trial planned expected in 2026.</t>
  </si>
  <si>
    <t>Voriconazole Inhalation Powder - (VORI)</t>
  </si>
  <si>
    <t>Invasive Pulmonary Aspergillosis (IPA)Â </t>
  </si>
  <si>
    <t>Phase 2 data continue to demonstrate antifungal activity and a favorable safety and tolerability profile, noted March 27, 2024.</t>
  </si>
  <si>
    <t>Phase 2 8/8 patients successfully transitioned from oral tacrolimus to TFF TAC with no sign of acute rejection at reduced systemic exposures, noted March 27, 2024.</t>
  </si>
  <si>
    <t>Gamida Cell does not plan to conduct further development of GDA-201 at this time, as noted on March 27, 2024.</t>
  </si>
  <si>
    <t>Pexa-Vec in combination with cemiplimab - (REN026)</t>
  </si>
  <si>
    <t>Metastatic or unresectable renal cell carcinoma (RCC).Â </t>
  </si>
  <si>
    <t>Phase 1b/2a study demonstrated an acceptable safety profile and encouraging efficacy of the combination therapy of Pexa-Vec, an engineered oncolytic vaccinia virus, and Libtayo (cemiplimab), anti-PD-1</t>
  </si>
  <si>
    <t>Setrusumab (BPS-804) - (ORBIT)</t>
  </si>
  <si>
    <t>Osteogenesis ImperfectaÂ </t>
  </si>
  <si>
    <t>Phase 3 enrollment to be completed around the end of 1Q 2024/1H 2024.</t>
  </si>
  <si>
    <t>MREO</t>
  </si>
  <si>
    <t>AKBA</t>
  </si>
  <si>
    <t>Vafseo (vadadustat)</t>
  </si>
  <si>
    <t>Anemia due to Chronic Kidney Disease in Adult Patients on DialysisÂ </t>
  </si>
  <si>
    <t>Approved March 28, 2024.</t>
  </si>
  <si>
    <t>RVPH</t>
  </si>
  <si>
    <t>Brilaroxazine - (RECOVER)</t>
  </si>
  <si>
    <t>Phase 3 safety and efficacy shared at ASCPT reported that the 50 mg dose provided a significant decrease in primary (Total PANSS) with a discontinuation rate lower than 6%, noted March 27, 2024.</t>
  </si>
  <si>
    <t>Phase 1 single-dose results demonstrated safety at a medium dose of 500 micrograms administered subcutaneously in the third of five planned cohorts of subjects in the single dose portion of the Phase</t>
  </si>
  <si>
    <t>MIST</t>
  </si>
  <si>
    <t>CARDAMYST (etripamil) - (RAPID)</t>
  </si>
  <si>
    <t>Paroxysmal supraventricular tachycardia (PSVT)Â </t>
  </si>
  <si>
    <t>NDA resubmitted to FDA, noted March 28, 2024.</t>
  </si>
  <si>
    <t>Apraglutide - (STARGAZE)</t>
  </si>
  <si>
    <t>Acute Graft-Versus-Host DiseaseÂ </t>
  </si>
  <si>
    <t>Phase 2 initial data reported that treatment was well-tolerated with an acceptable safety profile, noted March 28, 2024.</t>
  </si>
  <si>
    <t>LPCN</t>
  </si>
  <si>
    <t>LPCN 1148</t>
  </si>
  <si>
    <t>Liver cirrhosis, specifically prevention of OHE recurrence and treatment of sarcopeniaÂ </t>
  </si>
  <si>
    <t>Phase 2 data reported that that participants who received LPCN 1148 during Stage 1 had a significant increase in L3-SMI of 4.1 cm2/m2 (8.8%) at Week 24, noted March 28, 2024.</t>
  </si>
  <si>
    <t>Efarindodekin Alfa (XTX301)</t>
  </si>
  <si>
    <t>Xilio granted Gilead an exclusive global license to develop and commercialize XTX301, Xilio's tumor-activated IL-12, noted March 28, 2024.</t>
  </si>
  <si>
    <t>XLO</t>
  </si>
  <si>
    <t>Revuforj (revumenib) - (AUGMENT-101)</t>
  </si>
  <si>
    <t>Relapsed/refractory (R/R) acute leukemiasÂ </t>
  </si>
  <si>
    <t>Phase 2 enrollment completed, noted March 28, 2024.</t>
  </si>
  <si>
    <t>OCEA</t>
  </si>
  <si>
    <t>VRON-0200</t>
  </si>
  <si>
    <t>Phase 1b preliminary data reported that VRON-0200 was safe and well tolerated, with no clinical or laboratory changes of concern, noted March 28, 2024.</t>
  </si>
  <si>
    <t>Phase 1/2 found to suppress cancer stem cells that promote drug resistance to KRASG12C and KRASG12D inhibitors and solid tumor recurrence, noted March 28, 2024.</t>
  </si>
  <si>
    <t>GRTX</t>
  </si>
  <si>
    <t>Rucosopasem (GC4711) - (GRECO-1)</t>
  </si>
  <si>
    <t>Non-Small Cell Lung Cancer (NSCLC)Â </t>
  </si>
  <si>
    <t>Trial discontinued, noted March 28, 2024.</t>
  </si>
  <si>
    <t>Rucosopasem (GC4711) - (GRECO-2)</t>
  </si>
  <si>
    <t>Govorestat (AT-007) - (ACTION-Galactosemia kids)</t>
  </si>
  <si>
    <t>GalactosemiaÂ </t>
  </si>
  <si>
    <t>PDUFA PR date of August 28, 2024. The FDA has set a new PDUFA target action date of November 28, 2024.</t>
  </si>
  <si>
    <t>NBIX</t>
  </si>
  <si>
    <t>NBI-1065890</t>
  </si>
  <si>
    <t>CNS IndicationsÂ </t>
  </si>
  <si>
    <t>Phase 1 initiated, noted March 28, 2024.</t>
  </si>
  <si>
    <t>Phase 1b showed that serial procedures were well tolerated without observed dose-limiting toxicity in first cohort, noted March 28, 2024.</t>
  </si>
  <si>
    <t>KRAZATI (adagrasib) and Taxotere (Docetaxel) - (KRYSTAL-12)</t>
  </si>
  <si>
    <t>Phase 3 trial met its primary endpoints, noted March 28, 2024.</t>
  </si>
  <si>
    <t>CNTX</t>
  </si>
  <si>
    <t>CTIM-76</t>
  </si>
  <si>
    <t>Various cancersÂ </t>
  </si>
  <si>
    <t>IND submitted on March 28, 2024.</t>
  </si>
  <si>
    <t>EQ</t>
  </si>
  <si>
    <t>Itolizumab (EQ001) - (EQUALISE)</t>
  </si>
  <si>
    <t>Systemic lupus erythematosus (SLE) and lupus nephritis (LN)Â </t>
  </si>
  <si>
    <t>Phase 1b topline data continues to show clinically meaningful response in highly proteinuric subjects. More than 80% of subjects achieved &gt;50% reduction in urine protein creatinine ratio (UPCR), noted</t>
  </si>
  <si>
    <t>GRTS</t>
  </si>
  <si>
    <t>GRANITE-CRC-1L</t>
  </si>
  <si>
    <t>1L Microsatellite-Stable Colorectal Cancer (MSS-CRC)Â </t>
  </si>
  <si>
    <t>Phase 2/3 preliminary data reported that the PFS trends favor GRANITE recipients with hazard ratios of 0.82 in the overall population and 0.52 in a high-risk group, noted April 1, 2024.</t>
  </si>
  <si>
    <t>Tumor Treating Fields (TTFields) with pembrolizumab and temozolomide - (TIGER)</t>
  </si>
  <si>
    <t>Glioblastoma (GBM)Â </t>
  </si>
  <si>
    <t>Phase 2 long-term data presented at ASCO reported that the median OS and PFS were 19.6 months (95% CI, 17.9â€“22.4) and 10.2 months, noted April 1, 2024.</t>
  </si>
  <si>
    <t>YUTREPIA</t>
  </si>
  <si>
    <t>Interstitial lung disease (PH-ILD)Â </t>
  </si>
  <si>
    <t>A District Court set aside the injunction and the FDA is no longer enjoined from issuing final approval of Liquidia's New Drug Application (NDA) for YUTREPIA (treprostinil) inhalation powder, noted Ap</t>
  </si>
  <si>
    <t>VOYDEYA (danicopan) add-on to SoC with ULTOMIRIS (ravulizumab-cwvz) or SOLIRIS (eculizumab)- (ALPHA)</t>
  </si>
  <si>
    <t>Paroxysmal nocturnal hemoglobinuria (PNH) and atypical Hemolytic Uremic Syndrome (aHUS)Â </t>
  </si>
  <si>
    <t>FDA Approved on April 1, 2024.</t>
  </si>
  <si>
    <t>Sunosi (Solriamfetol) - (ENGAGE)</t>
  </si>
  <si>
    <t>Binge eating disorderÂ </t>
  </si>
  <si>
    <t>Phase 3 initiated, noted April 1, 2024.</t>
  </si>
  <si>
    <t>inaxaplin (VX-147) - (AMPLITUDE)</t>
  </si>
  <si>
    <t>Proteinuric kidney disease with two mutations in the APOL1 gene (AMKD)Â </t>
  </si>
  <si>
    <t>Phase 2/3 trial part 3 dosing initiated with expanded access to include adolescents with AMKD ages 10 to 17 years. An Independent Data Monitoring Committee (IDMC) reviewed Phase 2 safety and efficacy</t>
  </si>
  <si>
    <t>Bitopertin - (APOLLO)</t>
  </si>
  <si>
    <t>Erythropoietic Protoporphyria (EPP)Â </t>
  </si>
  <si>
    <t>Phase 2 study met its primary endpoint. Despite improved measures of light tolerance, including the key secondary endpoint, in both 20 mg and 60 mg dose groups, but it did not meet statistical signifi</t>
  </si>
  <si>
    <t>VTGN</t>
  </si>
  <si>
    <t>PH94B - (PALISADE-3)</t>
  </si>
  <si>
    <t>Social Anxiety Disorder (SAD)Â </t>
  </si>
  <si>
    <t>PALISADE-3 initiated, noted April 1, 2024.</t>
  </si>
  <si>
    <t>SRZN</t>
  </si>
  <si>
    <t>SZN-043</t>
  </si>
  <si>
    <t>Severe alcohol associated hepatitisÂ </t>
  </si>
  <si>
    <t>Phase 1a demonstrated acceptable safety and tolerability with no reported serious adverse events, noted April 1, 2024.</t>
  </si>
  <si>
    <t>Phase 3 results demonstrated Iomab-B's ability to overcome the negative impact of a TP53 mutation in patients who otherwise would have limited treatment options and dismal prognosis, noted April 1, 20</t>
  </si>
  <si>
    <t>CORT</t>
  </si>
  <si>
    <t>Relacorilant - (GRADIENT)</t>
  </si>
  <si>
    <t>Cushingâ€™s syndromeÂ </t>
  </si>
  <si>
    <t>Phase 3 enrollment completed, noted April 1, 2024.</t>
  </si>
  <si>
    <t>Phase 2 was initiated, noted January 8, 2024. Phase 2 data reported that in patient one, fasting C-peptide increased by 80% compared to baseline. In patient two, fasting C-peptide increased by 16% com</t>
  </si>
  <si>
    <t>VERVE-101 - (Heart-1)</t>
  </si>
  <si>
    <t>Heterozygous familial hypercholesterolemia (HeFH)Â </t>
  </si>
  <si>
    <t>Phase 1b clinical trial demonstrated LDL-C reduction of up to 73% at 0.45 mg/kg. Company to pause enrollment in Heart-1 clinical trial following asymptomatic Grade 3 transient ALT elevation and thromb</t>
  </si>
  <si>
    <t>VERV</t>
  </si>
  <si>
    <t>ZLDPF</t>
  </si>
  <si>
    <t>Brepocitinib - (NEPTUNE)</t>
  </si>
  <si>
    <t>Non-infectious uveitis (NIU)Â </t>
  </si>
  <si>
    <t>Phase 2 topline data showed the strongest efficacy data in NIU observed to date. The Treatment Failure rate from disease activity (discontinuations censored) was 18% in the brepocitinib 45 mg arm, n</t>
  </si>
  <si>
    <t>GNPX</t>
  </si>
  <si>
    <t>Oncoprex</t>
  </si>
  <si>
    <t>Anti-PD1 resistant non-small cell lung cancer (NSCLC)Â </t>
  </si>
  <si>
    <t>Preclinical data from mouse model reported that NPRL2 treatment reduced lung metastases significantly, whereas pembrolizumab was ineffective. The antitumor effect was greater in humanized than non-hum</t>
  </si>
  <si>
    <t>Phase 2 cohort 4 data reported a a statistically significant reduction of approximately 40% in Rheumatoid Factor in the abiprubart group, noted April 2, 2024.</t>
  </si>
  <si>
    <t>Phase 1 data from third patient after reviewing safety and efficacy findings from the first cohort, the Safety Monitoring Committee (SMC) recommended not to escalate the cell dose level and instead t</t>
  </si>
  <si>
    <t>Phase 1 US dosing initiated, noted April 2, 2024.</t>
  </si>
  <si>
    <t>SGHT</t>
  </si>
  <si>
    <t>TearCare - (SAHARA RCT)</t>
  </si>
  <si>
    <t>Dry Eye DiseaseÂ </t>
  </si>
  <si>
    <t>Phase 1 clinical results demonstrate long-term efficacy of the OMNI Surgical System for primary open-angle glaucoma and support use of TearCare technology as a primary treatment for dry eye disease, n</t>
  </si>
  <si>
    <t>FANAPT (iloperidone)</t>
  </si>
  <si>
    <t>Bipolar DisorderÂ </t>
  </si>
  <si>
    <t>Approved April 2, 2024.</t>
  </si>
  <si>
    <t>FGEN</t>
  </si>
  <si>
    <t>FG-3246 (FOR46) in combination with enzalutamide - (Investigator-sponsored trial)</t>
  </si>
  <si>
    <t>Metastatic castration-resistant prostate cancer (mCRPC)Â </t>
  </si>
  <si>
    <t>Phase 1 topline data reported a PSA50 response in 36% of patients, a confirmed radiographic objective response rate of 20%, with a median duration of response of 7.5 months, noted April 3, 2024.</t>
  </si>
  <si>
    <t>LENZ</t>
  </si>
  <si>
    <t>VIZZ (aceclidine ophthalmic solution)</t>
  </si>
  <si>
    <t>PresbyopiaÂ </t>
  </si>
  <si>
    <t>Phase 3 primary endpoint was met with 71% of participants dosed with LNZ100 achieving three-lines or greater improvement at 3 hours. Rapid onset and long duration shown with 71% of participants achiev</t>
  </si>
  <si>
    <t>Raludotatug deruxtecan (DS-6000, R-DXd) - (REJOICE-Ovarian01)</t>
  </si>
  <si>
    <t>Phase 2/3 trial portion 2 initiated, noted April 3, 2024.</t>
  </si>
  <si>
    <t>DSNKY</t>
  </si>
  <si>
    <t>PRFX</t>
  </si>
  <si>
    <t>PRF-110</t>
  </si>
  <si>
    <t>BunionectomyÂ </t>
  </si>
  <si>
    <t>Phase 3 enrollment target reached 50%, noted April 2, 2024.</t>
  </si>
  <si>
    <t>NBTX</t>
  </si>
  <si>
    <t>NBTXR3 - (MD Anderson Study 2020-0123)</t>
  </si>
  <si>
    <t>Phase 1 dose escalation study completed, noted April 2, 2024.</t>
  </si>
  <si>
    <t>The Company submitted its response to the U.S. Food and Drug Administration (FDA) for its New Drug Application (NDA) for neffyÂ® (epinephrine nasal spray) for the treatment of Type I allergic reactions</t>
  </si>
  <si>
    <t>mRNA-3927 (Paramount)</t>
  </si>
  <si>
    <t>Propionic AcidemiaÂ </t>
  </si>
  <si>
    <t>Phase 1/2 has been well tolerated in participants at the doses administered, with no dose-limiting toxicities observed. Fifteen participants reported treatment-emergent adverse events (TEAEs), while n</t>
  </si>
  <si>
    <t>MGNX</t>
  </si>
  <si>
    <t>MGC018 - (TAMARACK)</t>
  </si>
  <si>
    <t>Phase 2 preliminary safety data suggested that reducing the dose and frequency of cobra duo improves its safety and tolerability in men with mCRPC, noted April 3, 2024.</t>
  </si>
  <si>
    <t>ACHL</t>
  </si>
  <si>
    <t>ATL001 - (CHIRON)</t>
  </si>
  <si>
    <t>Phase 1/2 data reported that 25% of higher dose (&gt;100M cNeT) patients demonstrated stable disease with some reduction in tumor volume, noted April 4, 2024.</t>
  </si>
  <si>
    <t>ATL001 - (THETIS)</t>
  </si>
  <si>
    <t>MelanomaÂ </t>
  </si>
  <si>
    <t>Phase 1/2a data reported that 3 of 12 patients demonstrated stable disease with some reduction in tumor volume, noted April 4, 2024.</t>
  </si>
  <si>
    <t>Flu-SV-mRNA</t>
  </si>
  <si>
    <t>Multivalent seasonal flu vaccineÂ </t>
  </si>
  <si>
    <t>Phase 2 interim data reported that the vaccine boosted antibody titers against all encoded flu strains and across all age groups and tested dose levels, including the lowest tested dose, noted April 4</t>
  </si>
  <si>
    <t>ZYNLONTA (Loncastuximab Tesirine-Ipyl) - (LOTIS-7)</t>
  </si>
  <si>
    <t>B-cell non-Hodgkin lymphomaÂ </t>
  </si>
  <si>
    <t>Phase 1b dose escalation trial completed with no dose-limiting toxicities, no or low-grade cytokine release syndrome and no immune effector cell-associated neurotoxicity syndrome across all patients a</t>
  </si>
  <si>
    <t>RELYVRIO (sodium phenylbutyrate and taurursodiol)</t>
  </si>
  <si>
    <t>Company has started a process with the FDA and Health Canada to voluntarily discontinue the marketing authorizations for RELYVRIO/ALBRIOZA (sodium phenylbutyrate and taurursodiol [also known as ursodo</t>
  </si>
  <si>
    <t>Based on Phase 3 previous results, the company has started a process with the FDA and Health Canada to voluntarily discontinue the marketing authorizations for RELYVRIO/ALBRIOZA (sodium phenylbutyrate</t>
  </si>
  <si>
    <t>CAN-2409 plus valacyclovir (prodrug)</t>
  </si>
  <si>
    <t>Non-Metastatic Pancreatic Cancer, Pancreatic ductal adenocarcinoma (PDAC)Â </t>
  </si>
  <si>
    <t>Phase 2 interim data reported that at 24 months, survival rate was 71.4% in CAN-2409 treated patients versus only 16.7% in the control group after chemoradiation, noted April 4, 2024.</t>
  </si>
  <si>
    <t>EFTR</t>
  </si>
  <si>
    <t>Tomivosertib (MNK1/2) - (KICKSTART)</t>
  </si>
  <si>
    <t>Phase 2b study did not meet the pre-specified threshold of pâ‰¤0.2. The median PFS was 13.0 weeks in the tomivosertib plus pembrolizumab arm and 11.7 weeks in the placebo plus pembrolizumab arm, respect</t>
  </si>
  <si>
    <t>GOVX</t>
  </si>
  <si>
    <t>GEO-CM04S1- (COH04S1)</t>
  </si>
  <si>
    <t>COVID-19 in immunocompromised patientsÂ </t>
  </si>
  <si>
    <t>Preclinical data presented at the Annual World Vaccine showed that vaccine-induced immunity protects against infections, serious disease symptoms, and death against the original Wuhan variant as well</t>
  </si>
  <si>
    <t>ECUR-506 - (OTC-HOPE)</t>
  </si>
  <si>
    <t>Ornithine Transcarbamylase (OTC) DeficiencyÂ </t>
  </si>
  <si>
    <t>IND Cleared by the FDA, noted April 4, 2024.</t>
  </si>
  <si>
    <t>CRBU</t>
  </si>
  <si>
    <t>CB-010 - (GALLOP)</t>
  </si>
  <si>
    <t>Lupus nephritis (LN), extrarenal lupus (ERL)Â </t>
  </si>
  <si>
    <t>IND Clearance by FDA, noted April 4, 2024. Phase 1 trial planned by year end 2024.</t>
  </si>
  <si>
    <t>HMPL-295</t>
  </si>
  <si>
    <t>Preclinical data from AACR reported that HMPL-295 significantly improved the anti-tumor activity of standard-of-care chemotherapy as well as targeted agents in KRAS- or BRAF-mutant tumor models both</t>
  </si>
  <si>
    <t>HMPL-506</t>
  </si>
  <si>
    <t>LeukemiaÂ </t>
  </si>
  <si>
    <t>Preclinical data from AACR reported that in In vivo studies demonstrated the dose- and exposure- dependent target regulation of MEIS1 and anti-tumor efficacy following HMPL-506 treatment in multiple t</t>
  </si>
  <si>
    <t>HMPL-A067 (HMA800067)</t>
  </si>
  <si>
    <t>B-cell malignanciesÂ </t>
  </si>
  <si>
    <t>Preclinical data reported that an intravenous injection of HMA800067 at 10 mg/kg single dose induced complete tumor regression in all the animals within 10 days of administration, noted April 5, 2024.</t>
  </si>
  <si>
    <t>IMFINZI (Durvalumab) - (ADRIATIC)</t>
  </si>
  <si>
    <t>Small cell lung cancer (SCLC) limited diseaseÂ </t>
  </si>
  <si>
    <t>Phase 3 trial met the the dual primary endpoints of overall survival (OS) and progression-free survival (PFS), noted April 5, 2024.</t>
  </si>
  <si>
    <t>Phase 3 first cohort efficacy and safety datacompleting 1-year follow-up data from ACC.24 reported that treatment with aficamten for 48 weeks resulted in substantial and sustained reductions in averag</t>
  </si>
  <si>
    <t>Phase 1/2 Data and Safety Monitoring Board (DSMB) convened and approved to proceed dosing with the medium dose of OCU410 in the dose-escalation phase of the study, noted April 5, 2024.</t>
  </si>
  <si>
    <t>IGXT</t>
  </si>
  <si>
    <t>Buprenorphine Buccal Film - (Belbuca Biosimilar)</t>
  </si>
  <si>
    <t>PainÂ </t>
  </si>
  <si>
    <t>In an Amendment Acknowledgement received from the FDA by the company, the FDA granted priority review with a Generic Drug User Fee Act (GDUFA) date for review of the Amendment of March 8, 2024, unless</t>
  </si>
  <si>
    <t>TARA</t>
  </si>
  <si>
    <t>TARA-002 - (ADVANCED-1)</t>
  </si>
  <si>
    <t>Non-muscle invasive bladder cancer (NMIBC)Â </t>
  </si>
  <si>
    <t>Phase 1b data reported a complete response rate of 43% at three months, noted April 5, 2024.</t>
  </si>
  <si>
    <t>Approved April 5, 2024.</t>
  </si>
  <si>
    <t>CDTX</t>
  </si>
  <si>
    <t>CCR5-001</t>
  </si>
  <si>
    <t>Preclinical data shared at the AACR conference demonstrated potent efficacy in colorectal cancer mouse model, noted April 5 2024.</t>
  </si>
  <si>
    <t>CBO421</t>
  </si>
  <si>
    <t>Tumor immune evasion preventionÂ </t>
  </si>
  <si>
    <t>Preclinical data shared at AACR data demonstrated improved efficacy compared to oleclumab in human triple-negative breast cancer cell lines, noted April 5, 2024.</t>
  </si>
  <si>
    <t>HOWL</t>
  </si>
  <si>
    <t>WTX-518</t>
  </si>
  <si>
    <t>Preclinical data presented at AACR reported complete tumor regression in the MC38 mouse tumor model, noted April 5, 2024.</t>
  </si>
  <si>
    <t>WTX-712</t>
  </si>
  <si>
    <t>Preclinical data presented at AACR reported that treatment demonstrated inducibility and antitumor activity with regressions in the MC38 mouse tumor model, noted April 5, 2024.</t>
  </si>
  <si>
    <t>FDA Approval on April 5, 2024.</t>
  </si>
  <si>
    <t>Trastuzumab deruxtecan - (DESTINY-CRC02)</t>
  </si>
  <si>
    <t>HER2-overexpressing/amplified (HER2+) metastatic colorectal cancer (mCRC)Â </t>
  </si>
  <si>
    <t>Phase 2 data showed a confirmed ORR of 51.4% and a median DoR range of 19.4 months, noted April 5, 2024.</t>
  </si>
  <si>
    <t>AMRN</t>
  </si>
  <si>
    <t>VASCEPA (icosapent ethyl) - (REDUCE-IT)</t>
  </si>
  <si>
    <t>Cardiovascular diseaseÂ </t>
  </si>
  <si>
    <t>Phase 1 data presented at the American College of Cardiology's Annual Scientific Session &amp; Expo show that findings presented on VASCEPA/VAZKEPA utility in REDUCE-IT patient subgroups by baseline High/</t>
  </si>
  <si>
    <t>XTX501</t>
  </si>
  <si>
    <t>Preclinical data shared at AACR reported superior PK profile compared to non-masked PD1/IL2 in mice, akin to PD1 antibodies, projected to achieve &gt;95% PD-1 RO with once every 3 weeks (Q3W) dosing, no</t>
  </si>
  <si>
    <t>REPL</t>
  </si>
  <si>
    <t>RP1 (vusolimogene oderparepvec) - (ARTACUS)</t>
  </si>
  <si>
    <t>Liver and kidney transplant recipients with recurrent Cutaneous squamous cell carcinomaÂ </t>
  </si>
  <si>
    <t>Phase 1/2 open-label data presented at AACR reported an overall response rate (ORR) of 34.8 percent (8 of 23 evaluable patients, including 5 complete responses and 3 partial responses) with most respo</t>
  </si>
  <si>
    <t>Phase 2 full data shared at the American College of Cardiology Scientific Sessions reported that zilebesiran demonstrated clinically significant and sustained placebo-adjusted, time-adjusted reduction</t>
  </si>
  <si>
    <t>Phase 2 clinical data presented at ACC.24 reported a dose-dependent placebo-adjusted reductions in triglycerides, with Significant and durable triglyceride and APOC3 reductions to week 48, noted April</t>
  </si>
  <si>
    <t>BNTX</t>
  </si>
  <si>
    <t>Cevumeran (BNT122)</t>
  </si>
  <si>
    <t>Resected pancreatic ductal adenocarcinoma (PDAC)Â </t>
  </si>
  <si>
    <t>Phase 1 data presented at AACR reported that in 8 of 16 patients, autogene cevumeran elicited high-magnitude T cells specific to the encoded neoantigens. 98% of the T cells targeting individual neoant</t>
  </si>
  <si>
    <t>Phase 3 trial met her primary endpoint, noted April 7, 2024.</t>
  </si>
  <si>
    <t>EOS-984 - (APT-008)</t>
  </si>
  <si>
    <t>Adenosine on T and B cellsÂ </t>
  </si>
  <si>
    <t>Preclinical data presented at AACR reported a blockade of intracellular adenosine accumulation by EOS-984 enabled proliferation of memory T cells and TILs despite high adenosine concentrations, result</t>
  </si>
  <si>
    <t>INO</t>
  </si>
  <si>
    <t>GT-30</t>
  </si>
  <si>
    <t>Cancer Vaccine in advanced hepatocellular carcinomaÂ </t>
  </si>
  <si>
    <t>Phase 1/2 trial has met primary endpoints of safety and immunogenicity and secondary endpoint for efficacy based on response rate, noted April 7, 2024.</t>
  </si>
  <si>
    <t>EWTX</t>
  </si>
  <si>
    <t>EDG-7500 - (CIRRUS-HCM)</t>
  </si>
  <si>
    <t>Hypertrophic Cardiomyopathy (HCM)Â </t>
  </si>
  <si>
    <t>Preclinical data presented at ACC blunted the HCM-mediated progressive slowing of LV diastolic relaxation; additionally the candidate preserved myocardial distensibility and maintained cardiac reserve</t>
  </si>
  <si>
    <t>Phase 2 data reported a complete remission (CR) or CR with partial hematological recovery (CRh) rate was 23%, and the overall response rate was 46%, noted April 8, 2024.</t>
  </si>
  <si>
    <t>ZYME</t>
  </si>
  <si>
    <t>ZW191</t>
  </si>
  <si>
    <t>Non-small cell lung cancer, endometrial cancer, and triple-negative breast cancerÂ </t>
  </si>
  <si>
    <t>Preclinical data reported superior internalization, payload delivery, and spheroid penetration to other FRÎ±-targeted multi-specific antibodies, noted April 8, 2024.</t>
  </si>
  <si>
    <t>BMN 401 (INZ-701) - (adults trial)</t>
  </si>
  <si>
    <t>ENPP1 deficiencyÂ </t>
  </si>
  <si>
    <t>Phase 2 topline data showed avorable safety, immunogenicity and clinical outcome data were maintained through 48 weeks in Cohorts 1-3 in ENPP1 Deficiency; Data from Cohort 4 support once weekly dosing</t>
  </si>
  <si>
    <t>Etripamil - (NODE-303)</t>
  </si>
  <si>
    <t>Phase 3 data shared at ACC24 demonstrated that symptom-prompted treatment with etripamil was effective at restoring sinus rhythm as compared to placebo with a median time-to-conversion of 17.0 minutes</t>
  </si>
  <si>
    <t>PSTX</t>
  </si>
  <si>
    <t>P-BCMA-ALLO1</t>
  </si>
  <si>
    <t>Phase 1 clinical early update presented at AACR suggests patients with relapsed/refractory multiple myeloma who progressed after prior BCMA-targeted therapy achieved clinical responses with P-BCMA-AL</t>
  </si>
  <si>
    <t>Phase 1/2 data presented at AACR showed a partial response and stable disease reported in combination cohort, and durable stable disease observed in monotherapy cohorts, noted April 8, 2024.</t>
  </si>
  <si>
    <t>Phase 1 initial data presented at AACR demonstrated positive signs of clinical activity, including tumor reduction, and an improved safety profile in heavily pretreated patients with metastatic solid</t>
  </si>
  <si>
    <t>Phase 1/2 data presented at AACR showed enhanced clinical efficacy signal in bev naÃ¯ve patients is consistent with results of randomized ONSEMBLE trial providing two independent data sets in second-li</t>
  </si>
  <si>
    <t>Zidesamtinib - (NVL-330) - (HEROEX-1)</t>
  </si>
  <si>
    <t>HER2-mutant tumorsÂ </t>
  </si>
  <si>
    <t>Preclinical data presented at AACR continue to support NVL-330's broad activity against HER2 oncogenic alterations, selectivity over wild-type EGFR, and differentiated brain-penetrant profile , Zidesa</t>
  </si>
  <si>
    <t>MRUS</t>
  </si>
  <si>
    <t>Zenocutuzumab (Zeno) in combination with Trastuzumab and Vinorelbine</t>
  </si>
  <si>
    <t>Metastatic breast cancerÂ </t>
  </si>
  <si>
    <t>Phase 2 data presented at AACR data show that Zeno is effective in tumor cell killing in vitro and in vivo in high NRG1 expressing cancer models representing multiple different tumor types, April 8, 2</t>
  </si>
  <si>
    <t>GMAB</t>
  </si>
  <si>
    <t>FAP-CAR-IL-15 iNKT (MiNK-215)</t>
  </si>
  <si>
    <t>Preclinical data shared at AACR exhibits potent anti-tumor activity through multiple mechanisms including immune activation and eliminated MSS colorectal cancer liver metastases in human organoid mode</t>
  </si>
  <si>
    <t>Alpha 201-macro-1 (enLIGHTEN Discovery Platform)</t>
  </si>
  <si>
    <t>Solid tumors, breast cancerÂ </t>
  </si>
  <si>
    <t>Preclinical data shared at AACR reported that treatment was shown to induce tertiary lymphoid structure formation, inhibit tumor growth, and improve response to immune checkpoint inhibitor therapy in</t>
  </si>
  <si>
    <t>CGT4255 - (ErbB2)</t>
  </si>
  <si>
    <t>Preclinical data presented at AACR showed that data further demonstrate Cogent's capability to discover and advance potential best-in-class novel therapies for rare disease populations with high unmet</t>
  </si>
  <si>
    <t>BMS-986442 (AGEN1777)</t>
  </si>
  <si>
    <t>Preclinical data presented at AACR reported that treatment demonstrated superior immune activation as monotherapy and in combination with PD-(L)1 blockade compared to conventional anti-TIGIT mAb, note</t>
  </si>
  <si>
    <t>Phase 1b additional data presented at AACR reported that due to the incidence of TEAE judged related to Mipa and the preliminary activity observed, 15mg was selected as the highest dose to be tested i</t>
  </si>
  <si>
    <t>ALXO</t>
  </si>
  <si>
    <t>ALX148 and Vidaza (azacitidine) - (ASPEN-02)</t>
  </si>
  <si>
    <t>Phase 1 data presented at AACR reported that the combination results in high CR rates in patients with relapsed refractory iNHL, noted April 8, 2024.</t>
  </si>
  <si>
    <t>PYXS</t>
  </si>
  <si>
    <t>PYX-106</t>
  </si>
  <si>
    <t>Additional preclinical data shared at AACR reported that Siglec-15 and PD-L1 mRNA expression are not broadly mutually exclusive across cancer indications and instead expression of each gene varies bro</t>
  </si>
  <si>
    <t>Phase 1 trial data presented at AACR reported that a majority of patients who received ELI-002 booster immunizations maintained or increased mKRAS-specific T cell responses relative to baseline. Durab</t>
  </si>
  <si>
    <t>RIGL</t>
  </si>
  <si>
    <t>REZLIDHIA (olutasidenib) - (CONNECT)</t>
  </si>
  <si>
    <t>High-grade glioma (HGG) harboring an isocitrate dehydrogenase-1 (IDH1) mutationÂ </t>
  </si>
  <si>
    <t>Phase 2 showed induced durable composite complete remission in 43.8% of patients relapsed or refractory to prior venetoclax-based regimens, noted April 8, 2024.</t>
  </si>
  <si>
    <t>Phase 3 results presented at the ASCRS Conference 2024 included co-Primary symptom endpoint of pain met statistical significance and 7 of 11 secondary symptom endpoints met statistical significance (p</t>
  </si>
  <si>
    <t>SUPN</t>
  </si>
  <si>
    <t>ONAPGO (apomorphine hydrochloride) injection (SPN-830)</t>
  </si>
  <si>
    <t>Motor fluctuations in Parkinsonâ€™s disease (PD)Â </t>
  </si>
  <si>
    <t>CRL announced April 8, 2024.</t>
  </si>
  <si>
    <t>Preclinical data demonstrated that EED and EZH2 inhibitors act through the same mechanism of action, making prostate cancer cells more susceptible to AR inhibition, noted April 8, 2024.</t>
  </si>
  <si>
    <t>DOVATO (Dolutegravir and lamivudine) - (DANCE)</t>
  </si>
  <si>
    <t>HIV-1 infection in adolescents 12 years + and weighing at least 25 kg with no antiretroviral (ARV) treatment historyÂ </t>
  </si>
  <si>
    <t>FDA Approved on April 8, 2024.</t>
  </si>
  <si>
    <t>EB613</t>
  </si>
  <si>
    <t>OsteoporosisÂ </t>
  </si>
  <si>
    <t>Phase 2 publication in the Journal of Bone Mineral Research showed that despite the superior benefits of bone building (anabolic) agents and guidelines supporting their use, these medications are used</t>
  </si>
  <si>
    <t>CHS-1000</t>
  </si>
  <si>
    <t>Preclinical studies showed a high affinity for human ILT4, reverses ILT4-mediated immunosuppressive functions, leading to activation of immune cells and increased cytokine secretion, noted April 8, 20</t>
  </si>
  <si>
    <t>NXP900</t>
  </si>
  <si>
    <t>Phase 1 data presented at AACR demonstrated that the combination reverses resistance to osimertinib versus osimertinib alone, noted April 8, 2024.</t>
  </si>
  <si>
    <t>CCCC</t>
  </si>
  <si>
    <t>CFT1946</t>
  </si>
  <si>
    <t>Preclinical data reported that a CFT1946 as a single agent and in combination with cetuximab demonstrates superior activity to the standard of care combination, BRAFi with cetuximab, in all CRC models</t>
  </si>
  <si>
    <t>Relacorilant plus ABRAXANE (nab-paclitaxel) - (ROSELLA)</t>
  </si>
  <si>
    <t>Phase 3 enrollment completed, noted April 8, 2024.</t>
  </si>
  <si>
    <t>INMB</t>
  </si>
  <si>
    <t>INB03</t>
  </si>
  <si>
    <t>MUC4 expressing cancerÂ </t>
  </si>
  <si>
    <t>Trial data reported that the increase in T cell infiltrate did not occur unless both anti-HER2 and INB03 immunotherapy were used in combination. Decreases in T cell and macrophage immune checkpoint p</t>
  </si>
  <si>
    <t>BMN 401 (INZ-701)</t>
  </si>
  <si>
    <t>ABCC6 deficiencyÂ </t>
  </si>
  <si>
    <t>Phase 1/2 topline data reported a reduction or stabilization of cIMT was observed across all dose cohorts, and increased choroidal thickness was observed across all dose cohorts, noted April 8, 2024.</t>
  </si>
  <si>
    <t>MRKR</t>
  </si>
  <si>
    <t>Neldaleucel (MT-601) - (APOLLO)</t>
  </si>
  <si>
    <t>Lymphoma who have failed or are ineligible to receive anti-CD19 CAR T cell treatmentÂ </t>
  </si>
  <si>
    <t>Phase 1 data reported that the initial dose level was well tolerated and demonstrated durable objective responses after MT-601 treatment, noted April 8, 2024.</t>
  </si>
  <si>
    <t>Leqvio - (V-INITIATE)</t>
  </si>
  <si>
    <t>Low-density lipoprotein cholesterol (LDL-C) in patients with atherosclerotic cardiovascular disease (ASCVD)Â </t>
  </si>
  <si>
    <t>Phase 3b data reported significant reductions in LDL-C compared to those receiving usual care (60% vs. 7%), noted April 8, 2024.</t>
  </si>
  <si>
    <t>NXTC</t>
  </si>
  <si>
    <t>LNCB74</t>
  </si>
  <si>
    <t>B7-H4 expressing cancersÂ </t>
  </si>
  <si>
    <t>Preclinical data reported durable tumor regression in multiple CDX and PDX tumor models, suggesting activity comparable or superior to competitor B7-H4 targeting ADCs, noted April 8, 2024.</t>
  </si>
  <si>
    <t>OCS</t>
  </si>
  <si>
    <t>OCS-01 - (OPTIMIZE-2)</t>
  </si>
  <si>
    <t>Inflammation and pain following ocular surgeryÂ </t>
  </si>
  <si>
    <t>Phase 3 trial data reported that 57.2% of patients treated with OCS-01 were inflammation free (i.e. absence of anterior chamber cells) at Day 15, and 75.5% had absence of ocular pain at Day 4, noted A</t>
  </si>
  <si>
    <t>CVKD</t>
  </si>
  <si>
    <t>tecarfarin - (ARIES-HM3)</t>
  </si>
  <si>
    <t>Thromboembolism and thrombosisÂ </t>
  </si>
  <si>
    <t>FDA granted orphan drug designation, noted April 9, 2024.</t>
  </si>
  <si>
    <t>ATOS</t>
  </si>
  <si>
    <t>(Z)-endoxifen with abemaciclib (VERZENIO) - (EVANGELINE)</t>
  </si>
  <si>
    <t>Pre-menopausal women w/ early-stage estrogen receptor positive and Human Epidermal Growth Factor Receptor 2 negative breast cancerÂ </t>
  </si>
  <si>
    <t>Phase 2 data shared at AACR showed that a Among the six patients who were treated for a total of 24-weeks, magnetic resonance imaging (MRI) central review demonstrated target lesion decreases in all</t>
  </si>
  <si>
    <t>Preclinical data presented at AACR demonstrated that combining IMM-1-104 with chemotherapies used in the treatment of first-line pancreatic cancer yielded deeper and more durable tumor growth inhibiti</t>
  </si>
  <si>
    <t>CTX-009 in combination with paclitaxel</t>
  </si>
  <si>
    <t>Biliary Tract Cancer (cholangiocarcinoma)Â </t>
  </si>
  <si>
    <t>Preclinical data presented at AACR suggest that the combination of CTX-009 and CTX-471 could re-establish anti-tumor immunity in patients whose tumors have either downregulated or lost MHC-I expressio</t>
  </si>
  <si>
    <t>Phase 1 interim data presented at AACR showed that drug has been well tolerated with no drug-related Grade 4 or Grade 5 adverse events observed, noted April 9, 2024.</t>
  </si>
  <si>
    <t>NX-5948</t>
  </si>
  <si>
    <t>B-cell malignancies / graft-versus-host diseaseÂ </t>
  </si>
  <si>
    <t>Additional data with higher dose levels and longer treatment duration were reported at AACR; The company presented new case studies demonstrating clinical responses in two patients with B cell maligna</t>
  </si>
  <si>
    <t>IOBT</t>
  </si>
  <si>
    <t>IO102-IO103 - (IOB-032)</t>
  </si>
  <si>
    <t>Squamous cell carcinoma of the head and neck (SCCHN)Â </t>
  </si>
  <si>
    <t>Phase 1/2 early data presented at AACR demonstrated the mechanism. Based on these results the company hopes to confirm its ongoing Phase 3 pivotal study, noted April 9, 2024.</t>
  </si>
  <si>
    <t>tivumecirnon (FLX475) in combination with pembrolizumab</t>
  </si>
  <si>
    <t>Advanced CancerÂ </t>
  </si>
  <si>
    <t>Phase 2 data shared at AACR confirmed an objective response rate (ORR) of 15.6% in all patients regardless of PD-L1 or HPV status, noted April 9, 2024.</t>
  </si>
  <si>
    <t>FHTX</t>
  </si>
  <si>
    <t>FHD-909 (LY4050784)</t>
  </si>
  <si>
    <t>Preclinical data presented at AACR demonstrated favorable tolerability and dose-dependent single agent activity in BRG1 mutated cancers preclinically, noted April 9, 2024.</t>
  </si>
  <si>
    <t>INAB</t>
  </si>
  <si>
    <t>INB-300</t>
  </si>
  <si>
    <t>Preclinical data presented at AACR supports potential for proprietary nsCAR platform to selectively eliminate cancer cells while preserving healthy tissue, noted April 9, 2024.</t>
  </si>
  <si>
    <t>TPST</t>
  </si>
  <si>
    <t>TPST-1120</t>
  </si>
  <si>
    <t>renal cell carcinoma (RCC)Â </t>
  </si>
  <si>
    <t>Preclinical data shared at AACR showed that TPST-1120 increases infiltrating cytotoxic CD8+ T cells in the tumor microenvironment, consistent with modulation of the tumor microenvironment to a more im</t>
  </si>
  <si>
    <t>FPI-2265 - (AlphaBreak)</t>
  </si>
  <si>
    <t>Prostate cancerÂ </t>
  </si>
  <si>
    <t>Phase 2 preliminary data presented at AACR demonstrate that FPI-2265 is active in heavily pretreated patients with progressive metastatic castration-resistant prostate cancer (mCRPC), including those</t>
  </si>
  <si>
    <t>PRLD</t>
  </si>
  <si>
    <t>PRT7732</t>
  </si>
  <si>
    <t>lymphoid malignanciesÂ </t>
  </si>
  <si>
    <t>Preclinical data shared at AACR shows robust anti-tumor activity in vivo as monotherapy and in combination with chemotherapy, at well-tolerated doses, noted April 9, 2024.</t>
  </si>
  <si>
    <t>PRT2527</t>
  </si>
  <si>
    <t>Solid tumors and hematological malignanciesÂ </t>
  </si>
  <si>
    <t>Additional preclinical data shared at the AACR provides improved depth and duration of response in combination with BTK/BCL2 inhibition, noted April 9, 2024.</t>
  </si>
  <si>
    <t>PRT3645</t>
  </si>
  <si>
    <t>CancerÂ </t>
  </si>
  <si>
    <t>Preclinical data at AACR showed that drug is highly effective in combination with other targeted therapies in preclinical models of breast cancer, CRC and NSCLC, noted April 9, 2024.</t>
  </si>
  <si>
    <t>CRVS</t>
  </si>
  <si>
    <t>Soquelitinib - (CPI-818)</t>
  </si>
  <si>
    <t>Peripheral T-cell lymphoma (PTCL)Â </t>
  </si>
  <si>
    <t>Phase 3 dosing initiated, noted April 9, 2024.</t>
  </si>
  <si>
    <t>MCRB</t>
  </si>
  <si>
    <t>SER-155</t>
  </si>
  <si>
    <t>Gastrointestinal infections, bacteremia and graft versus host disease (GvHD)Â </t>
  </si>
  <si>
    <t>Phase 1b cohort 2 patient enrollment completed, noted April 9, 2024.</t>
  </si>
  <si>
    <t>QLGN</t>
  </si>
  <si>
    <t>QN-302</t>
  </si>
  <si>
    <t>Pancreatic cancer, Prostate cancer and other solid tumorsÂ </t>
  </si>
  <si>
    <t>Phase 1 results demonstrated that for the first five patients (three of whom were PDAC patients), QN-302 is overall well-tolerated (no SAE) and they have reported a "good" quality of life during the d</t>
  </si>
  <si>
    <t>SV-BR-1-GM</t>
  </si>
  <si>
    <t>Phase 2 efficacy and safety data shared at AACR shows that Bria-IMT provides prolonged progression-free survival and clinical benefits in heavily pre-treated, ADC resistant breast cancer patients comp</t>
  </si>
  <si>
    <t>Phase 2 data shared at AACR showed that Bria-IMT's tumor reductions observed in all breast cancer subtypes in patients with intracranial disease underlines its potential clinical effectiveness in mana</t>
  </si>
  <si>
    <t>IPHA</t>
  </si>
  <si>
    <t>IPH45</t>
  </si>
  <si>
    <t>Nectin-4 expressing tumorsÂ </t>
  </si>
  <si>
    <t>Preclinical data presented at AACR reported that treatment effectively inhibits Nectin-4 expressing tumor growth both in vitro and in vivo, including in Enfortumab Vedotin (EV) refractory models, note</t>
  </si>
  <si>
    <t>ALX148 (evorpacept) + rituximab and lenalidomide</t>
  </si>
  <si>
    <t>Non-Hodgkin lymphoma (NHL)Â </t>
  </si>
  <si>
    <t>Phase 1 trial data presented at AACR reported that the best ORR of 94% and a CRR of 83%, noted April 9, 2024.</t>
  </si>
  <si>
    <t>REQORSA (GPX-001) with KEYTRUDA (pembrolizumab) - (Acclaim-2)</t>
  </si>
  <si>
    <t>Preclinical data presented at AACR reported that the NPRL2 treatment by itself led to a marked decrease in the size of lung metastases but pembrolizumab had no effect, noted April 9, 2024.</t>
  </si>
  <si>
    <t>CGEN</t>
  </si>
  <si>
    <t>COM503</t>
  </si>
  <si>
    <t>Preclinical data shared at AACR found that COM503's activity is localized to the tumor microenvironment with the additional advantage of a wider therapeutic window than systemic IL-18 delivery, noted</t>
  </si>
  <si>
    <t>NTBL</t>
  </si>
  <si>
    <t>Volasertib</t>
  </si>
  <si>
    <t>Relapsed/refractory acute myeloid leukemiaÂ </t>
  </si>
  <si>
    <t>Preclinical data presented at AACR suggest a strong correlation between volasertib resistant fractions treated with 31.6 and 100 nM of volasertib and AUCs, which could represent a suitable metric to s</t>
  </si>
  <si>
    <t>ABRYSVO - (MONeT)</t>
  </si>
  <si>
    <t>Respiratory syncytial virus (RSV)-associated lower respiratory tract disease (LRTD)Â </t>
  </si>
  <si>
    <t>Phase 3 trial met its primary endpoint, noted April 9, 2024.</t>
  </si>
  <si>
    <t>Tislelizumab (anti-PD1) plus ociperlimab (anti-TIGIT) - (AdvanTIG-204)</t>
  </si>
  <si>
    <t>Small cell lung cancer (SCLC)Â </t>
  </si>
  <si>
    <t>Phase 2 data presented at AACR reported that in patients with untreated limited-stage SCLC, tislelizumab + cCRT yielded a trend of improvement in PFS and ORR vs cCRT; addition of ociperlimab did not s</t>
  </si>
  <si>
    <t>BGB-10188</t>
  </si>
  <si>
    <t>Phase 1a data presented at AACR reported that BGBâ€‘10188 + tislelizumab showed preliminary antitumor activity and was generally safe and tolerable across doses in this heavily pretreated population of</t>
  </si>
  <si>
    <t>CFT8634</t>
  </si>
  <si>
    <t>Synovial sarcomaÂ </t>
  </si>
  <si>
    <t>Phase 1 data presented at AACR reported that selective targeting of EP300 with targeted protein degradation is a safe and effective treatment strategy for advanced tumors, noted April 9, 2024.</t>
  </si>
  <si>
    <t>BCYC</t>
  </si>
  <si>
    <t>BT7455</t>
  </si>
  <si>
    <t>EphA2-expressing cancersÂ </t>
  </si>
  <si>
    <t>Preclinical data shared at AACR reported that treatment engages EphA2 and CD137 with high affinity, resulting in potent EphA2-dependent activity in vitro and robust anti-tumor activity in vivo with in</t>
  </si>
  <si>
    <t>ATRN-119</t>
  </si>
  <si>
    <t>Phase 1/2a trial shared at AACR reported that two of 12 patients achieved stable disease (SD): one patient from Dose level 1 (50 mg) who progressed on Day 112 and one patient from Dose level 3 (200 mg</t>
  </si>
  <si>
    <t>YS</t>
  </si>
  <si>
    <t>PIKA Rabies Vaccine</t>
  </si>
  <si>
    <t>RabiesÂ </t>
  </si>
  <si>
    <t>Phase 3 trial met its primary endpoints, noted April 10, 2024.</t>
  </si>
  <si>
    <t>Nab-sirolimus in combination with fulvestrant</t>
  </si>
  <si>
    <t>Breast CancerÂ </t>
  </si>
  <si>
    <t>Preclinical data presented at AACR reported that nab-sirolimus enhanced the cytotoxic effects of fulvestrant in HR+ breast cancer cells and PI3Ki in both HR+ and HR- breast cancer cells, noted April 1</t>
  </si>
  <si>
    <t>Dexmedetomidine (BXCL501) - (TRANQUILITY III)</t>
  </si>
  <si>
    <t>Agitation associated with Alzheimerâ€™s DiseaseÂ </t>
  </si>
  <si>
    <t>Phase 3 expanded to In-Care study, trial planned to initiate soon following FDA meeting, noted April 10, 2024.</t>
  </si>
  <si>
    <t>VSTM</t>
  </si>
  <si>
    <t>GFH375/VS-7375</t>
  </si>
  <si>
    <t>Cancer KRAS G12DÂ </t>
  </si>
  <si>
    <t>Preclinical data shared at AACR shown potent efficacy and safety of orally administered GFH375 in animal models, noted April 8, 2024.</t>
  </si>
  <si>
    <t>GALT</t>
  </si>
  <si>
    <t>GR-MD-02 (belapectin) - (NAVIGATE)</t>
  </si>
  <si>
    <t>Non-alcoholic steatohepatitis (NASH) with cirrhosisÂ </t>
  </si>
  <si>
    <t>5th DSMB recommends the continuation, without modifications, noted April 10, 2024.</t>
  </si>
  <si>
    <t>ALKS</t>
  </si>
  <si>
    <t>ALKS 2680 - (Vibrance-1)</t>
  </si>
  <si>
    <t>Phase 1 demonstrated clinically meaningful and statistically significant improvements from baseline in mean sleep latency compared to placebo at all doses tested in both narcolepsy type 2 and idiopath</t>
  </si>
  <si>
    <t>ACRV</t>
  </si>
  <si>
    <t>ACR-2316</t>
  </si>
  <si>
    <t>Dual WEE1 and PKMYT1 inhibitor, Solid tumorsÂ </t>
  </si>
  <si>
    <t>Preclinical data presented at AACR reported that treatment was highly potent across multiple human tumor cell lines and patient-derived ex vivo tumor models, noted April 10, 2024.</t>
  </si>
  <si>
    <t>Ampligen, cisplatin and KEYTRUDA (pembrolizumab)</t>
  </si>
  <si>
    <t>Phase 2 protocol planned interim results by leading the investigator to concluded that the combination therapy could be far more effective than pembrolizumab alone as a therapy for the disease, noted</t>
  </si>
  <si>
    <t>Bria-Pros+</t>
  </si>
  <si>
    <t>Preclinical data reported that treatment engaged with multiple facets of the adaptive immune response, which may result in lasting anti-cancer effects in patients, noted April 10, 2024.</t>
  </si>
  <si>
    <t>Phase 2 data demonstrated improvements in pancreatic function and glycemic control, as measured by C-peptide and other markers of glucose metabolism, rather than worsening typically expected with dise</t>
  </si>
  <si>
    <t>BNT116 and Libtayo - (LuCa-MERIT-1)</t>
  </si>
  <si>
    <t>Phase 1 trial preliminary results presented at AACR reported that BNT116 + DTX shows encouraging antitumor activity, consistent induction of immune responses, a manageable safety profile, and no signs</t>
  </si>
  <si>
    <t>Phase 1 Cohort 5 dosing imminent, trial more than 50% enrolled, noted April 10, 2024.</t>
  </si>
  <si>
    <t>mipletamig (APVO711)</t>
  </si>
  <si>
    <t>Preclinical studies ongoing, in vivo studies have confirmed that APVO711 reduces the size of PD-L1-expressing tumors, noted April 10, 2024.</t>
  </si>
  <si>
    <t>CB-012</t>
  </si>
  <si>
    <t>Preclinical data presented at AACR reported that in robust tumor control, leading to significant prolongation of survival in AML xenograft models, noted April 10, 2024.</t>
  </si>
  <si>
    <t>Povetacicept (ALPN-303) - (RAINIER)</t>
  </si>
  <si>
    <t>Lupus nephritis, IgA nephropathyÂ </t>
  </si>
  <si>
    <t>Phase 1b/2a 240mg data presented at the World Congress of Nephrology showed that treatment continues to be well tolerated in IgA nephropathy, with UPCR reductions of greater than 60% observed at 36 we</t>
  </si>
  <si>
    <t>Preclinical data shared at AACR reported that KB703/KB704 treatment enhanced the frequency of IFNÎ³-expressing T cells both in the tumor and tumor-draining lymph node, leading to higher levels of circu</t>
  </si>
  <si>
    <t>LPCN 2401</t>
  </si>
  <si>
    <t>Obesity, Chronic Weight ManagementÂ </t>
  </si>
  <si>
    <t>Phase 2 treatment resulted in statistically significant body composition improvement in men Increased lean mass (LM) by 4.4% and decreased fat mass (FM) by 6.7%. Reduced android fat (AF) by 4.1% and i</t>
  </si>
  <si>
    <t>Solid tumors, urothelial and head and neck cancers, acute myeloid leukemia (AML)Â </t>
  </si>
  <si>
    <t>Fast track designation granted by the FDA, noted April 11, 2024.</t>
  </si>
  <si>
    <t>CLYM</t>
  </si>
  <si>
    <t>Budoprutug (TNT119)</t>
  </si>
  <si>
    <t>Systemic lupus erythematosusÂ </t>
  </si>
  <si>
    <t>Phase 2 ongoing, acquired by Eliem from Tenet Medicines, noted April 11, 2024.</t>
  </si>
  <si>
    <t>Immune thrombocytopeniaÂ </t>
  </si>
  <si>
    <t>Membranous nephropathyÂ </t>
  </si>
  <si>
    <t>Phase 1 ongoing, acquired by Eliem from Tenet Medicines, noted April 11, 2024.</t>
  </si>
  <si>
    <t>BOLD</t>
  </si>
  <si>
    <t>BBI-355/BBI-825 - (POTENTIATE)</t>
  </si>
  <si>
    <t>Resistance gene amplificationsÂ </t>
  </si>
  <si>
    <t>Phase 1/2 dosing commenced, noted April 11, 2024.</t>
  </si>
  <si>
    <t>FASENRA (benralizumab) - (TATE)</t>
  </si>
  <si>
    <t>Eosinophilic asthma aged 6 to 11 with an eosinophilic phenotypeÂ </t>
  </si>
  <si>
    <t>FDA approved on April 11, 2024.</t>
  </si>
  <si>
    <t>GTX-102 - (Aspire)</t>
  </si>
  <si>
    <t>Angelman SyndromeÂ </t>
  </si>
  <si>
    <t>Phase 1/2 data from expansion cohorts showed rapid, clinically meaningful improvement across multiple domains; improvements consistent or exceeding Dose-escalation Cohorts data at Day 170, noted April</t>
  </si>
  <si>
    <t>ZTALMY (ganaxolone) - (RAISE)</t>
  </si>
  <si>
    <t>Refractory status epilepticus (RSE)Â </t>
  </si>
  <si>
    <t>Phase 3 did not meet pre-defined stopping criteria at the interim analysis; Marinus has completed RAISE enrollment at approximately 100 patients with topline results expected summer 2024.</t>
  </si>
  <si>
    <t>MRNS</t>
  </si>
  <si>
    <t>Phase 2 updates data to be presented at the upcoming ISHLT 2024 meeting provided strong biomarker evidence that treatment with TFF TAC results in normalization of rejection-related genes; the treatmen</t>
  </si>
  <si>
    <t>VIRX</t>
  </si>
  <si>
    <t>Nanatinostat - (NAVAL-1)</t>
  </si>
  <si>
    <t>Epstein Barr Virus-associated cancersÂ </t>
  </si>
  <si>
    <t>Phase 2 Stage 1 data from patients in the Nana-val treatment arm achieved clinically meaningful anti-tumor responses with an overall response rate of 50% and a complete response rate of 20% in the int</t>
  </si>
  <si>
    <t>RNAZ</t>
  </si>
  <si>
    <t>TTX-MC138</t>
  </si>
  <si>
    <t>Metastatic solid tumorsÂ </t>
  </si>
  <si>
    <t>IND clearance by the FDA, noted April 15, 2024.</t>
  </si>
  <si>
    <t>ONVO</t>
  </si>
  <si>
    <t>FXR314</t>
  </si>
  <si>
    <t>MASH &amp; Primary Biliary CholangitisÂ </t>
  </si>
  <si>
    <t>Phase 2 16-week details study results demonstrated a statistically significant reduction in liver fat content from baseline in patients receiving FXR314 compared to placebo, noted April 15, 2024.</t>
  </si>
  <si>
    <t>Dazucorilant (DAZALS)</t>
  </si>
  <si>
    <t>Phase 2 enrollment completed, noted April 15, 2024.</t>
  </si>
  <si>
    <t>sevasemten (EDG-5506) - (ARCH)</t>
  </si>
  <si>
    <t>Becker muscular dystrophy (BMD)Â </t>
  </si>
  <si>
    <t>Phase 1b 24-months topline data showed that significant decreases were observed in circulating levels of creatine kinase (CK) and fast skeletal muscle troponin I (TNNI2), biomarkers associated with sk</t>
  </si>
  <si>
    <t>ORIC-114</t>
  </si>
  <si>
    <t>Tumors - EGFR/HER2 Exon 20 Inhibitor, 1L NSCLCÂ </t>
  </si>
  <si>
    <t>Phase 1b expansion cohorts initiated, noted April 15, 2024.</t>
  </si>
  <si>
    <t>Preclinical data confirmed our hypothesis that TELOMIR-1 affects telomere length, promoting its extension in primary cell strains including MRC-5, HUVEC, and MSCs (~40% increase), noted April 15, 2024</t>
  </si>
  <si>
    <t>Phase 1b/2a data presented at the AAN Annual Meeting reported that treatment with bexicaserin reduced seizures in all participant subgroups, including LGS and DEE Other, noted April 15, 2024.</t>
  </si>
  <si>
    <t>Fabhalta (iptacopan)</t>
  </si>
  <si>
    <t>Phase 3 data show clinically meaningful and statistically significant proteinuria reduction of 38.3% versus placebo, noted April 15, 2024.</t>
  </si>
  <si>
    <t>Efgartigimod - (ADHERE)</t>
  </si>
  <si>
    <t>Chronic inflammatory demyelinating polyneuropathy (CIDP)Â </t>
  </si>
  <si>
    <t>Phase 3 data presented at AAN reported that 67% of patients treated with VYVGART Hytrulo demonstrated evidence of clinical improvement (ECI), including 40% who had achieved ECI by the earliest possibl</t>
  </si>
  <si>
    <t>CAPLYTA (lumateperone) - (Study 501)</t>
  </si>
  <si>
    <t>Phase 3 topline results for the 42 mg Cohort achieved statistically significant and clinically meaningful results in both the primary and the key secondary endpoints, noted April 16, 2024.</t>
  </si>
  <si>
    <t>Deupirfenidone (LYT-100) - (ELEVATE IPF)</t>
  </si>
  <si>
    <t>Idiopathic pulmonary fibrosis (IPF)Â </t>
  </si>
  <si>
    <t>Phase 2 enrollment completed, noted April 16, 2024.</t>
  </si>
  <si>
    <t>CLN-978</t>
  </si>
  <si>
    <t>Relapsed/refractory B-cell non-Hodgkin lymphomaÂ </t>
  </si>
  <si>
    <t>The company has discontinued enrollment in its B-NHL study to focus ongoing development on autoimmune indications, noted April 16, 2024.</t>
  </si>
  <si>
    <t>Preclinical data completion of exvivo analysis, noted April 16, 2024.</t>
  </si>
  <si>
    <t>Phase 1 dosing initiated, noted April 16, 2024.</t>
  </si>
  <si>
    <t>Phase 1 additional data presented at AAN demonstrated a favorable safety and tolerability profile in participants with early AD with a relatively low incidence of ARIA-E, noted April 16, 2024.</t>
  </si>
  <si>
    <t>DehydraTECH-GLP-1 - (GLP-1-H24-2)</t>
  </si>
  <si>
    <t>Healthy volunteers, Diabetes-related control, weight lossÂ </t>
  </si>
  <si>
    <t>Preclinical approval has been received from an independent third-party ethics review board, for human pilot study #2, noted April 16, 2024.</t>
  </si>
  <si>
    <t>Phase 2 LTE emonstrated significant evidence of repair and remyelination across multiple paraclinical endpoints, noted April 16, 2024.</t>
  </si>
  <si>
    <t>PXMD</t>
  </si>
  <si>
    <t>PAX-HAT-301</t>
  </si>
  <si>
    <t>Stage 1 Trypanosoma Brucei Rhodesiense Human African Trypanosomiasis (Stage 1 TBR HAT)Â </t>
  </si>
  <si>
    <t>NDA Company received an urgent request from the Ministry of Health (MOH) of Malawi, asking for emergency access to IV suramin to avert a potential humanitarian crisis brought on by dwindling supplies</t>
  </si>
  <si>
    <t>FDA approved on April 16, 2024.</t>
  </si>
  <si>
    <t>SAGE</t>
  </si>
  <si>
    <t>Dalzanemdor (SAGE-718) - (PRECEDENT)</t>
  </si>
  <si>
    <t>Mild cognitive impairment (MCI)Â </t>
  </si>
  <si>
    <t>Phase 2 data did not show statistically significant differences versus placebo on the primary endpoint , noted April 17, 2024.</t>
  </si>
  <si>
    <t>Zepbound (Tirzepatide) - (SURMOUNT-OSA)</t>
  </si>
  <si>
    <t>Obstructive Sleep Apnea (OSA)Â </t>
  </si>
  <si>
    <t>Phase 3 trial data showed tirzepatide injection (10 mg or 15 mg) significantly reduced the apnea-hypopnea index (AHI) compared to placebo, achieving the primary endpoints, noted April 17, 2024.</t>
  </si>
  <si>
    <t>Phase 3 EAGLE-1 data from ESCMID reported that gepotidacin (oral, two doses of 3,000mg) was non-inferior with 92.6% success rates when compared to 91.2% success rates for intramuscular (IM) ceftriaxon</t>
  </si>
  <si>
    <t>Ocrevus Zunovo</t>
  </si>
  <si>
    <t>Multiple sclerosis (MS) or primary progressive MSÂ </t>
  </si>
  <si>
    <t>Phase 3 data reported near-complete suppression of clinical relapses and brain lesions in people with relapsing or primary progressive multiple sclerosis (RMS or PPMS) which reinforce the potential be</t>
  </si>
  <si>
    <t>Kesimpta (ofatumumab) - (ALITHIOS)</t>
  </si>
  <si>
    <t>Relapsing Multiple SclerosisÂ </t>
  </si>
  <si>
    <t>Additional Phase 3 data reported that significant reductions in ARR (71.3%) and in MRI lesion activity (Gd+ T1: 98.5% reduction; neT2: 93% reduction), and rapid increase in rates of NEDA-3, noted Apri</t>
  </si>
  <si>
    <t>DA-1726</t>
  </si>
  <si>
    <t>NASH and obesityÂ </t>
  </si>
  <si>
    <t>Phase 1a dosing initiated, noted April 17, 2024.</t>
  </si>
  <si>
    <t>VIGL</t>
  </si>
  <si>
    <t>iluzanebart (VGL101) - (IGNITE)</t>
  </si>
  <si>
    <t>Adult-onset leukoencephalopathy with axonal spheroids and pigmented glia (ALSP)Â </t>
  </si>
  <si>
    <t>Phase 2 interim results shared at the 2024 American Academy of Neurology (AAN) Annual Meeting demonstrated iluzanebart (VGL101) as potential disease-modifying therapy for ALSP, noted April 17, 2024.</t>
  </si>
  <si>
    <t>VGL101 - (ILLUMINATE)</t>
  </si>
  <si>
    <t>Adult-Onset Leukoencephalopathy with Axonal Spheroids and Pigmented Glia (ALSP)Â </t>
  </si>
  <si>
    <t>Phase 2 Natural History Study show that MRI and fluid biomarkers are emerging as key measures of ALSP pathophysiology, noted April 17, 2024.</t>
  </si>
  <si>
    <t>DMAC</t>
  </si>
  <si>
    <t>Rinvecalinase Alfa (DM199) - (ReMEDy2)</t>
  </si>
  <si>
    <t>Acute ischaemic stroke (AIS)Â </t>
  </si>
  <si>
    <t>Phase 2/3 resumed with dosing of first patient, noted April 17, 2024.</t>
  </si>
  <si>
    <t>GLPG</t>
  </si>
  <si>
    <t>GLPG5101 - (ATALANTA-1)</t>
  </si>
  <si>
    <t>Relapsed/refractory Non-Hodgkin Lymphoma (rrNHL)Â </t>
  </si>
  <si>
    <t>Phase 1/2 preliminary data reported that six patients responded to treatment (ORR 86%), including four CRs (CRR 57%), noted April 17, 2024.</t>
  </si>
  <si>
    <t>ATH-1020</t>
  </si>
  <si>
    <t>Healthy volunteers, Neuropsychiatric conditionsÂ </t>
  </si>
  <si>
    <t>Preclinical data presented at AAN reported that significantly enhanced neurite outgrowth, increased synaptic count, and promoted survival in primary neuron cultures, noted April 17, 2024.</t>
  </si>
  <si>
    <t>GLPG5201 - (EUPLAGIA-1)</t>
  </si>
  <si>
    <t>B-cell malignancies, Chronic Lymphocytic Leukemia (CLL) and Small Lymphocytic Lymphoma (SLL)Â </t>
  </si>
  <si>
    <t>Phase 1/2 data reported an ORR of 93% , noted April 17, 2024.</t>
  </si>
  <si>
    <t>Tavapadon - (TEMPO-3)</t>
  </si>
  <si>
    <t>Late Parkinsonâ€™s diseaseÂ </t>
  </si>
  <si>
    <t>Phase 3 trial met its primary endpoint, noted April 18, 2024.</t>
  </si>
  <si>
    <t>AXPAXLI (OTX-TKI) - (HELIOS)</t>
  </si>
  <si>
    <t>Non-proliferative diabetic retinopathy (NPDR)Â </t>
  </si>
  <si>
    <t>Phase 1 interim data showed that demonstrated a 1- or 2-step improvement in the Diabetic Retinopathy Severity Scale (DRSS) at 40 weeks in the AXPAXLI arm, compared to 0% in the control arm. No patient</t>
  </si>
  <si>
    <t>Phase 1/1b second dose cohort completed, noted April 18, 2024.</t>
  </si>
  <si>
    <t>BNTC</t>
  </si>
  <si>
    <t>BB-301</t>
  </si>
  <si>
    <t>Oculopharyngeal muscular dystrophy (OPMD)Â </t>
  </si>
  <si>
    <t>Phase 1b/2a interim safety and efficacy data reported that facilitated improvements across multiple measures of swallowing function in the first subject, as compared to pretreatment assessments conduc</t>
  </si>
  <si>
    <t>Lvospemin (SBP-101)</t>
  </si>
  <si>
    <t>Phase 1 data presented at AACR results suggest that SBP-101 in combination with doxorubicin may have a role in the clinical management of ovarian cancer, in particular the difficult to treat platinum-</t>
  </si>
  <si>
    <t>Phase 3 data presented at the Annual European Bone Marrow Transplant Society Meeting (EBMT) demonstrated that Iomab-B led bone marrow transplant produced high rates of complete remission and durable c</t>
  </si>
  <si>
    <t>IND Cleared by the FDA, noted April 18, 2024.</t>
  </si>
  <si>
    <t>Upadacitinib (RINVOQ) - (SELECT-GCA)</t>
  </si>
  <si>
    <t>Giant cell arteritis (GCA)Â </t>
  </si>
  <si>
    <t>Phase 3 showed that upadacitinib (RINVOQ; 15 mg, once daily) in combination with a 26-week steroid taper regimen achieved its primary endpoint of sustained remissiona from week 12 through week 52, not</t>
  </si>
  <si>
    <t>Phase 2b data presented at AAN reported that PrimeC met safety and tolerability measures as well as statistically significant slowing of disease progression as demonstrated by the ALSFRS-R by 37% (p=0</t>
  </si>
  <si>
    <t>CRL issued by FDA, noted April 18, 2024.</t>
  </si>
  <si>
    <t>Alecensa(alectinib)</t>
  </si>
  <si>
    <t>FDA approved on April 18, 2024.</t>
  </si>
  <si>
    <t>MGTX</t>
  </si>
  <si>
    <t>AAV2-hAQP1 - (AQUAx2)</t>
  </si>
  <si>
    <t>XerostomiaÂ </t>
  </si>
  <si>
    <t>Phase 1 data presented at AAOM resulted in no treatment-related serious adverse events or dose-limiting toxicities were reported, and all participants completed the study, noted April 18, 2024.</t>
  </si>
  <si>
    <t>BRNS</t>
  </si>
  <si>
    <t>VTP-200 - (APOLLO)</t>
  </si>
  <si>
    <t>Human papillomavirus (HPV)Â </t>
  </si>
  <si>
    <t>Additional Phase 1/2a met its primary endpoint, noted April 18, 2024.</t>
  </si>
  <si>
    <t>CLYD</t>
  </si>
  <si>
    <t>ENTYVIO (vedolizumab)</t>
  </si>
  <si>
    <t>Crohn's DiseaseÂ </t>
  </si>
  <si>
    <t>FDA Approved by the FDA, noted April 18, 2024.</t>
  </si>
  <si>
    <t>TVGN</t>
  </si>
  <si>
    <t>TVGN 489 - (TCTL Study)</t>
  </si>
  <si>
    <t>Cytotoxic T Lymphocytes for the Treatment of Elderly and High-Risk Patients with Covid-19Â </t>
  </si>
  <si>
    <t>Phase 1 study proof-of-concept clinical trial suggested the ability to target and eliminate a virus in high-risk population with multiple comorbidities, noted April 11, 2024.</t>
  </si>
  <si>
    <t>Phase 1/2 Cohort 2 dosing completed, noted April 19, 2024.</t>
  </si>
  <si>
    <t>ORX750 - (CRYSTAL-1)</t>
  </si>
  <si>
    <t>Narcolepsy and other sleep-wake disordersÂ </t>
  </si>
  <si>
    <t>IND cleared by the FDA, noted April 22, 2024</t>
  </si>
  <si>
    <t>Phase 1 dosing initiated, noted April 22, 2024.</t>
  </si>
  <si>
    <t>Allocetra - (ENX-CL-05-001)</t>
  </si>
  <si>
    <t>Knee osteoarthritis (OA)Â </t>
  </si>
  <si>
    <t>Phase 2 trial initiated, noted April 22, 2024.</t>
  </si>
  <si>
    <t>Relacorilant - (GRACE)</t>
  </si>
  <si>
    <t>Hypercortisolism (Cushing's Syndrome)Â </t>
  </si>
  <si>
    <t>Phase 3 additional results exhibited clinically meaningful and statistically significant improvements in hypertension, hyperglycemia and other key secondary and exploratory endpoints, noted April 22,</t>
  </si>
  <si>
    <t>Phase 2b data reported that 22 patients shows unprecedented efficacy data compared to prior atopic dermatitis (AD) studies with biologics: 60.0% of dupilumab-experienced AD patients treated with 400mg</t>
  </si>
  <si>
    <t>Preclinical studies demonstrated PH-762 is rapidly taken up by cells and robustly silences PD-1 mRNA and protein in lymphocytes within the tumor microenvironment (TME) Intratumoral injection of murine</t>
  </si>
  <si>
    <t>ZEVASKYN (prademagene zamikeracel)</t>
  </si>
  <si>
    <t>Recessive dystrophic epidermolysis bullosa (RDEB)Â </t>
  </si>
  <si>
    <t>CRL issued by the FDA, noted April 22, 2024.</t>
  </si>
  <si>
    <t>AZTR</t>
  </si>
  <si>
    <t>ATR12-351</t>
  </si>
  <si>
    <t>Netherton SyndromeÂ </t>
  </si>
  <si>
    <t>Preclinical data suggests ATR-12 can significantly reduce IL-36g, a pro-inflammatory cytokine that drives Netherton syndrome, noted April 22, 2024.</t>
  </si>
  <si>
    <t>TOVX</t>
  </si>
  <si>
    <t>VCN-01 (VIRAGE)</t>
  </si>
  <si>
    <t>Metastatic PDACÂ </t>
  </si>
  <si>
    <t>Preclinical data demonstrated enhanced anti-tumor effects in a human pancreatic mouse xenograft, noted April 22, 2024.</t>
  </si>
  <si>
    <t>ACET</t>
  </si>
  <si>
    <t>ADI-270</t>
  </si>
  <si>
    <t>Solid tumors CAR T, relapsed/refractory renal cell carcinoma (RCC)Â </t>
  </si>
  <si>
    <t>Preclinical findings showed robust anti-tumor activity of ADI-270 in multiple CD70-positive solid and hematological cancer models, noted April 22, 2024</t>
  </si>
  <si>
    <t>ANKTIVA</t>
  </si>
  <si>
    <t>BCG-Unresponsive Non-Muscle Invasive Bladder CancerÂ </t>
  </si>
  <si>
    <t>Approved April 22, 2024.</t>
  </si>
  <si>
    <t>VCN-01 (zabilugene almadenorepvec)</t>
  </si>
  <si>
    <t>RetinoblastomaÂ </t>
  </si>
  <si>
    <t>Phase 1 topline data in collaboration with Sant Joan de DÃ©u-Barcelona Children's Hospital (SJD) determined to have a positive outcome by the study Monitoring Committee, safety and clinical outcomes su</t>
  </si>
  <si>
    <t>Secondary Progressive Multiple Sclerosis (SPMS)Â </t>
  </si>
  <si>
    <t>Phase 2a FDA allowed its intranasal foralumab na-SPMS Expanded Access (EA) Program to expand from 10 patients to a total of 30 patients, noted April 23, 2024.</t>
  </si>
  <si>
    <t>UBX</t>
  </si>
  <si>
    <t>UBX1325 - (ASPIRE)</t>
  </si>
  <si>
    <t>Phase 2 study of UBX1325 has been extended from 24 to 36 weeks to assess potentially greater durability compared to aflibercept. In addition, the study is being upsized from 40 to 50 patients to incre</t>
  </si>
  <si>
    <t>Preclinical study of intranasal delivery showed rapid and effective drug exposure for PTSD Therapy, noted April 23, 2024.</t>
  </si>
  <si>
    <t>Osavampator (NBI-1065845) - (SAVITRI)</t>
  </si>
  <si>
    <t>Major depressive disorderÂ </t>
  </si>
  <si>
    <t>Phase 2 study met its primary and key secondary endpoints, demonstrating that once-daily, oral administration of NBI-1065845 produced a statistically significant change from baseline in Montgomery Ã…sb</t>
  </si>
  <si>
    <t>ANRO</t>
  </si>
  <si>
    <t>ALTO-101</t>
  </si>
  <si>
    <t>Phase 1 study in healthy volunteers demonstrated favorable tolerability and improved pharmacokinetics of ALTO-101 when administered via a transdermal delivery system (TDS) compared to oral administrat</t>
  </si>
  <si>
    <t>IL-10 Indukine (PREDATOR Platform)</t>
  </si>
  <si>
    <t>Preclinical data in animal models supported unique conditionally active cytokine immunotherapy approach for the potential treatment, noted April 23, 2024.</t>
  </si>
  <si>
    <t>XPro1595 (pegipanermin) - (XPro)</t>
  </si>
  <si>
    <t>Neuroinflammation caused by Alzheimerâ€™s diseaseÂ </t>
  </si>
  <si>
    <t>Phase 3 preparation ongoing after 24-month validation data completed, noted April 23, 2024.</t>
  </si>
  <si>
    <t>FDA approved on April 23, 2024.</t>
  </si>
  <si>
    <t>DAWN</t>
  </si>
  <si>
    <t>OJEMDA (tovorafenib)</t>
  </si>
  <si>
    <t>Low-grade GliomaÂ </t>
  </si>
  <si>
    <t>FDA Approved on April 23, 2024.</t>
  </si>
  <si>
    <t>HB-700</t>
  </si>
  <si>
    <t>KRAS-mutated cancersÂ </t>
  </si>
  <si>
    <t>IND cleared by the FDA, noted April 24, 2024.</t>
  </si>
  <si>
    <t>HOOK</t>
  </si>
  <si>
    <t>AVT05 (biosimilar to golimumab)</t>
  </si>
  <si>
    <t>Rheumatoid ArthritisÂ </t>
  </si>
  <si>
    <t>Phase 3 trial met its primary endpoint, with results demonstrating therapeutic equivalence between AVT05 and Simponi. Additionally, no clinically meaningful differences in safety were observed through</t>
  </si>
  <si>
    <t>Eftilagimod alpha (IMP321) and KEYTRUDA (pembrolizumab) - (TACTI-003)</t>
  </si>
  <si>
    <t>Head and neck squamous cell carcinoma (HNSCC)Â </t>
  </si>
  <si>
    <t>Phase 2b enrollment completed, noted November 9, 2023. Phase 2b data from efti in combination in patients who do not express PD-L1 (TACTI-003, Cohort B) showed a preliminary 26.9% response rate, the p</t>
  </si>
  <si>
    <t>Phase 2 initiated, noted April 24, 2024.</t>
  </si>
  <si>
    <t>Phase 2a OLE study initiated, noted April 24, 2024.</t>
  </si>
  <si>
    <t>RDHL</t>
  </si>
  <si>
    <t>RHB-107 (upamostat) - (ACESO PROTECT)</t>
  </si>
  <si>
    <t>Early COVID-19 outpatient treatmentÂ </t>
  </si>
  <si>
    <t>Phase 2 dosing commenced, noted April 24, 2024.</t>
  </si>
  <si>
    <t>Naloxone hydrochloride nasal spray - (generic Narcan)</t>
  </si>
  <si>
    <t>Opioid overdoseÂ </t>
  </si>
  <si>
    <t>FDA Approved, noted April 24, 2024.</t>
  </si>
  <si>
    <t>Auxora - (CARPO)</t>
  </si>
  <si>
    <t>Acute PancreatitisÂ </t>
  </si>
  <si>
    <t>Phase 2b enrolment completed, noted April 24, 2024.</t>
  </si>
  <si>
    <t>Coartem (artemether-lumefantrine) - (CALINA)</t>
  </si>
  <si>
    <t>Malaria in babies &lt;5 kgÂ </t>
  </si>
  <si>
    <t>Phase 2/3 data reported that the new formulation has good efficacy and safety, and the data have been submitted for regulatory review, noted April 24, 2024.</t>
  </si>
  <si>
    <t>Phase 1 data reported that treatment was generally well tolerated up to and including the highest planned dose level, and there were no serious adverse events, noted April 24, 2024.</t>
  </si>
  <si>
    <t>ACR-368</t>
  </si>
  <si>
    <t>Platinum-resistant ovarian,(PROC) endometrial, and urothelial cancersÂ </t>
  </si>
  <si>
    <t>Phase 2b initial data demonstrated a 50% confirmed overall response rate observed with ACR-368 in OncoSignature-positive gynecological (ovarian and endometrial) cancers, noted April 24, 2024.</t>
  </si>
  <si>
    <t>Anktiva (N-803) + various Checkpoint Inhibitors (QUILT-3.055)</t>
  </si>
  <si>
    <t>NSCLC, Various tumorsÂ </t>
  </si>
  <si>
    <t>Phase 2 results reported significant prolongation of overall survival, noted April 25, 2024.</t>
  </si>
  <si>
    <t>PH15</t>
  </si>
  <si>
    <t>Psychomotor impairment caused by mental fatigueÂ </t>
  </si>
  <si>
    <t>Phase 2a data reported that treatment demonstrated a statistically significant improvement in reaction time compared to placebo and caffeine in sleep-deprived study participants, noted April 25, 2024.</t>
  </si>
  <si>
    <t>BLCO</t>
  </si>
  <si>
    <t>LCD supplement capsule</t>
  </si>
  <si>
    <t>Dry eyesÂ </t>
  </si>
  <si>
    <t>Trial met both primary endpoints, noted April 25, 2024.</t>
  </si>
  <si>
    <t>Foralumab</t>
  </si>
  <si>
    <t>Non-active, secondary-progressive multiple sclerosis (na-SPMS)Â </t>
  </si>
  <si>
    <t>Phase 2 data quantitative data showing improvement in White Matter Z-scores measured from PET images taken at 3 months in nasal foralumab, noted April 25, 2024.</t>
  </si>
  <si>
    <t>Bezisterim (NE3107) - (Biomarker Trial)</t>
  </si>
  <si>
    <t>Alzheimer's diseaseÂ </t>
  </si>
  <si>
    <t>Phase 2 data shared at the Annual Alzheimer's &amp; Parkinson's Drug Development Summit shows how bezisterim may be restoring homeostasis via specific genes associated with dementia, metabolism, and infla</t>
  </si>
  <si>
    <t>Namilumab - (RESOLVE-Lung)</t>
  </si>
  <si>
    <t>SarcoidosisÂ </t>
  </si>
  <si>
    <t>Phase 2 enrollment completed, noted April 25, 2024.</t>
  </si>
  <si>
    <t>ALG-097558</t>
  </si>
  <si>
    <t>Phase 1 data presented at ECCMID showed that single (up to 2000 mg) and multiple (up to 800 mg Q12 for 7 days) doses of this potent, pan-coronavirus protease inhibitor were well tolerated in healthy v</t>
  </si>
  <si>
    <t>Preclinical data to be presented at the Alzheimer's &amp; Parkinson's Drug Development Summit shows a direct ability to phagocytose and digest amyloid and alpha-synuclein proteins while also secreting imm</t>
  </si>
  <si>
    <t>BEQVEZ (fidanacogene elaparvovec-dzkt)</t>
  </si>
  <si>
    <t>Approval announced April 26, 2024.</t>
  </si>
  <si>
    <t>Approved for updated label on (bictegravir 50 mg/emtricitabine 200 mg/tenofovir alafenamide 25 mg tablets, B/F/TAF) to treat pregnant people with HIV-1 (PWH) with suppressed viral loads, noted April 2</t>
  </si>
  <si>
    <t>JNJ-0953 (CD388) - (ANCHOR)</t>
  </si>
  <si>
    <t>Seasonal InfluenzaÂ </t>
  </si>
  <si>
    <t>Phase 2a data presented at ESCMID reported that well tolerated and demonstrated statistically significant antiviral effects when administered as a single subcutaneous dose in healthy volunteers challe</t>
  </si>
  <si>
    <t>ENTA</t>
  </si>
  <si>
    <t>EDP-235 - (SPRINT)</t>
  </si>
  <si>
    <t>Phase 2 data presented at ESCMID reported that the EDP-235 400 mg arm achieved greater mean change in TSS compared with the placebo arm at all time points, noted April 27, 2024.</t>
  </si>
  <si>
    <t>Enhertu - (DESTINY-Breast06)</t>
  </si>
  <si>
    <t>HR-positive, HER2-low (IHC 1+ or 2+/ISH-) metastatic breast cancerÂ </t>
  </si>
  <si>
    <t>Phase 3 data reported statistically significant and clinically meaningful improvement in progression-free survival (PFS) compared to standard-of-care chemotherapy, noted April 29, 2024</t>
  </si>
  <si>
    <t>Libervant (diazepam) - (pediatric)</t>
  </si>
  <si>
    <t>Acute treatment seizure activityÂ </t>
  </si>
  <si>
    <t>FDA Approved on April 29, 2024.</t>
  </si>
  <si>
    <t>XFOR</t>
  </si>
  <si>
    <t>XOLREMDI (mavorixafor)</t>
  </si>
  <si>
    <t>WHIM syndromeÂ </t>
  </si>
  <si>
    <t>Approved April 29, 2024.</t>
  </si>
  <si>
    <t>PRME</t>
  </si>
  <si>
    <t>PM359</t>
  </si>
  <si>
    <t>Chronic Granulomatous Disease (CGD)Â </t>
  </si>
  <si>
    <t>IND cleared by the FDA, noted April 29, 2024.</t>
  </si>
  <si>
    <t>ADXN</t>
  </si>
  <si>
    <t>ADX71149 (mGlu2 PAM) - (JNJ-40411813)</t>
  </si>
  <si>
    <t>EpilepsyÂ </t>
  </si>
  <si>
    <t>Phase 2 trial did not meet its primary endpoint, noted April 29, 2024.</t>
  </si>
  <si>
    <t>ATHE</t>
  </si>
  <si>
    <t>ATH434</t>
  </si>
  <si>
    <t>Parkinson's DiseaseÂ </t>
  </si>
  <si>
    <t>Preclinical data presented at the World Orphan Drug Congress USA 2024 Indicated that ATH434 can function as an iron chaperone to redistribute iron, noted April 29, 2024.</t>
  </si>
  <si>
    <t>NDA resubmitted to the FDA, noted April 29, 2024.</t>
  </si>
  <si>
    <t>Galinpepimut-S - (REGAL)</t>
  </si>
  <si>
    <t>IDMC recommended the continuation of the trial, noted April 29, 2024.</t>
  </si>
  <si>
    <t>Phase 1b/2 first dose level is generally well tolerated, noted April 29, 2024.</t>
  </si>
  <si>
    <t>V116 - (STRIDE-10)</t>
  </si>
  <si>
    <t>Pneumococcal vaccineÂ </t>
  </si>
  <si>
    <t>Phase 3 data presented at ESCMID Global showed that results build on the data supporting the clinical profile of V116 for adults, noted April 29, 2024.</t>
  </si>
  <si>
    <t>Phase 2/3 AD study data reported a significantly higher improvement in ADAS-Cog 11 scores in each treatment dose relative to placebo for patients with mild AD (n=90), after unblinding the data to scre</t>
  </si>
  <si>
    <t>Phase 1 interim data showed no clinically significant difference in exposure between fed and fasted dosing, noted April 29, 2024.</t>
  </si>
  <si>
    <t>Phase 2 demonstrated that treatment with TFF TAC prevents Lung Transplant Rejection at only one-sixth of the dose of oral Tacrolimus and at Two-thirds of the oral Tacrolimus Systemic Trough Exposures,</t>
  </si>
  <si>
    <t>TIVDAK (tisotumab vedotin-tftv)</t>
  </si>
  <si>
    <t>Cervical Cancer with disease progression on or after first-line therapyÂ </t>
  </si>
  <si>
    <t>MOLN</t>
  </si>
  <si>
    <t>MP0533</t>
  </si>
  <si>
    <t>Preclinical data of tetra-specific T cell engager MP0533 demonstrated preferential T cell mediated killing of AML cells, while sparing healthy cells, noted April 29 2024.</t>
  </si>
  <si>
    <t>IND cleared February 6, 2024. Phase 2b first patient dosed April 30, 2024.</t>
  </si>
  <si>
    <t>TAK-653 / NBI-1065845</t>
  </si>
  <si>
    <t>Major Depressive Disorder (MDD)Â </t>
  </si>
  <si>
    <t>Phase 2 study met its primary and key secondary endpoints, noted April 2024.</t>
  </si>
  <si>
    <t>LUPKYNIS (Voclosporin) - (updated label)</t>
  </si>
  <si>
    <t>Lupus NephritisÂ </t>
  </si>
  <si>
    <t>Updated label approved April 30, 2024.</t>
  </si>
  <si>
    <t>Pain ReliefÂ </t>
  </si>
  <si>
    <t>MTD data reported that all doses were well-tolerated, noted April 30, 2024.</t>
  </si>
  <si>
    <t>SNTI</t>
  </si>
  <si>
    <t>SENTI-202</t>
  </si>
  <si>
    <t>Preclinical data reported that the engineered NK cells killed multiple AML subtypes while protecting primary hematopoietic stem cells (HSCs), noted April 30, 2024.</t>
  </si>
  <si>
    <t>Phase 2/3 top line data reported that NRX-101 vs lurasidone demonstrated a promising, though not yet statistically significant 33% reduction in suicidality together with a 70% reduction (P=.076) reduc</t>
  </si>
  <si>
    <t>VXRT</t>
  </si>
  <si>
    <t>Norovirus vaccine - (lactating mothers trial)</t>
  </si>
  <si>
    <t>NorovirusÂ </t>
  </si>
  <si>
    <t>Phase 1 topline data reported no vaccine-related serious adverse events (SAEs) and no dose-limiting pharmacotoxicity, noted April 30, 2024.</t>
  </si>
  <si>
    <t>Phase 1b compassionate use data reported that treatment has been well-tolerated throughout the treatment period, with stable cognitive function observed in the patients. Furthermore, the patients expr</t>
  </si>
  <si>
    <t>CORAL-CEPI</t>
  </si>
  <si>
    <t>Additional data reported that all doses of the three samRNA vaccine candidates were well tolerated in both HIV-negative participants and PLWH participants irrespective of age, SARS-CoV-2 serostatus, o</t>
  </si>
  <si>
    <t>Preclinical data shared at the ECCMID reported that SCY-247 showed in vitro activity against a broad range of pathogenic fungi, including azole-resistant strains of Candida and Aspergillus species, no</t>
  </si>
  <si>
    <t>INGREZZA SPRINKLE (valbenazine) Capsules</t>
  </si>
  <si>
    <t>Tardive dyskinesia (TD)Â </t>
  </si>
  <si>
    <t>Approved April 30, 2024.</t>
  </si>
  <si>
    <t>Phase 2b data results shared at ESCMID einforced earlier findings related to the anti-recurrence properties, noted April 30, 2024.</t>
  </si>
  <si>
    <t>KEYTRUDA (pembrolizumab) in combination with trastuzumab - (KEYNOTE-811)</t>
  </si>
  <si>
    <t>HER2-positive gastric or Gastroesophageal junction (GEJ) adenocarcinomaÂ </t>
  </si>
  <si>
    <t>Phase 3 trial met its dual primary endpoint of overall survival (OS), noted May 1, 2024.</t>
  </si>
  <si>
    <t>Preclinical successful completion of its analysis to determine the effects of bioactivated PALI-2108 on TNF-Î± production in a whole blood (WB) assay, noted May 1, 2024.</t>
  </si>
  <si>
    <t>Phase 2 30 mg cohort showed a 100% overall response rate in patients with ASXL1 mutation, treatment exhibited strong anti-leukemic activity in 62% of patients with a favorable safety profile across al</t>
  </si>
  <si>
    <t>ALRN</t>
  </si>
  <si>
    <t>LTI-03 - (Caveolin-1)</t>
  </si>
  <si>
    <t>Phase 1a low dose data showed a reduced expression of multiple profibrotic proteins in both pathological basal-like cells and fibroblasts and increased the expression of a biomarker indicative of epit</t>
  </si>
  <si>
    <t>COCP</t>
  </si>
  <si>
    <t>CC-42344</t>
  </si>
  <si>
    <t>Influenza AÂ </t>
  </si>
  <si>
    <t>Phase 2a enrollment completed, noted May 1, 2024.</t>
  </si>
  <si>
    <t>DNL343 - (HEALEY)</t>
  </si>
  <si>
    <t>Phase 2/3 trial enrollment completed noted May 1, 2024.</t>
  </si>
  <si>
    <t>CardiAMP (BCDA-02)</t>
  </si>
  <si>
    <t>Chronic Myocardial IschemiaÂ </t>
  </si>
  <si>
    <t>Phase 3 data reported that 100% of patients responded for the change in Angina Episodes per week, noted May 1, 2024.</t>
  </si>
  <si>
    <t>EVT801</t>
  </si>
  <si>
    <t>Renal cell carcinoma and soft-tissue sarcomaÂ </t>
  </si>
  <si>
    <t>Phase 1 trial successful and complete, noted May 1, 2024.</t>
  </si>
  <si>
    <t>GLTO</t>
  </si>
  <si>
    <t>GB1211 in combination with KEYTRUDA (pembrolizumab)</t>
  </si>
  <si>
    <t>Melanoma and head and neck squamous cell carcinoma (HNSCC)Â </t>
  </si>
  <si>
    <t>Phase 2 trial initiated, noted May 1, 2024.</t>
  </si>
  <si>
    <t>Calquence (acalabrutinib) with chemoimmunotherapy, bendamustine and rituximab - (ECHO)</t>
  </si>
  <si>
    <t>Mantle cell lymphoma (MCL)Â </t>
  </si>
  <si>
    <t>Phase 3 data reported a statistically significant and clinically meaningful improvement in progression-free survival (PFS) versus standard of care, noted May 2, 2024.</t>
  </si>
  <si>
    <t>IND Cleared by the FDA, noted May 2, 2024.</t>
  </si>
  <si>
    <t>Bremelanotide with Tirzepatide (GLP-1)</t>
  </si>
  <si>
    <t>IND clearance by the FDA, noted May 2, 2024.</t>
  </si>
  <si>
    <t>ALLR</t>
  </si>
  <si>
    <t>Stenoparib</t>
  </si>
  <si>
    <t>Advanced ovarian cancer (AOC)Â </t>
  </si>
  <si>
    <t>Phase 2 trial discontinued early due to clear clinical benefit, including tumor shrinkage and long-term disease stability, noted May 2, 2024.</t>
  </si>
  <si>
    <t>ELAB</t>
  </si>
  <si>
    <t>EL-22 (BLS-M22)</t>
  </si>
  <si>
    <t>GLP-1 Weight Loss Drugs and Age-Related SarcopeniaÂ </t>
  </si>
  <si>
    <t>Preclinical data reported statistically significant increase in anti-myostatin IgG antibody concentration, where myostatin is a key negative regulator of muscle growth, noted May 2, 2024.</t>
  </si>
  <si>
    <t>Eftilagimod alpha with pembrolizumab and radiotherapy - (EFTISARC-NEO)</t>
  </si>
  <si>
    <t>Soft tissue sarcomaÂ </t>
  </si>
  <si>
    <t>Phase 2 trial is well tolerated and has led to encouraging initial efficacy data. Four of six patients treated have very good, near-complete pathologic responses (primary endpoint of study) that are r</t>
  </si>
  <si>
    <t>Phase 2 trial did not meet its primary endpoint, noted May 3, 2024.</t>
  </si>
  <si>
    <t>Seralutinib (GB002) - (TORREY/PROSERA)</t>
  </si>
  <si>
    <t>Phase 2 data from TPRREY trail published at the Lancet Respiratory Medicine journal confirmed results demonstrating a statistically significant improvement for seralutinib compared to placebo in the p</t>
  </si>
  <si>
    <t>GOSS</t>
  </si>
  <si>
    <t>Cretostimogene - (BOND-003)</t>
  </si>
  <si>
    <t>BCG-unresponsive Non-Muscle Invasive Bladder Cancer (NMIBC) with Carcinoma in SituÂ </t>
  </si>
  <si>
    <t>Phase 3 data presented at AUA showed sustained, durable complete responses over 12 months with novel investigational oncolytic immunotherapy. Although the median duration of response (DOR) was not rea</t>
  </si>
  <si>
    <t>UGN-102 - (ATLAS)</t>
  </si>
  <si>
    <t>Non-Muscle-Invasive Bladder CancerÂ </t>
  </si>
  <si>
    <t>Data from AUA 2024 reported that DOR at 12 months after achieving CR at 3 months was 87.5% and 69.1% in new and recurrent patients, respectively. Also, patients achieved similar probabilities of DFS r</t>
  </si>
  <si>
    <t>MM120 ODT (Lysergide (LSD)) - (Emerge)</t>
  </si>
  <si>
    <t>Phase 2 data at APA reported clinically and statistically significant efficacy compared to placebo at its primary week 4 and secondary week 12 timepoints, noted May 4, 2024.</t>
  </si>
  <si>
    <t>IRD</t>
  </si>
  <si>
    <t>APX3330 Oral Pill - (ZETA-1)</t>
  </si>
  <si>
    <t>Diabetic Retinopathy (DR) / Macular Edema (DME)Â </t>
  </si>
  <si>
    <t>Additional data shared at ARVO on May 5, 2024 reported that no participants in the APX3330 group had a â‰¥ 4-step worsening at week 24 compared to 15.2% in the placebo group, representing a 100% reducti</t>
  </si>
  <si>
    <t>NV-387</t>
  </si>
  <si>
    <t>Influenza A viruses, Bird Flu H5N1Â </t>
  </si>
  <si>
    <t>Preclinical data reported that in a lethal animal model of lung infection by Influenza A /H3N2 virus, NV-387 was found to have substantially superior antiviral effects compared to three approved anti-</t>
  </si>
  <si>
    <t>DURAVYU ( EYP-1901 vorolanib intravitreal) - (PAVIA)</t>
  </si>
  <si>
    <t>Phase 2 trial did not meet the pre-specified primary endpoint, noted May 6, 2024.</t>
  </si>
  <si>
    <t>Uproleselan (GMI-1271)</t>
  </si>
  <si>
    <t>Acute myeloid leukemia (AML) newly diagnosed and refractory - cancerÂ </t>
  </si>
  <si>
    <t>Phase 3 final analysis and topline results did not achieve a statistically significant improvement in overall survival in the intent to treat population versus chemotherapy alone, noted May 6, 2024.</t>
  </si>
  <si>
    <t>Phase 3 data reported that median overall survival of 13 months, compared to 12.3 months in the placebo arm. Adverse events were consistent with known side effect profiles of chemotherapy used in the</t>
  </si>
  <si>
    <t>ZYNLONTA (loncastuximab tesirine-lpyl)</t>
  </si>
  <si>
    <t>Relapsed/refractory (r/r) marginal zone lymphoma (MZL)Â </t>
  </si>
  <si>
    <t>Phase 2 data reported that treatment was generally well-tolerated and safety was consistent with the known profile, with two patient discontinuations, with both of these patients remain in CR at 10 an</t>
  </si>
  <si>
    <t>VYN202</t>
  </si>
  <si>
    <t>Moderate-to-severe plaque psoriasisÂ </t>
  </si>
  <si>
    <t>IND Cleared by the FDA, noted April 6, 2024.</t>
  </si>
  <si>
    <t>LYRA</t>
  </si>
  <si>
    <t>LYR-210 - (ENLIGHTEN I)</t>
  </si>
  <si>
    <t>Chronic rhinosinusitisÂ </t>
  </si>
  <si>
    <t>Phase 3 data reported that the trial did not meet its primary endpoint of demonstrating statistically significant improvement compared to sham control in the composite score of the three cardinal symp</t>
  </si>
  <si>
    <t>LIAN</t>
  </si>
  <si>
    <t>BCAB</t>
  </si>
  <si>
    <t>BA3361 (CAB-Nectin-4)</t>
  </si>
  <si>
    <t>Multiple tumor typesÂ </t>
  </si>
  <si>
    <t>IND cleared by the FDA, noted May 6 2024.</t>
  </si>
  <si>
    <t>DRTS</t>
  </si>
  <si>
    <t>Alpha DaRT</t>
  </si>
  <si>
    <t>Preclinical data reported that a statistically significant (FDR adjusted p-value &lt; 0.05) decline in secondary tumor growth rate was found at days 21, 25 and 29 in those mice that received Alpha DaRT</t>
  </si>
  <si>
    <t>CALT</t>
  </si>
  <si>
    <t>Setanaxib with pembrolizumab</t>
  </si>
  <si>
    <t>Squamous Cell Carcinoma of the Head and Neck (SCCHN)Â </t>
  </si>
  <si>
    <t>Phase 2 final data reported statistically significant improvements in key secondary endpoints, such as progression-free survival, (PFS median 5 months versus 2.9 months; Hazard ratio= 0.58) and statis</t>
  </si>
  <si>
    <t>BLTE</t>
  </si>
  <si>
    <t>Tinlarebant (LBS-008) - (DRAGON)</t>
  </si>
  <si>
    <t>Adolescent Stargardt disease (STGD1)Â </t>
  </si>
  <si>
    <t>Phase 2/3 24-month data shared at ARVO 2024 provided further support for the potential of Tinlarebant to slow and potentially halt lesion growth, May 6, 2024.</t>
  </si>
  <si>
    <t>RGSL8429</t>
  </si>
  <si>
    <t>ADPKDÂ </t>
  </si>
  <si>
    <t>Phase 1b Cohort 4 advanced, noted May 6, 2024.</t>
  </si>
  <si>
    <t>Additional Phase 1/2a data suggested that OpRegen may counteract RPE cell dysfunction and cell loss in GA by providing support to remaining retinal cells, with effects observed through at least 2 year</t>
  </si>
  <si>
    <t>Phase 2 initiated, noted May 6, 2024.</t>
  </si>
  <si>
    <t>IMCIVREE (setmelanotide)</t>
  </si>
  <si>
    <t>Obesity due to biallelic POMC, PCSK1, LEPR deficiency, or BBS (ages 2-6 years old)Â </t>
  </si>
  <si>
    <t>Phase 3 data showcased previously disclosed data that demonstrated that setmelanotide achieved 3.04 mean reduction in BMI-Z score and 18.4 percent mean reduction in BMI in 12 patients, noted May 6, 20</t>
  </si>
  <si>
    <t>BIZENGRI (zenocutuzumab-zbco)</t>
  </si>
  <si>
    <t>Solid tumors - NRG1+ NSCLC and PDAC cancerÂ </t>
  </si>
  <si>
    <t>BLA accepted for priority review by the FDA, noted May 6, 2024.</t>
  </si>
  <si>
    <t>Fast track designation granted by the FDA, noted May 7, 2024.</t>
  </si>
  <si>
    <t>ANNX</t>
  </si>
  <si>
    <t>ANX007 - (ARCHER-II)</t>
  </si>
  <si>
    <t>Geographic atrophyÂ </t>
  </si>
  <si>
    <t>Phase 2 data presented at ARVO demonstrated significant, broad-based protection from vision loss in foveal and non-foveal patients, and in low light settings, noted May 7, 2024.</t>
  </si>
  <si>
    <t>DNL788 (SAR443820) - (HIMALAYA)</t>
  </si>
  <si>
    <t>Phase 2 trial did not meet the primary endpoint, noted May 7, 2024.</t>
  </si>
  <si>
    <t>ELDN</t>
  </si>
  <si>
    <t>Tegoprubart (AT-1501) - (BESTOW)</t>
  </si>
  <si>
    <t>Kidney transplant rejectionÂ </t>
  </si>
  <si>
    <t>Phase 1b data reported that two subjects completed 12 months on therapy post-transplant and both demonstrated mean eGFRs above 90 mL/min/1.73m2 at one year, noted May 7, 2024.</t>
  </si>
  <si>
    <t>Additional Phase 2 data reported discontinuation rates were lower for patients treated with eblasakimab (13%, 2/15) compared to those on placebo, noted May 7, 2024.</t>
  </si>
  <si>
    <t>Phase 1/2 topline data reported a CRc rate of 45% and an overall remission rate (ORR) of 55% for all subjects, noted May 7, 2024.</t>
  </si>
  <si>
    <t>Additional Phase 2b data analysis reported a statistically significant slowing of disease progression in high-risk ALS patients treated with PrimeC by 43% (p=0.02), noted May 7, 2024.</t>
  </si>
  <si>
    <t>Otoferlin gene therapy (DB-OTO) - (CHORD)</t>
  </si>
  <si>
    <t>Genetic hearing lossÂ </t>
  </si>
  <si>
    <t>Phase 1/2 data presented at ASGCT reported an average 84 dB improvement from baseline and one frequency measure reaching 10 dB in hearing level per PTA. Across all tested frequencies, an average 80 dB</t>
  </si>
  <si>
    <t>VYGR</t>
  </si>
  <si>
    <t>TRACER (GBA1)</t>
  </si>
  <si>
    <t>Preclinical data reported that showed further enhanced blood-brain barrier (BBB) penetrance, greater liver detargeting, and transduction of 50-75% of cells across diverse brain regions, with upwards o</t>
  </si>
  <si>
    <t>Reproxalap (ADX-102) - (TRANQUILITY)</t>
  </si>
  <si>
    <t>Phase 3 first patient enrollment, noted May 8, 2024.</t>
  </si>
  <si>
    <t>CK-4021586 (CK-586) - (AMBER-HFpEF)</t>
  </si>
  <si>
    <t>Heart failure with preserved ejection fraction (HFpEF)Â </t>
  </si>
  <si>
    <t>Phase 1 trial met its primary and secondary objectives, noted May 8, 2024.</t>
  </si>
  <si>
    <t>Olanzapine LAI (44749) - (SOLARIS)</t>
  </si>
  <si>
    <t>Phase 3 trial data reported that the trial met its primary endpoint as measured by a change in the PANSS total score from baseline after 8 weeks compared to placebo, noted May 8, 2024.</t>
  </si>
  <si>
    <t>Aficamten - (CEDAR-HCM)</t>
  </si>
  <si>
    <t>obstructive HCMÂ </t>
  </si>
  <si>
    <t>Phase 3 initiated, noted May 8, 2024.</t>
  </si>
  <si>
    <t>Preclinical data presented at ASGCT demonstrated the ability of PM359 to correct disease-causing mutation in CGD patient blood stem cells, leading to restored immune function in vivo with no off-targe</t>
  </si>
  <si>
    <t>VERVE-102 - (Heart-2)</t>
  </si>
  <si>
    <t>PCSK9Â </t>
  </si>
  <si>
    <t>Phase 1b dosing initiated, noted May 8, 2024.</t>
  </si>
  <si>
    <t>Multikine - (IT-MATTERS)</t>
  </si>
  <si>
    <t>Head and Neck cancerÂ </t>
  </si>
  <si>
    <t>Phase 3 Go-Ahead received by the FDA for its study, noted May 8, 2024.</t>
  </si>
  <si>
    <t>Phase 1 dosing initiated, noted May 8, 2024.</t>
  </si>
  <si>
    <t>PRQR</t>
  </si>
  <si>
    <t>AX-0810</t>
  </si>
  <si>
    <t>Healthy volunteers, deficiency of sodium taurocholate cotransporting polypeptide (NTCP), cholestatic diseasesÂ </t>
  </si>
  <si>
    <t>Preclinical data shared at the American Society of Gene &amp; Cell Therapy (ASGCT) confirmed findings in in vitro models and showed translatability across models, noted May 8, 2024</t>
  </si>
  <si>
    <t>CTMX</t>
  </si>
  <si>
    <t>CX-904</t>
  </si>
  <si>
    <t>Phase 1 data demonstrated a favorable safety profile with no cytokine release syndrome (CRS) of any grade observed in step-dosing cohorts and no grade &gt;1 CRS observed overall, noted May 8, 2024.</t>
  </si>
  <si>
    <t>OCS-05 - (ACUITY)</t>
  </si>
  <si>
    <t>Acute optic neuritisÂ </t>
  </si>
  <si>
    <t>Phase 2 enrollment completed, noted May 8, 2024.</t>
  </si>
  <si>
    <t>KEYTRUDA versus chemotherapy - (KEYNOTE-B21)</t>
  </si>
  <si>
    <t>High-Risk Endometrial CancerÂ </t>
  </si>
  <si>
    <t>Phase 3 study did not meet the study's pre-specified statistical criteria for DFS compared to placebo plus adjuvant chemotherapy, with or without radiotherapy, noted May 9, 2024.</t>
  </si>
  <si>
    <t>SPT-300 (Glyph allopregnanolone; formerly LYT-300)</t>
  </si>
  <si>
    <t>Healthy volunteers, neurological and neuropsychological conditionsÂ </t>
  </si>
  <si>
    <t>Phase 2a demonstrated nine times greater allopregnanolone exposure in humans dosed orally than published data for oral allopregnanolone, validating Glyph platform's ability to enhance oral bioavailabi</t>
  </si>
  <si>
    <t>TSC-203-A0201 - (PRAME)</t>
  </si>
  <si>
    <t>Targeting PRAME Solid tumorsÂ </t>
  </si>
  <si>
    <t>Phase 1 dosing initiated, noted May 9, 2024.</t>
  </si>
  <si>
    <t>The phase 3 study was completed, noted May 9, 2024.</t>
  </si>
  <si>
    <t>P-KLKB1-101</t>
  </si>
  <si>
    <t>Gene TherapyÂ </t>
  </si>
  <si>
    <t>Preclinical early non-human primate (NHP) data for P-KLKB1-101 demonstrate successful liver gene editing approaching human therapeutic range with a favorable safety and tolerability profile, noted May</t>
  </si>
  <si>
    <t>P-FVIII-101</t>
  </si>
  <si>
    <t>Preclinical data highlight sustained Hemophilia A correction following a single dose and support potential for repeat dosing and precise tuning of Factor VIII levels, noted May 9, 2024.</t>
  </si>
  <si>
    <t>IkT-001Pro</t>
  </si>
  <si>
    <t>Pulmonary Arterial Hypertension (PAH)Â </t>
  </si>
  <si>
    <t>Pre-IND meeting with FDA indicated IkT-001Pro can be considered a New Molecular Entity and is eligible for exclusivity designations in Pulmonary Arterial Hypertension. FDA agreed that the 505(b)(2) pa</t>
  </si>
  <si>
    <t>FT819</t>
  </si>
  <si>
    <t>B-cell Leukemias and LymphomasÂ </t>
  </si>
  <si>
    <t>Phase 1b translational data presented at ASGCT highlighted the scientific rationale and demonstrate key therapeutic mechanisms of activity for the treatment of B cell-mediated autoimmune disease, note</t>
  </si>
  <si>
    <t>FT522</t>
  </si>
  <si>
    <t>LupusÂ </t>
  </si>
  <si>
    <t>Preclinical data to be presented at ASGCT showed dose-dependent trafficking, infiltration, and residency in secondary and tertiary tissues without cytokine support at human dose equivalency levels of</t>
  </si>
  <si>
    <t>Trial closed due to clinical hold, noted May 9, 2024.</t>
  </si>
  <si>
    <t>Phase 2/3 trial AlphaBreak initiated, noted May 9, 2024.</t>
  </si>
  <si>
    <t>ANAB</t>
  </si>
  <si>
    <t>Imsidolimab (ANB019) - (GEMINI-1)</t>
  </si>
  <si>
    <t>Generalized pustular psoriasisÂ </t>
  </si>
  <si>
    <t>Phase 3 data showed that All 8 patients who responded to IV imsidolimab in GEMINI-1 and received monthly SC maintenance dosing in GEMINI-2 maintained clear/almost clear skin through 24 weeks with no f</t>
  </si>
  <si>
    <t>PDSB</t>
  </si>
  <si>
    <t>PDS0101 + KEYTRUDA (pembrolizumab) - (VERSATILE-002)</t>
  </si>
  <si>
    <t>HPV16-positive first-line recurrent and/or metastatic head and neck squamous cell cancer with low PD-L1 expression (CPS 1-19)Â </t>
  </si>
  <si>
    <t>Phase 2 data presented at a KOL showed a 30-month median overall survival (OS); median OS independent of patient CPS score; ORR 34% (CPSâ‰¥1); 48% (CPSâ‰¥20, noted May 9, 2024.</t>
  </si>
  <si>
    <t>Preclinical data presented at ASCGT data demonstrates that intratumoral injection of PH-762 significantly inhibits tumor growth in murine cells and may generate memory-specific T cells, noted May 9, 2</t>
  </si>
  <si>
    <t>4D-175 - (GAZE)</t>
  </si>
  <si>
    <t>Geographic AtrophyÂ </t>
  </si>
  <si>
    <t>Preclinical data presented at ARVO showed that intravitreal administration of 4D-175 to non-human primates (NHP) was safe and well tolerated and resulted in robust transgene expression in the retina a</t>
  </si>
  <si>
    <t>Phase 2 interim 24-week landmark data presented at ARVO demonstrated that a high dose of 4D-150 (3E10 vg/eye) resulted in robust reductions in overall treatment burden of 89%, percent of patients with</t>
  </si>
  <si>
    <t>FRLN</t>
  </si>
  <si>
    <t>FLT201 - (GALILEO-1)</t>
  </si>
  <si>
    <t>Gaucher diseaseÂ </t>
  </si>
  <si>
    <t>Phase 1/2 results shared at the ASGCT reported an early lyso-Gb1 data and reduction in BMB and fatigue suggest potential for meaningful improvements in clinical outcomes over existing standard of care</t>
  </si>
  <si>
    <t>CELU</t>
  </si>
  <si>
    <t>CYNK-201</t>
  </si>
  <si>
    <t>Preclinical data presented on at ASGCT reported that PT-CD16VS can be combined with various monoclonal antibodies to engage in anti-tumor antibody-dependent cellular cytotoxicity against diverse cance</t>
  </si>
  <si>
    <t>INSM</t>
  </si>
  <si>
    <t>Treprostinil Palmitil Inhalation Powder (TPIP)</t>
  </si>
  <si>
    <t>Pulmonary hypertension associated with interstitial lung disease (PH-ILD)Â </t>
  </si>
  <si>
    <t>Phase 2 topline results reported that serious adverse events occurred in 20.7% of TPIP-treated patients and 40.0% of placebo-treated patients, noted May 9, 2024.</t>
  </si>
  <si>
    <t>EDG-5506 - (DUNE)</t>
  </si>
  <si>
    <t>Phase 2 data reported that sevasemten was well tolerated across all 21 participants and significantly reduced biomarkers of muscle damage associated with exercise with a mean post-exercise reduction o</t>
  </si>
  <si>
    <t>CANF</t>
  </si>
  <si>
    <t>Namodenoson (CF102)</t>
  </si>
  <si>
    <t>IND cleared by the FDA, noted May 9, 2024.</t>
  </si>
  <si>
    <t>mRESVIA (mRNA-1345) - (ConquerRSV)</t>
  </si>
  <si>
    <t>Respiratory syncytial virus (RSV) vaccineÂ </t>
  </si>
  <si>
    <t>PDUFA decision due on May 12, 2024. FDA has informed Moderna that due to administrative constraints, the agency will not complete its review of mRNA-1345 by the PDUFA date of May 12, 2024, The FDA has</t>
  </si>
  <si>
    <t>IPSC</t>
  </si>
  <si>
    <t>CNTY-101 - (CALiPSO-1)</t>
  </si>
  <si>
    <t>Systemic Lupus ErythematosusÂ </t>
  </si>
  <si>
    <t>Preclinical data demonstrates the potential utility of using a synthetic ligand targeting CD300a as a universal strategy for preventing NK-mediated rejection in allogeneic cell therapies, as noted on</t>
  </si>
  <si>
    <t>RP-L301</t>
  </si>
  <si>
    <t>Pyruvate Kinase Deficiency (PKD)Â </t>
  </si>
  <si>
    <t>Phase 1 data reported robust and sustained efficacy in adults and the first pediatric patient infusion of RP-L301 was well tolerated, with engraftment achieved at day +15, noted May 19, 2023. Phase 1</t>
  </si>
  <si>
    <t>Preclinical data presented at ASGCT from In vitro data showed that LEKTI (lympho-epithelial Kazal-type-related inhibitor) protein secreted by ATR-12 has nanomolar inhibition of a key protease that dr</t>
  </si>
  <si>
    <t>IMMX</t>
  </si>
  <si>
    <t>NXC-201 (HBI10101) - (NEXICART-1)</t>
  </si>
  <si>
    <t>relapsed/refractory multiple myeloma and relapsed/refractory AL amyloidosisÂ </t>
  </si>
  <si>
    <t>Phase 1/2 data presented at ASGCT showed a 92% (12/13) overall response rate (ORR) for relapsed/refractory AL Amyloidosis. Best responder duration of response was 28.0 months with response ongoing, no</t>
  </si>
  <si>
    <t>PLX</t>
  </si>
  <si>
    <t>PRX-115</t>
  </si>
  <si>
    <t>Severe GoutÂ </t>
  </si>
  <si>
    <t>Phase 1 initial data from the seven cohorts, and following the review and acceptance of the safety data from cohort 7 by the safety and monitoring committee for dose escalation for the FIH Study, the</t>
  </si>
  <si>
    <t>Phase 2 interim data showed PSA50 responses 43.9%/36.6%, ORR 17.8%/25% confirmed. Unfortunately, 5 deaths were found: 1 unrelated, 2 pneumonitis under investigation., noted May 10, 2024</t>
  </si>
  <si>
    <t>Opdivo (nivolumab) + Yervoy (ipilimumab) versus CCRT - (CheckMate-73L)</t>
  </si>
  <si>
    <t>Stage III non-small cell lung cancer (NSCLC)Â </t>
  </si>
  <si>
    <t>Phase 3 CheckMate -73L trial did not meet its primary endpoint of progression-free survival (PFS), noted May 10, 2024.</t>
  </si>
  <si>
    <t>Preclinical data featured at ASGCT data reported robust efficacy maintained across multiple relevant tumor models of varying stringency, noted May 10, 2024.</t>
  </si>
  <si>
    <t>KEYTRUDA (KeyVibe-010)</t>
  </si>
  <si>
    <t>Resected high-risk melanoma (Stage IIB-IV)Â </t>
  </si>
  <si>
    <t>Phase 3 pre-planned analysis data showed that the primary endpoint of recurrence-free survival (RFS) met the pre-specified futility criteria. A higher rate of discontinuation of all adjuvant therapy b</t>
  </si>
  <si>
    <t>VALN</t>
  </si>
  <si>
    <t>VLA1553-321 - (Adolescents trial)</t>
  </si>
  <si>
    <t>Chikungunya Vaccine for adolecentsÂ </t>
  </si>
  <si>
    <t>Phase 3 day 180 results confirm the initial positive immunogenicity and safety data Valneva reported previously, noted May 13, 2024.</t>
  </si>
  <si>
    <t>Petosemtamab (MCLA-158)</t>
  </si>
  <si>
    <t>Recurrent/metastatic (r/m) head and neck squamous cell carcinoma (HNSCC), Solid TumorsÂ </t>
  </si>
  <si>
    <t>FDA Granted Breakthrough Therapy Designation (BTD) on May 13, 2024.</t>
  </si>
  <si>
    <t>INB-200</t>
  </si>
  <si>
    <t>GlioblastomaÂ </t>
  </si>
  <si>
    <t>Phase 1 data presented at ASGCT data provide additional insight into the complex gene-expression changes that occur throughout the manufacturing of our gamma-delta T cell products, which demonstrate a</t>
  </si>
  <si>
    <t>Aficamten (CK-274) - (SEQUOIA-HCM)</t>
  </si>
  <si>
    <t>Hypertrophic cardiomyopathy (HCM)Â </t>
  </si>
  <si>
    <t>Phase 3 full results due presented at Heart Failure showed that treatment with aficamten for 24 weeks significantly improved exercise capacity compared to placebo, noted May 13, 2024.</t>
  </si>
  <si>
    <t>Sevasemten (EDG-5506) - (CANYON)</t>
  </si>
  <si>
    <t>Becker Muscular Dystrophy (BMD)Â </t>
  </si>
  <si>
    <t>Phase 2 trial met primary endpoint, noted May 13, 2024.</t>
  </si>
  <si>
    <t>Bexotegrast (PLN-74809) - (INTEGRIS-IPF)</t>
  </si>
  <si>
    <t>Idiopathic pulmonary fibrosis (IFP)Â </t>
  </si>
  <si>
    <t>Phase 2a 12-week post-hoc analysis reported that bexotegrast-treated patients showed a reduction in SUV in the lung compared to an increase seen in placebo, noted May 14, 2024.</t>
  </si>
  <si>
    <t>SULANDA (surufatinib)</t>
  </si>
  <si>
    <t>Metastatic pancreatic ductal adenocarcinoma (PDAC) in ChinaÂ </t>
  </si>
  <si>
    <t>Phase 2/3 study initiated in China, noted May 14, 2024.</t>
  </si>
  <si>
    <t>Tarcocimab tedromer (KSI-301) - (GLOW2)</t>
  </si>
  <si>
    <t>Non-proliferative diabetic retinopathyÂ </t>
  </si>
  <si>
    <t>Phase GLOW2 dosing initiated, noted May 14, 2024.</t>
  </si>
  <si>
    <t>HMPL-306 - (RAPHAEL)</t>
  </si>
  <si>
    <t>Relapsed / refractory acute myeloid leukemia (AML)Â </t>
  </si>
  <si>
    <t>Phase 3 initiated, noted May 14, 2024.</t>
  </si>
  <si>
    <t>DVAX</t>
  </si>
  <si>
    <t>HEPLISAV-B</t>
  </si>
  <si>
    <t>End Stage Renal Disease on Dialysis undergoing hemodialysisÂ </t>
  </si>
  <si>
    <t>CRL announced May 14, 2024.</t>
  </si>
  <si>
    <t>Preclinical antiviral activity study resulted in full survival of lethally infected animals was achieved, noted May 14, 2024.</t>
  </si>
  <si>
    <t>NMRA</t>
  </si>
  <si>
    <t>Navacaprant (NMRA-140)</t>
  </si>
  <si>
    <t>Bipolar DepressionÂ </t>
  </si>
  <si>
    <t>Phase 2 initiated, noted May 14, 2024.</t>
  </si>
  <si>
    <t>Itolizumab - (EQUATOR)</t>
  </si>
  <si>
    <t>1st line Acute graft-versus-host disease (aGVHD)Â </t>
  </si>
  <si>
    <t>Phase 3 enrollment target surpassed, noted May 14, 2024.</t>
  </si>
  <si>
    <t>ATYR</t>
  </si>
  <si>
    <t>Efzofitimod - (EFZO-FIT)</t>
  </si>
  <si>
    <t>Pulmonary sarcoidosisÂ </t>
  </si>
  <si>
    <t>Second DSMB recommended that the ongoing Phase 3 study could continue without any modifications after a second pre-planned, interim analysis, noted May 14, 2024.</t>
  </si>
  <si>
    <t>REQORSA Immunogene Therapy (quratusugene ozeplasmid) - (Acclaim-3)</t>
  </si>
  <si>
    <t>Extensive-stage small cell lung cancer (ES-SCLC)Â </t>
  </si>
  <si>
    <t>Phase 1/2 trial dosing initiated, noted May 14, 2024.</t>
  </si>
  <si>
    <t>CRIS</t>
  </si>
  <si>
    <t>CA-4948 - (TakeAim Lymphoma)</t>
  </si>
  <si>
    <t>Relapsed or Refractory Non-Hodgkin LymphomaÂ </t>
  </si>
  <si>
    <t>Phase 2 data reported that 3 of 3 patients who were naÃ¯ve to FLT3i treatment achieved objective response (2 CR, 1 MLFS), noted May 14, 2024.</t>
  </si>
  <si>
    <t>KYMR</t>
  </si>
  <si>
    <t>KT-333</t>
  </si>
  <si>
    <t>Cutaneous T-cell lymphoma (CTCL)Â </t>
  </si>
  <si>
    <t>Phase 1a data reported two complete responses in two cHL patients at DL4, three partial responses in CTCL patients at DL2, 4 and 5, and stable disease in four solid tumor patients at DL3-4, noted May</t>
  </si>
  <si>
    <t>Phase 2 additional data showed that patient enrollment has accelerated to now 10 patients, 6/6 who completed 12-week tratemetn chosen to remain on TFF TAC, 1 patient has been treated for over a year a</t>
  </si>
  <si>
    <t>Tradipitant - (Motion Serifos)</t>
  </si>
  <si>
    <t>Motion sicknessÂ </t>
  </si>
  <si>
    <t>Phase 3 trial conducted in real-world conditions on boats in U.S. coastal waters, both the 170 mg and 85 mg doses of tradipitant demonstrated superiority over placebo in preventing vomiting, noted May</t>
  </si>
  <si>
    <t>THRD</t>
  </si>
  <si>
    <t>THB335</t>
  </si>
  <si>
    <t>Mast cell-mediated inflammatory diseasesÂ </t>
  </si>
  <si>
    <t>IND was cleared by the FDA during 2Q 2024.</t>
  </si>
  <si>
    <t>Denifanstat (PK Study)</t>
  </si>
  <si>
    <t>Phase 1 data reported that denifanstat was well-tolerated and no safety signals were reported, noted May 15, 2024.</t>
  </si>
  <si>
    <t>Phase 2/3 data reported an 50% overall response rate, including one complete response and two partial responses, and a 100% disease control rate, with three patients having stable disease as best over</t>
  </si>
  <si>
    <t>OLMA</t>
  </si>
  <si>
    <t>Palazestrant (OP-1250) and ribociclib - (OPERA-02)</t>
  </si>
  <si>
    <t>Phase 1b/2 data to be shared at ESMO Breast Cancer showed that treatment was well tolerated with no new safety signals or increased toxicity and no clinically meaningful impact on drug exposure of eit</t>
  </si>
  <si>
    <t>Phase 3 agreement with the FDA after EoP2 meeting, noted May 15, 2024.</t>
  </si>
  <si>
    <t>Ozuriftamab Vedotin (BA3021)</t>
  </si>
  <si>
    <t>Solid Tumors, Non-small cell lung cancer (NSCLC), recurrent or metastatic squamous cell carcinoma of the head and neck (R/M SCCHN)Â </t>
  </si>
  <si>
    <t>Phase 2 data reported 11 responses at the combined 2Q3W and Q2W dose regimens (5 confirmed, including 1 complete response), noted May 15, 2024.</t>
  </si>
  <si>
    <t>BCDA-03</t>
  </si>
  <si>
    <t>Ischemic heart failureÂ </t>
  </si>
  <si>
    <t>Phase 1/2 data reported that treatment-emergent adverse events, arrhythmias, rejection, or allergic response have been observed, noted May 15, 2024.</t>
  </si>
  <si>
    <t>PH-762 (direct drug therapy)</t>
  </si>
  <si>
    <t>Phase 1b dosing of the first cohort of patients was completed and screening for the next dose cohort is on-going, noted May 15, 2024</t>
  </si>
  <si>
    <t>AXGN</t>
  </si>
  <si>
    <t>Avance Nerve Graf - (RECON)</t>
  </si>
  <si>
    <t>Severed peripheral nervesÂ </t>
  </si>
  <si>
    <t>BLA submitted on May 15, 2024.</t>
  </si>
  <si>
    <t>Insulin efsitora alfa (efsitora) - (QWINT-2 and QWINT-4)</t>
  </si>
  <si>
    <t>Phase 3 data reported that trials met their primary endpoints, noted May 16, 2024.</t>
  </si>
  <si>
    <t>ARV-471 with IBRANCE (palbociclib) - (TACTIVE-N)</t>
  </si>
  <si>
    <t>ER+ positive / HER2- negative breast cancerÂ </t>
  </si>
  <si>
    <t>Phase 1b data reported a clinical benefit rate (63%), overall response rate (41.9%), median progression-free survival (11.2 months), noted May 16, 2024.</t>
  </si>
  <si>
    <t>Sipavibart (AZD3152) - (SUPERNOVA)</t>
  </si>
  <si>
    <t>COVIDâ€‘19Â </t>
  </si>
  <si>
    <t>Phase 3 data reported that the trial met both dual primary endpoints, noted May 16, 2024.</t>
  </si>
  <si>
    <t>CT-388</t>
  </si>
  <si>
    <t>Obesity and type 2 diabetesÂ </t>
  </si>
  <si>
    <t>Phase 1b data reported significant weight loss in healthy adults with obesity compared to placebo, noted May 16, 2024.</t>
  </si>
  <si>
    <t>BIIB</t>
  </si>
  <si>
    <t>ION582 (BIIB121) - (HALOS)</t>
  </si>
  <si>
    <t>Phase 1b/2 enrollment completed, noted November 2, 2023. Phase 1b datademonstrated consistent improvements across multiple functional domains, noted May 16, 2024.</t>
  </si>
  <si>
    <t>TRML</t>
  </si>
  <si>
    <t>TOUR006 - (TRANQUILITY)</t>
  </si>
  <si>
    <t>Atherosclerotic cardiovascular disease (ASCVD)Â </t>
  </si>
  <si>
    <t>Phase 2 dosing initiated, noted May 16, 2024.</t>
  </si>
  <si>
    <t>BIIB105 (ATXN2 ASO) - (ALSpire)</t>
  </si>
  <si>
    <t>Phase 1/2 topline data reported that treatment did not result in a reduction in levels of plasma neurofilament light chain (NfL), a marker of neurodegeneration and neuronal damage, noted May 16, 2024.</t>
  </si>
  <si>
    <t>ASND</t>
  </si>
  <si>
    <t>Breyanzi (lisocabtagene maraleucel) - (TRANSCEND FL)</t>
  </si>
  <si>
    <t>Follicular lymphomaÂ </t>
  </si>
  <si>
    <t>Approved May 16, 2024.</t>
  </si>
  <si>
    <t>Phase 1b data reported that treatment was well tolerated at the maximum administered dose and treatment with mPH-762 provided robust inhibition of tumor growth, noted May 16, 2024.</t>
  </si>
  <si>
    <t>Nanobody (sonelokimab) - (VELA)</t>
  </si>
  <si>
    <t>Hidradenitis suppurativaÂ </t>
  </si>
  <si>
    <t>Phase 3 trial VELA initiated, noted May 16, 2024.</t>
  </si>
  <si>
    <t>Phase 1b/2 last patient dosed completed, noted May 16, 2024.</t>
  </si>
  <si>
    <t>Lanifibranor - (NATiV3)</t>
  </si>
  <si>
    <t>Positive recommendation from DMC on May 16, 2024.</t>
  </si>
  <si>
    <t>IMDELLTRA (tarlatamab-dlle)</t>
  </si>
  <si>
    <t>Approved May 17, 2024.</t>
  </si>
  <si>
    <t>Ganaxolone - (TrustTSC)</t>
  </si>
  <si>
    <t>Tuberous Sclerosis ComplexÂ </t>
  </si>
  <si>
    <t>Phase 3 enrollment completed, noted May 17, 2024.</t>
  </si>
  <si>
    <t>ATR04-484</t>
  </si>
  <si>
    <t>EGFRi-associated rashÂ </t>
  </si>
  <si>
    <t>Preclinical data reported that treatment reduced IL-36g, a pro-inflammatory cytokine that drives inflammation in EGFRi-induced toxicity, in human skin model by 75% compared to erlotinib-treated skin,</t>
  </si>
  <si>
    <t>DehydraTECH-powered GLP-1 drugs (semaglutide) - (WEIGHT-A24-1)</t>
  </si>
  <si>
    <t>DiabetesÂ </t>
  </si>
  <si>
    <t>Preclinical trial initiated, noted May 17, 2024.</t>
  </si>
  <si>
    <t>Plozasiran (ARO-APOC3) - (CAPITAN)</t>
  </si>
  <si>
    <t>Mixed hyperlipidemiaÂ </t>
  </si>
  <si>
    <t>Phase 2b data reported that treatment significantly reduced triglycerides and atherogenic triglyceride rich lipoproteins and increased HDL, across all dose levels at Week 24 in patients with mixed dys</t>
  </si>
  <si>
    <t>Preclinical data reported that NV-387 against RSV/A2 is clearly demonstrated by lungs remaining normal and showing no infection-related damage, when treated orally with NV-387, in a lethal lung RSV in</t>
  </si>
  <si>
    <t>Phase 1/2 data reported that patients in the 5.4 mg/kg Q8W cohort had a 27% mean splicing correction from baseline across a broad, 22-gene panel at 3 months, with all participants demonstrating splici</t>
  </si>
  <si>
    <t>Phase 1/2 data reported that patients treated with 10 mg/kg of DYNE-251 Q4W had a mean absolute dystrophin level of 3.22% of normal and a 2.97% change, noted May 20, 2024.</t>
  </si>
  <si>
    <t>BCLI</t>
  </si>
  <si>
    <t>NurOwn</t>
  </si>
  <si>
    <t>Amytrophic lateral sclerosis (ALS)Â </t>
  </si>
  <si>
    <t>Phase 3 data reported a 4% decrease from baseline in NfL in Phase 3 and a 27% and 36% decrease from baseline, at the ends of Period 1 and Period 2 of the EAP, respectively, noted May 20, 2024.</t>
  </si>
  <si>
    <t>PLUR</t>
  </si>
  <si>
    <t>Bempedoic acid - (Japan trial)</t>
  </si>
  <si>
    <t>HypercholesterolemiaÂ </t>
  </si>
  <si>
    <t>Phase 3 data reported that the percentage change from baseline in LDL-C at Week 12, the primary endpoint, was -25.25%% in the group receiving bempedoic acid placebo group and -3.46% in the placebo gro</t>
  </si>
  <si>
    <t>ARO-RAGE-1001</t>
  </si>
  <si>
    <t>Phase 1/2a trial data presented at ATS reported that after two doses of ARO-RAGE in patients with mild to moderate asthma, serum sRAGE was reduced up to 88% with a mean maximum reduction up to 77%, no</t>
  </si>
  <si>
    <t>TEZSPIRE (tezepelumab-ekko) - (COURSE)</t>
  </si>
  <si>
    <t>Phase 2 data presented at ATS reported that a 17% numerical reduction in the annual rate of moderate or severe COPD exacerbations compared to placebo at week 52, which was not statistically significan</t>
  </si>
  <si>
    <t>Livdelzi (Seladelpar) - (ASSURE)</t>
  </si>
  <si>
    <t>Pruritus (itch) in people living with primary biliary cholangitis (PBC)Â </t>
  </si>
  <si>
    <t>Phase 3 data reported that 70% of patients achieved the composite response endpoint and 25% experienced ALP normalization, noted May 20, 2024.</t>
  </si>
  <si>
    <t>SON-1010 with Trabectedin - (SB101)</t>
  </si>
  <si>
    <t>Additional safety data reported a 10-fold extended half-life for SON-1010 compared with rhIL-12 that induces prolonged and controlled IFNÎ³ responses, with no evidence of cytokine release syndrome at a</t>
  </si>
  <si>
    <t>SON-1010 in combination with atezolizumab - (SB221)</t>
  </si>
  <si>
    <t>Platinum-resistant ovarian cancerÂ </t>
  </si>
  <si>
    <t>Phase 1b/2 data reported that one patient in Part 1 of SB221 with uterine sarcomas received 8 cycles of the SON-1010/atezolizumab combination therapy every 3 weeks before progressing; another two have</t>
  </si>
  <si>
    <t>GRI</t>
  </si>
  <si>
    <t>GRI-0621</t>
  </si>
  <si>
    <t>Preclinical data reported that GRI-0621 was shown to reduce the fibrotic score, inhibit the production of TGFÎ² and VCAM-1 and reduce the immune cell, noted May 20, 2024.</t>
  </si>
  <si>
    <t>KRRO</t>
  </si>
  <si>
    <t>KRRO-110 - (REWRITE)</t>
  </si>
  <si>
    <t>Alpha-1 Antitrypsin Deficiency (AATD)Â </t>
  </si>
  <si>
    <t>Preclinical data presented at ATS showed sustained editing efficiency of approximately 60% and increased total alpha-1 antitrypsin (AAT) protein levels to greater than 60uM at week 13 in an in vivo ge</t>
  </si>
  <si>
    <t>Phase 2 clinical hold removed, noted May 20, 2024.</t>
  </si>
  <si>
    <t>Azeliragon</t>
  </si>
  <si>
    <t>Refractory to first-line treatment of metastatic pancreatic cancerÂ </t>
  </si>
  <si>
    <t>Phase 1/2 Orphan Drug Designation granted by the FDA on May 20, 2024.</t>
  </si>
  <si>
    <t>Phase 1/2 additional results demonstrate that two 5 Î¼g doses of ARCT-154, sa-mRNA vaccine, were well-tolerated, immunogenic and provided significant protection against multiple strains of COVID-19, no</t>
  </si>
  <si>
    <t>GLUE</t>
  </si>
  <si>
    <t>MRT-6160</t>
  </si>
  <si>
    <t>Autoimmune conditionsÂ </t>
  </si>
  <si>
    <t>Preclinical data reported that MRT-6160-mediated murine (m)VAV1 degradation prevented disease progression by 85% compared to vehicle (P&lt;0.0001), and also reduced the disease activity index (DAI) score</t>
  </si>
  <si>
    <t>Additional Phase 3 data to be presented at the Digestive Disease Week reported that significantly more apraglutide-patients gained additional days off from PS per week at week 24 versus placebo, noted</t>
  </si>
  <si>
    <t>Depemokimab - (SWIFT-1 and SWIFT-2)</t>
  </si>
  <si>
    <t>Severe asthma with type 2 inflammation characterised by blood eosinophil countÂ </t>
  </si>
  <si>
    <t>Phase 3 data reported that both trials met its primary endpoints, noted May 21, 2024.</t>
  </si>
  <si>
    <t>Phase 3 topline data study met its primary endpoint with a statistically significant improvement in the time to failure event, noted May 21, 2024.</t>
  </si>
  <si>
    <t>VE303 - (RESTORATiVE303)</t>
  </si>
  <si>
    <t>Clostridioides difficile infection (CDI)Â </t>
  </si>
  <si>
    <t>Phase 3 dosing initiated, noted May 21, 2024.</t>
  </si>
  <si>
    <t>Preclinical data presented at American Thoracic Society results support further investigation of eblasakimab as a potential therapeutic option for COPD, noted May 20, 2024.</t>
  </si>
  <si>
    <t>FXR314 with Tofacitinib</t>
  </si>
  <si>
    <t>Inflammatory Bowel DiseaseÂ </t>
  </si>
  <si>
    <t>Preclinical data reported that FXR314 alone improved measures of colon health and colon histopathology similarly to approved IBD therapies tofacitinib and IL-12/23 antagonist, noted May 21, 2024.</t>
  </si>
  <si>
    <t>Preclinical data presented at DDW exhibited a dose-dependent efficacy response in two DSS colitis mouse models, achieving efficacy comparable to doses of apremilast considered intolerable for human us</t>
  </si>
  <si>
    <t>GRI-0124</t>
  </si>
  <si>
    <t>Systemic Lupus Erythematosus (SLE)Â </t>
  </si>
  <si>
    <t>Preclinical data reported that it inhibited pro-inflammatory cytokines and signaling pathways in NZBWF1 mice, noted May 21, 2024.</t>
  </si>
  <si>
    <t>GRI-0803</t>
  </si>
  <si>
    <t>Preclinical data reported favorable solubility profile, and an excellent bioavailability, noted May 21, 2024.</t>
  </si>
  <si>
    <t>eRapa (rapamycin, sirolimus) - (Serenta)</t>
  </si>
  <si>
    <t>Familial Adenomatous Polyposis (FAP)Â </t>
  </si>
  <si>
    <t>Phase 2 results presented at DDW showed an 83% non-progression rate at 6 months and a statistically significant decrease in overall mean polyp burden at 6 months, noted May 21, 2024.</t>
  </si>
  <si>
    <t>larsucosterol (DUR-928) - (AHFIRM)</t>
  </si>
  <si>
    <t>Alcoholic hepatitis (AH)Â </t>
  </si>
  <si>
    <t>Breakthrough Therapy designation (BTD) granted by the FDA, noted May 21, 2024.</t>
  </si>
  <si>
    <t>Mirikizumab - (VIVID-1)</t>
  </si>
  <si>
    <t>Crohn's diseaseÂ </t>
  </si>
  <si>
    <t>Phase 3 data showed that nearly one-half of patients on mirikizumab achieved endoscopic response at 52 weeks; most of these patients were also in clinical remission, noted May 21, 2024.</t>
  </si>
  <si>
    <t>RZ402</t>
  </si>
  <si>
    <t>Phase 2 study met its primary endpoint, noted May 21, 2024.</t>
  </si>
  <si>
    <t>LP-10 (liposomal tacrolimus)</t>
  </si>
  <si>
    <t>Hemorrhagic cystitisÂ </t>
  </si>
  <si>
    <t>Phase 2b type C meeting with the FDA resulted in a preliminary agreement to proceed to Phase 2b expected to initiated in 2H 2024, noted May 21, 2024.</t>
  </si>
  <si>
    <t>Phase 2a enrollment completed, noted May 21, 2024</t>
  </si>
  <si>
    <t>SC379</t>
  </si>
  <si>
    <t>Secondary progressive multiple sclerosisÂ </t>
  </si>
  <si>
    <t>Preclinical data published in a paper showed that when healthy wild-type (WT), pluripotent stem cell-derived glial progenitor cells (hGPCs) â€“ the cells that give rise to the glial support cells of the</t>
  </si>
  <si>
    <t>Gohibic (vilobelimab) - (PANAMO)</t>
  </si>
  <si>
    <t>Phase 3 data shared at ATS 2024 showed that co-administration of vilobelimab with baricitinib or tocilizumab was not associated with safety concerns, noted May 21, 2024.</t>
  </si>
  <si>
    <t>JBIO</t>
  </si>
  <si>
    <t>AV-101 - (IMPAHCT)</t>
  </si>
  <si>
    <t>Phase 2b portion of study outcomes shared at the ATS conference showed that baseline characteristics reflect a patient population with significant disease despite treatment with two to three targeted</t>
  </si>
  <si>
    <t>Brilaroxazine</t>
  </si>
  <si>
    <t>Preclinical data shared at ATS reported that interactions with multiple 5-HT targets, particularly 5-HT2B/7 receptors, within the pulmonary tissue, provide an underlying basis for this agent's effecti</t>
  </si>
  <si>
    <t>LYR-220 - (BEACON)</t>
  </si>
  <si>
    <t>Development paused, noted May 21, 2024.</t>
  </si>
  <si>
    <t>AMPH</t>
  </si>
  <si>
    <t>Albuterol Sulfate Inhalation Aerosol (AMP-008)</t>
  </si>
  <si>
    <t>BronchospasmÂ </t>
  </si>
  <si>
    <t>Approved May 22, 2024.</t>
  </si>
  <si>
    <t>Phase 2a data reported that seven previously identified plasma biomarkers of interstitial lung disease (ILD) progression were significantly modulated in participants with IPF receiving bexotegrast ove</t>
  </si>
  <si>
    <t>RNAC</t>
  </si>
  <si>
    <t>Descartes-08 - (AURORA)</t>
  </si>
  <si>
    <t>Generalized myasthenia gravis (MG), Multiple Myeloma and Autoimmune DiseasesÂ </t>
  </si>
  <si>
    <t>Regenerative Medicine Advanced Therapy (RMAT) granted by the FDA, noted May 22, 2024.</t>
  </si>
  <si>
    <t>Phase 1/2 data reported that allogeneic iNKT therapy was safely administered with rapid decrease in IL-18 and other inflammatory cytokines, noted May 22, 2024.</t>
  </si>
  <si>
    <t>Phase 2 trial initiated, noted May 22, 2024.</t>
  </si>
  <si>
    <t>ABUS</t>
  </si>
  <si>
    <t>Imdusiran (AB-729 and VTP-300 with nivolumab) - (IM-PROVE I)</t>
  </si>
  <si>
    <t>Hepatitis B (HBV)Â </t>
  </si>
  <si>
    <t>Phase 2a key findings noting that VTP-300 in combination with nivolumab has been generally well tolerated, with no observed treatment-related serious adverse events, and contributed to declines in hep</t>
  </si>
  <si>
    <t>Decoy 20</t>
  </si>
  <si>
    <t>Phase 1a first-in-human trial confirms "Pulse-Prime" hypothesis targeting stimulation of innate and adaptive immune systems, this data to be presented at ASCO 24, noted May 22, 2024.</t>
  </si>
  <si>
    <t>Phase 2a full dataset presented at IAPRD suggest patients treated with bezisterim experienced significant improvements in both non-motor symptoms and motor control while placebo-treated patients worse</t>
  </si>
  <si>
    <t>ANL</t>
  </si>
  <si>
    <t>Palupiprant (AN0025) + Keytruda - (ARTEMIS)</t>
  </si>
  <si>
    <t>TNBC, NSCLC, bladder cancer, microsatellite stable CRC and cervical cancerÂ </t>
  </si>
  <si>
    <t>Phase 1/2a safety data demonstrated no clinically relevant Adverse Events Reported in the single-dose portion, with the multiple-dose portion to commence, noted May 22, 2024.</t>
  </si>
  <si>
    <t>KT-621 (STAT6)</t>
  </si>
  <si>
    <t>Type 2 inflammation in allergic diseasesÂ </t>
  </si>
  <si>
    <t>Preclinical data reported that KT-621 was comparable to a saturating dose of the IL-4RÎ± antibody, dupilumab, in an asthma efficacy model which demonstrated that KT-621 robustly inhibited all the teste</t>
  </si>
  <si>
    <t>CNTB</t>
  </si>
  <si>
    <t>Rademikibart - (Seabreeze STAT Asthma)</t>
  </si>
  <si>
    <t>Phase 2b data presented at ATS showed that treatment significantly improved lung function at Week 12; improvements were observed as early as Week 1 and sustained through Week 24, noted May 22, 2024.</t>
  </si>
  <si>
    <t>TNGX</t>
  </si>
  <si>
    <t>TNG348</t>
  </si>
  <si>
    <t>BRCA1/2-Mutant and Other HRD+ Cancers, Solid TumorsÂ </t>
  </si>
  <si>
    <t>Phase 1/2 first patient dosed January 3, 2024. Phase 1/2 discontinued due to toxicity observed in the initial study cohorts. No patient had yet received a combination of TNG348 and olaparib., noted Ma</t>
  </si>
  <si>
    <t>CYTO</t>
  </si>
  <si>
    <t>Bentrio (AM-301) - (NASAR)</t>
  </si>
  <si>
    <t>Seasonal allergic rhinitis (SAR)Â </t>
  </si>
  <si>
    <t>Phase 1 data published at in video format showed that the study met its primary efficacy endpoint, showing a statistically significant reduction in the mean daily reflective Total Nasal Symptom Score</t>
  </si>
  <si>
    <t>Phase 1b trial completed, the company also engaged with Aagami, Inc for partnership developments and licensing opportunities, noted May 23, 2024.</t>
  </si>
  <si>
    <t>Phase 1 data from ASCO abstract reported that one patient demonstrated partial response (PR) upon imaging and RECIST v1.1 assessment and remains actively responding to treatment. Additionally, 64% of</t>
  </si>
  <si>
    <t>SPN-817</t>
  </si>
  <si>
    <t>Treatment-resisted seizuresÂ </t>
  </si>
  <si>
    <t>Phase 2 interim data reported that 81% of subjects with focal seizures had 30% or more seizure reduction, noted May 23, 2024.</t>
  </si>
  <si>
    <t>MCLA-145 with Keytruda (pembrolizumab)</t>
  </si>
  <si>
    <t>Phase 1 data from abstract reported that 5 partial responses (PRs) were observed with 1 complete response was observed in PD-L1+ NSCLC (treated 6+ mo) and 1 PR in Merkel cell carcinoma, noted May 23,</t>
  </si>
  <si>
    <t>BT5528 and OPDIVO (nivolumab)</t>
  </si>
  <si>
    <t>Phase 1/2 data from ASCO abstract reported that BT5528-related AEs occurred in 91% of patients, of which 22% were Grade â‰¥3, noted May 23, 2024.</t>
  </si>
  <si>
    <t>Evalstotug (BA3071)</t>
  </si>
  <si>
    <t>Oncology (various)Â </t>
  </si>
  <si>
    <t>Phase 2 data from abstract reported two treatment related discontinuations with responses in three of eight patients who received evalstotug 350mg(1 CR, 1 PR, 1 unPR), noted May 23, 2024.</t>
  </si>
  <si>
    <t>SNK02</t>
  </si>
  <si>
    <t>Phase 1 data from ASCO abstract reported that the best objective response of stable disease was demonstrated in 100% of patients that completed 8 treatment cycles of SNK02, noted May 23, 2024.</t>
  </si>
  <si>
    <t>Phase 1b/2 data from abstract reported a preliminary estimate of median radiographic progression free survival (rPFS) of 10.2 months, noted May 23, 2024.</t>
  </si>
  <si>
    <t>VS-6766 and defactinib - (RAMP 205)</t>
  </si>
  <si>
    <t>Metastatic pancreatic cancerÂ </t>
  </si>
  <si>
    <t>Phase 1/2 study as of May 14, 2024, patients receiving the combination of avutometinib and defactinib with gemcitabine and Nab-paclitaxel in dose level 1 cohort achieved a confirmed overall response r</t>
  </si>
  <si>
    <t>IMAB</t>
  </si>
  <si>
    <t>Ragistomig (ABL503)</t>
  </si>
  <si>
    <t>Phase 1 data from ASCO abstract reported an overall response rate of 25% at 5 mg/kg, based on 3 partial responses (PR) out of 12 patients with median progression free survival (PFS) of 15.6 weeks, not</t>
  </si>
  <si>
    <t>CLN-619 - (MICA) monotherapy and in combination with pembrolizumab</t>
  </si>
  <si>
    <t>Phase 1 data from ASCO abstract reported that confirmed partial responses (PR) were observed in 3 patients, noted May 23, 2024.</t>
  </si>
  <si>
    <t>REGN7075 in combination with cemiplimab</t>
  </si>
  <si>
    <t>Phase 1/2 updated data to be presented at ASCO on June 3, 2024. Phase 1/2 data from ASCO abstract reported a 6% (n=3) overall response rate (ORR) and 29% (n=15) disease control rate (DCR), noted May 2</t>
  </si>
  <si>
    <t>MURA</t>
  </si>
  <si>
    <t>Nemvaleukin (ALKS 4230) - (ARTISTRY-3)</t>
  </si>
  <si>
    <t>Phase 2 data from ASCO abstract reported that all dosing schedules tested in ARTISTRY-3 demonstrated the desired pharmacodynamic effects, including expansion of immune-stimulating NK and CD8+ cells, n</t>
  </si>
  <si>
    <t>LN-145 - (IOV-COM-202)</t>
  </si>
  <si>
    <t>Phase 2 data from ASCO abstract reported a confirmed ORR was 65.2%, including 7 (30.4%) complete responses and 8 (34.8%) partial responses, noted May 23, 2024.</t>
  </si>
  <si>
    <t>WTX-124</t>
  </si>
  <si>
    <t>Phase 1/1b data from ASCO abstract reported that treatment was well tolerated and clinically active in patients with checkpoint inhibitor therapy relapsed/refractory cancers, noted May 23, 2024.</t>
  </si>
  <si>
    <t>CTX-471 (CD137 agonist)</t>
  </si>
  <si>
    <t>Phase 1 Dose Escalation and Dose Expansion, first-in-human monotherapy study in patients with metastatic or locally advanced malignancies who had progressed on approved PD-1 or PD-L1 inhibitors, noted</t>
  </si>
  <si>
    <t>Phase 1 data from ASCO reported no dose-limiting toxicities, cytokine release syndrome, or neurotoxicity, noted May 23, 2024.</t>
  </si>
  <si>
    <t>EVAX</t>
  </si>
  <si>
    <t>EVX-01 + KEYTRUDA (pembrolizumab) / OPDIVO (nivolumab)</t>
  </si>
  <si>
    <t>Metastatic MelanomaÂ </t>
  </si>
  <si>
    <t>Phase 2 data from ASCO abstract reported that EVX-01 vaccine-induced specific and robust immune responses, mediated by both CD4+ and CD8+ T-cells, noted May 23, 2024.</t>
  </si>
  <si>
    <t>Botensilimab plus balstilimab</t>
  </si>
  <si>
    <t>Relapsed/refractory microsatellite stable colorectal cancer with no active liver metastases (r/r MSS CRC NLM)Â </t>
  </si>
  <si>
    <t>Phase 1b data to be presented at ASCO 2024, ASCO abstract released across different NLM sites, overall response rates (ORR) ranged from 18-33%, and disease control rates (DCR) ranged from 67-82%. Over</t>
  </si>
  <si>
    <t>Phase 2 data from abstract reported a 60% response rate observed among 10 evaluable patients, noted May 23, 2024.</t>
  </si>
  <si>
    <t>Phase 2 data due to be presented at ASCO on June 1, 2024. Phase 2 ASCO abstract to be presented showed that of the March 18, 2024 data cut-off, the median progression free survival was 5.9 months and</t>
  </si>
  <si>
    <t>ZNTL</t>
  </si>
  <si>
    <t>Azenosertib and gemcitabine</t>
  </si>
  <si>
    <t>Relapsed or refractory (R/R) osteosarcomaÂ </t>
  </si>
  <si>
    <t>Phase 1 data from ASCO abstract support further investigation of azenosertib administered in combination with gemcitabine in patients with R/R osteosarcoma in an upcoming investigator-initiated Phase</t>
  </si>
  <si>
    <t>BLU-222 - (VELA)</t>
  </si>
  <si>
    <t>(HR+/HER2-) breast cancer.Â </t>
  </si>
  <si>
    <t>Phase 1 dose escalation data presented at ASCO abstract showed that BLU-222 in combination with ribociclib and fulvestrant was well-tolerated at clinically active dose levels with no dose-limiting tox</t>
  </si>
  <si>
    <t>Phase 1/2 data demonstrated initial signs of promising clinical activity, noted May 23, 2024.</t>
  </si>
  <si>
    <t>Bezuclastinib and SUTENT (sunitinib) - (PEAK)</t>
  </si>
  <si>
    <t>Gastrointestinal Stromal Tumors (GIST)Â </t>
  </si>
  <si>
    <t>Phase 3 updated data presented at an ASCO abstract showed d that study reached median progression free survival (mPFS) of 19.4-months and 33% ORR in subset of advanced GIST patients with one prior tre</t>
  </si>
  <si>
    <t>Eseba-vec (formerly HB-200) in combination with KEYTRUDA (pembrolizumab)</t>
  </si>
  <si>
    <t>Phase 2 data due to be presented at ASCO 2024, abstract from updated data showed confirmed objective response rate (ORR) of 53%, complete response (CR) rate of 18%, and disease control rate (DCR) of 8</t>
  </si>
  <si>
    <t>CAN-2409 + valacyclovir</t>
  </si>
  <si>
    <t>Phase 2 data from ASCO abstract showed that treatment resulted in activation of the systemic immune response after two administrations of CAN-2409, including increased numbers of circulating cytotoxic</t>
  </si>
  <si>
    <t>ELI-002 - (AMPLIFY-7P)</t>
  </si>
  <si>
    <t>mKRAS-driven cancersÂ </t>
  </si>
  <si>
    <t>Phase 2 ASCO abstract showed that treatment administered as a monotherapy was well tolerated and able to generate a ~100x mKRAS-specific expanded T cell response relative to baseline levels, noted May</t>
  </si>
  <si>
    <t>Phase 1/1b data shared at ASCO abstract showed that intermittent dosing of alisertib 30 mg BID in combination with osimertinib 80 mg daily demonstrated no dose-limiting toxicities and was identified a</t>
  </si>
  <si>
    <t>IPH6501</t>
  </si>
  <si>
    <t>Relapsed and/or Refractory CD20-expressing B-cell Non-Hodgkin's Lymphoma (NHL)Â </t>
  </si>
  <si>
    <t>Preclinical data from ASCO abstract reported that IPH6501, at well-tolerated doses, significantly boosted peripheral NK cell proliferation, drove their accumulation at tumor locations, and effectively</t>
  </si>
  <si>
    <t>Evorpacept w/ cetuximab and pembrolizumab</t>
  </si>
  <si>
    <t>Phase 2 data from the abstract has ORR was 6.3% (1 ongoing partial response, 95% confidence interval [CI] 0.2-30.2%), disease control rate was 12.5% (95% CI 1.6-38.4%), median progression-free surviva</t>
  </si>
  <si>
    <t>BNT327/PM8002</t>
  </si>
  <si>
    <t>Phase 1b/2 data from ASCO abstract reported a 47% ORR in cohort 6, 19.4% ORR in cohort 7, noted May 23, 2024.</t>
  </si>
  <si>
    <t>CUE-102</t>
  </si>
  <si>
    <t>Wilms' Tumor (WT1)-expressing cancersÂ </t>
  </si>
  <si>
    <t>Phase 1 data from abstract reported that stable disease of â‰¥ 6 weeks (range 6-36 weeks), as determined by RECIST 1.1, has been observed in 10 of 23 patients (DCR 43.5%), noted May 23, 2024.</t>
  </si>
  <si>
    <t>Phase 1 data from ASCO abstract reported that of CUE-101 plus pembrolizumab, an ORR of 47% (1 CR, 8 PRs), a Disease Control Rate (ORR + durable SDs) of 74%, and mPFS of 5.8 months, noted May 23, 2024.</t>
  </si>
  <si>
    <t>Sacituzumab tirumotecan (SKB264/MK-2870) - (OptiTROP-Breast01)</t>
  </si>
  <si>
    <t>Locally recurrent or metastatic triple-negative breast cancer (TNBC)Â </t>
  </si>
  <si>
    <t>Phase 3 data from ASCO abstract reported an objective response rate assessed by BICR was 43.8% with SKB264 and 12.8% with chemotherapy, noted May 23, 2024.</t>
  </si>
  <si>
    <t>PF-07248144</t>
  </si>
  <si>
    <t>ER+ HER2âˆ’ breast cancerÂ </t>
  </si>
  <si>
    <t>Phase 1 data from ASCO abstract reported that for the fulvestrant combination (n=43), with median duration of follow-up of 9.2 mos, the ORR was 30.2% (17.2, 46.1), median DOR was 9.2 mos (7.2, NE), CB</t>
  </si>
  <si>
    <t>Mevrometostat (PF-06821497)</t>
  </si>
  <si>
    <t>Castration-resistant prostate cancer (CRPC)Â </t>
  </si>
  <si>
    <t>Phase 1 data from ASCO abstract reported that the OR rate (95% CI) was 27.3% (10.7, 50.2), including 1 complete and 5 partial responses, noted May 23, 2024.</t>
  </si>
  <si>
    <t>Elranatamab - (MagnetisMM-9)</t>
  </si>
  <si>
    <t>Phase 1/2 data from ASCO abstract reported that after a median follow-up of 7.4 mo, the most common (&gt;50%) AEs were CRS (63.5%; grade â‰¥2, 15.3%) and neutropenia (54.1%; all grade â‰¥2), noted May 23, 20</t>
  </si>
  <si>
    <t>Sigvotatug vedotin (SGNB6A-001)</t>
  </si>
  <si>
    <t>Phase 1 data reported in ASCO abstract reported that the cORR was 19.5% (95% CI, 12.6-28.0) in all pts with NSCLC and 32.5% (95% CI, 18.6-49.1) in pts with non-squamous (non-Sq)/taxane-naive NSCLC. Ad</t>
  </si>
  <si>
    <t>MP0317</t>
  </si>
  <si>
    <t>Phase 1 data from ASCO abstract reported that one patient achieved unconfirmed partial response, and stable disease was observed in 11 patients (24%), noted May 23, 2024.</t>
  </si>
  <si>
    <t>XTX202</t>
  </si>
  <si>
    <t>Phase 1/2 data from ASCO abstract reported that the DCR was 62% at the 1.4 mg/kg dose-level and 80% at the 4 mg/kg dose-level, with 19 pts ongoing and awaiting first response assessment, noted May 23,</t>
  </si>
  <si>
    <t>AVMAPKI FAKZYNJA CO-PACK</t>
  </si>
  <si>
    <t>Recurrent low-grade serous ovarian cancer (LGSOC)Â </t>
  </si>
  <si>
    <t>NDA and accelerated approval application submitted May 24, 2024.</t>
  </si>
  <si>
    <t>IDYA</t>
  </si>
  <si>
    <t>Darovasertib - (neo-adjuvant and adjuvant settings) - (NADOM)</t>
  </si>
  <si>
    <t>Ocular MelanomaÂ </t>
  </si>
  <si>
    <t>Phase 2 clinical efficacy update presented at ASCO abstract showed that monotherapy neoadjuvant treatment was generally well tolerated. Drug-related adverse events (AEs) were predominantly Grade 1 or</t>
  </si>
  <si>
    <t>Phase 2 data from ASCO reported that 7 of 11 patients in the pilot phase experienced a partial response, with 6 confirmed; 10 of 11 patients experienced disease control , noted May 24, 2024.</t>
  </si>
  <si>
    <t>CHS-114 - (SRF114)</t>
  </si>
  <si>
    <t>Phase 1 preliminary results from dose escalation in an ASCO abstract shown to have an acceptable safety profile with no dose-limiting toxicities (DLTs) in heavily pretreated patients with solid tumors</t>
  </si>
  <si>
    <t>Phase 2 data in an ASCO abstract resulted in an 83% intracranial objective response rate, median progression-free survival of 4.1 months in antibody-drug conjugate (ADC) resistant patients (double his</t>
  </si>
  <si>
    <t>Cretostimogene in combination with pembrolizumab - (CORE-001)</t>
  </si>
  <si>
    <t>Intermediate-risk NMIBCÂ </t>
  </si>
  <si>
    <t>Phase 2 final results to be presented at ASCO 2024, abstract released resulted in a ITT CR rate 57% at 12mo, 83% any time. 95% of 12mo CRs maintained CR for 24mo. Median DoR &gt;21mo. 24mo CR rate 69.6%.</t>
  </si>
  <si>
    <t>Lacutamab (IPH4102) - (TELLOMAK)</t>
  </si>
  <si>
    <t>Mycosis Fungoides, SÃ©zary SyndromeÂ </t>
  </si>
  <si>
    <t>Phase 2 topline results reported that the ORR was 16.8%, with the median time to response was 1.0 months and median PFS 10.2m, noted May 24, 2024.</t>
  </si>
  <si>
    <t>Imfinzi (durvalumab), Monalizumab, and Oleclumab - (COAST)</t>
  </si>
  <si>
    <t>Phase 2 data reported that D+O and D+M increased ORR and prolonged PFS and OS vs D alone, noted May 24, 2024.</t>
  </si>
  <si>
    <t>AN0025 + Keytruda</t>
  </si>
  <si>
    <t>Phase 1b data reported that the disease control rate (DCR) was 92% (11/12). The median progression-free survival (PFS) was not reached, with 6-month and 1-year PFS rates of 91% and 73%, respectively,</t>
  </si>
  <si>
    <t>Fruquintinib - (FRESCO)</t>
  </si>
  <si>
    <t>Metastatic colorectal cancer (CRC)Â </t>
  </si>
  <si>
    <t>Phase 3 data reported improvements in OS and PFS were seen with F vs P regardless of prior tx sequence (Table), with similar magnitudes of benefit for OS and PFS, noted May 24, 2024.</t>
  </si>
  <si>
    <t>Fruquintinib (HMPL-013) - (FRESCO-2)</t>
  </si>
  <si>
    <t>Metastatic Colorectal CancerÂ </t>
  </si>
  <si>
    <t>Phase 3 data reported at ASCO reported improvements in OS and PFS were seen with F vs P regardless of prior tx sequence, with similar magnitudes of benefit for OS (HRs 0.53â€“0.77) and PFS (HRs 0.25â€“0.3</t>
  </si>
  <si>
    <t>Preclinical data from ASCO reported that stable disease with tumor shrinkage was also observed in 2 pts with NSCLC on 50 mg QD and 75 mg QD 2w on/1w off cohort respectively, and 1 pt with pancreatic d</t>
  </si>
  <si>
    <t>Stereotactic ablative radiotherapy (SABR) + fruquintinib and tislelizumab - (RIFLE)</t>
  </si>
  <si>
    <t>Metastatic colorectal cancerÂ </t>
  </si>
  <si>
    <t>Phase 2 data from ASCO reported 1 CR, 8 PR, 14 SD and 8 PD, noted May 24, 2024.</t>
  </si>
  <si>
    <t>INCB099280</t>
  </si>
  <si>
    <t>Phase 1 data to be presented at ASCO on June 1, 2024, with abstract data reporting that 96.6% of pts had â‰¥1 tx-emergent adverse events, and decreased ctCNA was seen in all complete responders (n=2) an</t>
  </si>
  <si>
    <t>INCB057643</t>
  </si>
  <si>
    <t>Myelofibrosis (MF) and Other Advanced Myeloid NeoplasmsÂ </t>
  </si>
  <si>
    <t>Phase 1 data from ASCO abstract reported that SVR35 was achieved by all 3 evaluable pts receiving â‰¥10 mg monotherapy, and 3/12 achieved a best response of SVR35, noted May 24, 2024.</t>
  </si>
  <si>
    <t>Evorpacept with PADCEV (enfortumab vedotin-ejfv) - (ASPEN-07)</t>
  </si>
  <si>
    <t>Urothelial Carcinoma (UC)Â </t>
  </si>
  <si>
    <t>Phase 1a data from abstract reported an overall response rate (ORR) was 63% (1CR, 9PR), noted May 24, 2024.</t>
  </si>
  <si>
    <t>YL202/BNT326</t>
  </si>
  <si>
    <t>Locally advanced or metastatic non-small cell lung cancer and breast cancerÂ </t>
  </si>
  <si>
    <t>Phase 1 data from ASCO abstract reported an ORR of 42.2% (19/45) and disease control rate (DCR) of 93.3% (42/45), noted May 24, 2024.</t>
  </si>
  <si>
    <t>Acasunlimab (GEN1046/BNT311)</t>
  </si>
  <si>
    <t>Phase 2 data from ASCO abstract reported confirmed ORRs (and mDoR) were 13% (2 mo), 21% (6 mo), and 22% (NR), with 6-mo PFS rates of 0%, 18%, and 33% for arms A, B, and C, respectively, noted May 24,</t>
  </si>
  <si>
    <t>COM701, COM902 and Pembrolizumab</t>
  </si>
  <si>
    <t>Advanced malignancies, Ovarian cancerÂ </t>
  </si>
  <si>
    <t>Data from abstract reported an ORR 2/17 (12%); disease control rate [DCR] 5/17 (29%) noted May 24, 2024,</t>
  </si>
  <si>
    <t>Taletrectinib - (TRUST-I) (China)</t>
  </si>
  <si>
    <t>ROS1-positive non-small cell lung cancer (NSCLC)Â </t>
  </si>
  <si>
    <t>Phase 2 data from ASCO abstract reported that in TKI-pretreated patients, the ORR was 52% (95% CI: 40, 65) and IC-ORR was 75% , noted May 24, 2024.</t>
  </si>
  <si>
    <t>APLS</t>
  </si>
  <si>
    <t>EMPAVELI (pegcetacoplan) - (VALIANT)</t>
  </si>
  <si>
    <t>C3G and IC-MPGNÂ </t>
  </si>
  <si>
    <t>Phase 2 data from NOBLE study demonstrated a rreduction in disease activity seen at 12 weeks was sustained at one year, 55% of patients showed zero C3c staining intensity, indicating that C3c deposit</t>
  </si>
  <si>
    <t>KEYTRUDA (pembrolizumab) - (KEYNOTE-522)</t>
  </si>
  <si>
    <t>Triple negative breast cancer (TNBC)Â </t>
  </si>
  <si>
    <t>Phase 3 data reported that trial met its primary endpoint, noted May 28, 2024.</t>
  </si>
  <si>
    <t>BRINSUPRI (Brensocatib) - (ASPEN)</t>
  </si>
  <si>
    <t>Non-Cystic Fibrosis Bronchiectasis (NCFBE)Â </t>
  </si>
  <si>
    <t>Phase 3 topline data reported that the trial met its primary endpoint, noted May 28, 2024.</t>
  </si>
  <si>
    <t>ARCT-032 - (LUNAR-CF)</t>
  </si>
  <si>
    <t>Phase 1b data reported that the first four patients had an average improvement of 4% FEV1 after two administrations, noted May 28, 2024.</t>
  </si>
  <si>
    <t>UNCY</t>
  </si>
  <si>
    <t>UNI-494</t>
  </si>
  <si>
    <t>Acute kidney injury (AKI)Â </t>
  </si>
  <si>
    <t>Preclinical model results of hyperphosphatemia demonstrated the relative potency of OLC Compared to tenapanor, noted May 28, 2024.</t>
  </si>
  <si>
    <t>AK006 (IV)</t>
  </si>
  <si>
    <t>Phase 1 trial in CSU initiated, noted May 28, 2024.</t>
  </si>
  <si>
    <t>Phase 2 data to be presented at ASCO 2024, abstract released on May 23 showed that as of the March 6, 2024 data cutoff, the combination demonstrated a 67% overall response rate across PD-L1 expression</t>
  </si>
  <si>
    <t>Phase 2b 72-week data reported that participants who switched from placebo to atacicept also demonstrated stable eGFR, as well as similar reductions in Gd-IgA1, hematuria, and UPCR, noted May 28, 2024</t>
  </si>
  <si>
    <t>Phase 3 trial met its primary endpoint, noted May 28, 2024.</t>
  </si>
  <si>
    <t>ABBV-400</t>
  </si>
  <si>
    <t>Colorectal cancer (CRC)Â </t>
  </si>
  <si>
    <t>Phase 1 preliminary data derived from ASCO abstract showed that among 122 heavily pre-treated advanced CRC patients, promising antitumor activity was observed at 2.4 and 3.0 mg/kg doses administered o</t>
  </si>
  <si>
    <t>ABBV-706</t>
  </si>
  <si>
    <t>Phase 1 data at ASCO abstract demonstrated that among a total of 48 efficacy-evaluable patients (23 SCLC and 25 NEN), the overall confirmed objective response rate was 43.8%. Within the SCLC group, th</t>
  </si>
  <si>
    <t>DATROWAY (datopotamab deruxtecan-dlnk)- (TROPION-Lung01)</t>
  </si>
  <si>
    <t>Phase 3 trial data reported numerically favored datopotamab deruxtecan (Dato-DXd) compared to docetaxel in the overall trial population of adult patients with locally advanced or metastatic non-small</t>
  </si>
  <si>
    <t>Vanrafia (atrasentan)</t>
  </si>
  <si>
    <t>Proteinuria reduction in primary IgA nephropathy (IgAN)Â </t>
  </si>
  <si>
    <t>Phase 3 data reported a statistically significant 36.1% proteinuria (protein in urine) reduction vs. placebo + supportive care at 36 weeks, noted May 28, 2024.</t>
  </si>
  <si>
    <t>C3 glomerulopathy (C3G)Â </t>
  </si>
  <si>
    <t>Phase 3 data reported that patients treated with Fabhalta in addition to supportive care achieved a 35.1% reduction in proteinuria at 6 months when compared to placebo on top of supportive care, noted</t>
  </si>
  <si>
    <t>PROK</t>
  </si>
  <si>
    <t>RMCL-002 - (REACT)</t>
  </si>
  <si>
    <t>Type 2 diabetes, prevent/delay CKDÂ </t>
  </si>
  <si>
    <t>Phase 2 full results reported that patients s randomized to the deferred treatment arm experienced less decline in kidney function after rilparencel treatment versus standard of care , noted May 28, 2</t>
  </si>
  <si>
    <t>OKV-119</t>
  </si>
  <si>
    <t>Preclinical data of proof-of-concept study in felines showed that a single OKV-119 implant effectively delivered therapeutic exenatide levels for the intended 3-month duration, achieving weight loss i</t>
  </si>
  <si>
    <t>SRK-181 - (DRAGON)</t>
  </si>
  <si>
    <t>Phase 1 data from abstract continued to showed that study continues to be well tolerated in the dose expansion portion of the DRAGON trial (Part B), noted May 28, 2024.</t>
  </si>
  <si>
    <t>XENE</t>
  </si>
  <si>
    <t>azetukalner (XEN1101) - (X-NOVA)</t>
  </si>
  <si>
    <t>Phase 2 data presented at American Epilepsy Society showed azetukalner 20mg achieved clinically meaningful reductions in depression scores on MADRS and HAM-D17 scales, with a 3.04 point difference vs</t>
  </si>
  <si>
    <t>Phase 2b/3 trial results evaluating NRX-101 versus lurasidone in bipolar depression with suicidal ideation/behavior at ASCP 2024. The data showed NRX-101 achieved similar efficacy to lurasidone on dep</t>
  </si>
  <si>
    <t>Phase 1 nnounced results from an investigator-initiated study showing that crofelemer led to statistically meaningful reductions in abdominal pain/discomfort and improved stool consistency compared to</t>
  </si>
  <si>
    <t>ATRN-119 - (ABOYA-119)</t>
  </si>
  <si>
    <t>Phase 1/2a Safety Review Committee has approved opening enrollment for the 800mg once daily dosing cohort after reviewing favorable safety and pharmacokinetic data from the 550mg cohort. Initial signs</t>
  </si>
  <si>
    <t>NLSP</t>
  </si>
  <si>
    <t>KO-874</t>
  </si>
  <si>
    <t>Sleep and wakefulness disordersÂ </t>
  </si>
  <si>
    <t>Preclinical results results suggested that mazindol may modulate the orexin system through direct or indirect mechanisms. While lower 1 mg/kg doses were not effective, the dose-dependent response and</t>
  </si>
  <si>
    <t>IK-930</t>
  </si>
  <si>
    <t>Solid tumors, non-small cell lung cancerÂ </t>
  </si>
  <si>
    <t>Phase 1 trial discontinued based on a clinical data review, noted May 28, 2024</t>
  </si>
  <si>
    <t>IMA</t>
  </si>
  <si>
    <t>IKNA</t>
  </si>
  <si>
    <t>Preclinical canine study dosing initiated, noted May 28, 2024.</t>
  </si>
  <si>
    <t>Fasedienol (PH94B) - (PALISADE-2)</t>
  </si>
  <si>
    <t>Phase 3 results presented at the American Society of Clinical Psychopharmacology Conference reported that a single dose of fasedienol prior to a stressful PSC reduced anxiety levels as measured by SUD</t>
  </si>
  <si>
    <t>Fast Track Designation granted May 29, 2024.</t>
  </si>
  <si>
    <t>Market_Cap</t>
  </si>
  <si>
    <t>Volatility</t>
  </si>
  <si>
    <t>Share_Price_D-1</t>
  </si>
  <si>
    <t>Share_Price_D1</t>
  </si>
  <si>
    <t>Share_Price_D5</t>
  </si>
  <si>
    <t>Perc_Return_D1</t>
  </si>
  <si>
    <t>Perc_Return_D5</t>
  </si>
  <si>
    <t>XBI_Return_D1</t>
  </si>
  <si>
    <t>XBI_Return_D5</t>
  </si>
  <si>
    <t>Short_Interest_Pct</t>
  </si>
  <si>
    <t>Year_Beta</t>
  </si>
  <si>
    <t>Daily_Volum_Traded</t>
  </si>
  <si>
    <t>BAABTAVMT0NBTAFI/////wFQ5BYAACJDSVEuQUNITC5JUV9MQVNUU0FMRVBSSUNFLjQvNC8yMDI0AQAAAISXYAEDAAAAAAClmawSIhPeCGhx0hUiE94IKENJUS5BTUxYLklRX1BSSUNFX1ZPTF9ISVNUXzZNVEguNC80LzIwMjQBAAAABqDnEgIAAAAIMjU4LjQwMDgApZmsEiIT3gh+B9AVIhPeCB9DSVEuQU1MWC5JUV9MQVNUU0FMRVBSSUNFLjQ1MzkzAQAAAAag5xICAAAABDIuMjkApZmsEiIT3gh+B9AVIhPeCChDSVEuQVpOLklRX1BSSUNFX1ZPTF9ISVNUXzZNVEguMy8yNS8yMDI0AQAAAIYjBQACAAAABzIzLjM1OTcAkUi2EiIT3gjWs9kVIhPeCB5DSVEuSENNLklRX0xBU1RTQUxFUFJJQ0UuNDUzODYBAAAAu6+WAQIAAAAEMi42NwClmawSIhPeCH4H0BUiE94IKENJUS5CR05FLklRX1BSSUNFX1ZPTF9ISVNUXzZNVEguNC85LzIwMjQBAAAA4OTdBgMAAAAAAMU5bBIiE94IqpLIFSIT3ggfQ0lRLkNMUkIuSVFfTEFTVFNBTEVQUklDRS40NTM2MgEAAADz7j0CAgAAAAoxMTMuMTAwMTEzAPu4FRMiE94IREzsFSIT3ggoQ0lRLlhPTUEuSVFfUFJJQ0VfVk9MX0hJU1RfNk1USC4zLzYvMjAyNAEAAAChjwAAAgAAAAc2MS40MDE5APu4FRMiE94Ij/nnFSIT3ggoQ0lRLkFSUVQuSVFfUFJJQ0VfVk9MX0hJU1RfNk1USC4zLzkvMjAyNAEAAAAoYbkgAgAAAAgxMDkuNDQwMQAIueMSIhPeCK+R5RUiE94IH0NJUS5U</t>
  </si>
  <si>
    <t>RVJOLklRX0xBU1RTQUxFUFJJQ0UuNDUzNTkBAAAAluRGIQIAAAAEOC4xMQAIueMSIhPeCMoo4xUiE94IH0NJUS5JTU5OLklRX0xBU1RTQUxFUFJJQ0UuNDUzNzEBAAAALvkDAAIAAAAJMTAuMTczOTA3AAi54xIiE94IBMHgFSIT3ggfQ0lRLk9QVE4uSVFfTEFTVFNBTEVQUklDRS40NTM3MwUAAAAAAAAACAAAABQoSW52YWxpZCBJZGVudGlmaWVyKQi54xIiE94I4MDeFSIT3ggpQ0lRLlNFRUwuSVFfUFJJQ0VfVk9MX0hJU1RfNk1USC4zLzE5LzIwMjQBAAAA7DT9FwMAAAAAAJFIthIiE94I4MDeFSIT3ggfQ0lRLkJOT1guSVFfTEFTVFNBTEVQUklDRS40NTM3OQUAAAAAAAAACAAAABQoSW52YWxpZCBJZGVudGlmaWVyKZFIthIiE94I4Y7dFSIT3ggfQ0lRLlRFTE8uSVFfTEFTVFNBTEVQUklDRS40NTM3MgEAAADE4yxtAgAAAAQ2Ljc5AJFIthIiE94IO1LcFSIT3ggoQ0lRLk1SSy5JUV9QUklDRV9WT0xfSElTVF82TVRILjMvMjUvMjAyNAEAAAD2ZgQAAgAAAAcxNi4xNTc3AJFIthIiE94I1rPZFSIT3ggjQ0lRLlZLVFguSVFfTEFTVFNBTEVQUklDRS4zLzI2LzIwMjQBAAAA8ry1DgIAAAAFODAuODMAkUi2EiIT3gjWs9kVIhPeCCNDSVEuWkxBQi5JUV9MQVNUU0FMRVBSSUNFLjMvMjcvMjAyNAEAAAB3AikQAgAAAAUxNi4xOQCRSLYSIhPeCDFM1xUiE94IIENJUS5DU0xMWS5JUV9MQVNUU0FMRVBSSUNFLjQ1</t>
  </si>
  <si>
    <t>Mzc3AQAAAF9zDQADAAAAAACRSLYSIhPeCDFM1xUiE94IH0NJUS5HUlRYLklRX0xBU1RTQUxFUFJJQ0UuNDUzNzgBAAAAbblqDQIAAAAGMC4xNTM1AKWZrBIiE94IaePUFSIT3ggfQ0lRLk5WQ1IuSVFfTEFTVFNBTEVQUklDRS40NTM4MAEAAADofB8EAgAAAAUxNS42MwClmawSIhPeCGnj1BUiE94IIkNJUS5DT1JULklRX0xBU1RTQUxFUFJJQ0UuNC8xLzIwMjQBAAAA0rkVAAIAAAAFMjUuNzQApZmsEiIT3ghp49QVIhPeCB9DSVEuQ09SVC5JUV9MQVNUU0FMRVBSSUNFLjQ1MzgwAQAAANK5FQACAAAABTI1LjE5AKWZrBIiE94IaePUFSIT3ggiQ0lRLktSQlAuSVFfTEFTVFNBTEVQUklDRS40LzIvMjAyNAEAAABAuX8nAwAAAAAApZmsEiIT3ghocdIVIhPeCChDSVEuUFJGWC5JUV9QUklDRV9WT0xfSElTVF82TVRILjQvMy8yMDI0AQAAACVAOwMCAAAABzg2LjkxMDUApZmsEiIT3ghocdIVIhPeCB9DSVEuQ1ZBQy5JUV9MQVNUU0FMRVBSSUNFLjQ1Mzg1AQAAAH4rPQECAAAABDIuOTEApZmsEiIT3gh+B9AVIhPeCB9DSVEuRUZUUi5JUV9MQVNUU0FMRVBSSUNFLjQ1MzkzAQAAAP8dVw4CAAAABTIuMjM1AKWZrBIiE94IfgfQFSIT3gghQ0lRLkFaTi5JUV9MQVNUU0FMRVBSSUNFLjQvNS8yMDI0AQAAAIYjBQACAAAABTEwNi4yACQHrxIiE94IfgfQFSIT3ggoQ0lRLkNEVFguSVFfUFJJQ0VfVk9MX0hJU1RfNk1U</t>
  </si>
  <si>
    <t>SC40LzUvMjAyNAEAAADo394PAgAAAAY1OC4xNDgApZmsEiIT3gh+B9AVIhPeCB9DSVEuQU1STi5JUV9MQVNUU0FMRVBSSUNFLjQ1Mzg3AQAAADc5BgACAAAAAjIxACQHrxIiE94I/nLPFSIT3ggoQ0lRLklPTlMuSVFfUFJJQ0VfVk9MX0hJU1RfNk1USC40LzcvMjAyNAEAAABcdgAAAgAAAAUzNC41NADFOWwSIhPeCC6kzRUiE94IIkNJUS5CTVJOLklRX0xBU1RTQUxFUFJJQ0UuNC84LzIwMjQBAAAABWQAAAIAAAAFODcuMjgAxTlsEiIT3ggupM0VIhPeCChDSVEuTlVWTC5JUV9QUklDRV9WT0xfSElTVF82TVRILjQvOC8yMDI0AQAAAIVs3ikCAAAABzQxLjUyMjMAxTlsEiIT3ggupM0VIhPeCB9DSVEuQUdFTi5JUV9MQVNUU0FMRVBSSUNFLjQ1Mzg3AQAAAGRBBgACAAAABjEwLjA3NADFOWwSIhPeCBR9zRUiE94IIkNJUS5SSUdMLklRX0xBU1RTQUxFUFJJQ0UuNC84LzIwMjQBAAAAO4QAAAIAAAAEMTIuNgDFOWwSIhPeCHgDzRUiE94IH0NJUS5FTlRYLklRX0xBU1RTQUxFUFJJQ0UuNDUzOTcBAAAALqZgBgIAAAAEMi41MgDFOWwSIhPeCB2OzBUiE94IH0NJUS5CTVJOLklRX0xBU1RTQUxFUFJJQ0UuNDUzODcBAAAABWQAAAIAAAAFODYuOTUAxTlsEiIT3ggupM0VIhPeCCJDSVEuQ1ZLRC5JUV9MQVNUU0FMRVBSSUNFLjQvOS8yMDI0AQAAADKP4WoCAAAACDYuMTMwNDk2AMU5bBIiE94IfW7LFSIT3ggfQ0lR</t>
  </si>
  <si>
    <t>Lk1URU0uSVFfTEFTVFNBTEVQUklDRS40NTM5OAEAAACZm6kBAwAAAAAAxTlsEiIT3ggR3MoVIhPeCB9DSVEuSU5BQi5JUV9MQVNUU0FMRVBSSUNFLjQ1MzkwAQAAABQ0LiECAAAACTMyLjcwMDAzMgDFOWwSIhPeCLJJyhUiE94IKENJUS5QUkxELklRX1BSSUNFX1ZPTF9ISVNUXzZNVEguNC85LzIwMjQBAAAAZl5HFgIAAAAHOTguMTMwMgDFOWwSIhPeCJIFyhUiE94IH0NJUS5CQ1RYLklRX0xBU1RTQUxFUFJJQ0UuNDUzOTgBAAAA9tyhDwIAAAAKMzQxLjk5OTgyOQDFOWwSIhPeCA1pyRUiE94IH0NJUS5DR0VOLklRX0xBU1RTQUxFUFJJQ0UuNDUzOTgBAAAA44gCAAIAAAAEMi4wMwDFOWwSIhPeCMMayRUiE94IHkNJUS5PTkMuSVFfTEFTVFNBTEVQUklDRS40NTM5OAEAAADg5N0GAgAAAAYxMzQuMDUAxTlsEiIT3giqksgVIhPeCChDSVEuQVBSRS5JUV9QUklDRV9WT0xfSElTVF82TVRILjQvOS8yMDI0AQAAAKvTqBMCAAAACDEwMS4xNjc2AMU5bBIiE94II/bHFSIT3ggfQ0lRLlZTVE0uSVFfTEFTVFNBTEVQUklDRS40NTM5MQEAAAAoN+gGAgAAAAUxMS43NADFOWwSIhPeCN+nxxUiE94IIkNJUS5BSU0uSVFfTEFTVFNBTEVQUklDRS40LzEwLzIwMjQBAAAAc6CuKAIAAAAFMC4zNjUAou0rEiIT3giUWccVIhPeCB9DSVEuQk5UWC5JUV9MQVNUU0FMRVBSSUNFLjQ1Mzk5AQAAAHs7DQMCAAAABDg2LjQAou0r</t>
  </si>
  <si>
    <t>EiIT3ghLqsYVIhPeCB5DSVEuTExZLklRX0xBU1RTQUxFUFJJQ0UuNDUzMjcBAAAAG1sEAAIAAAAFNzA2LjIAVhdREyIT3gibnPsVIhPeCB9DSVEuQVVQSC5JUV9MQVNUU0FMRVBSSUNFLjQ1MzQ0AQAAAO13DQACAAAAATYAyCUhEyIT3gjW1/MVIhPeCB9DSVEuR0lMRC5JUV9MQVNUU0FMRVBSSUNFLjQ1MzU1AQAAAEpxAAACAAAABTcyLjI1AIh1IRMiE94IQfrvFSIT3ggfQ0lRLkxOVEguSVFfTEFTVFNBTEVQUklDRS40NTM2MgEAAAB4a34AAgAAAAU2Mi43MgD7uBUTIhPeCDbX6xUiE94IKENJUS5BU0xOLklRX1BSSUNFX1ZPTF9ISVNUXzZNVEguMy82LzIwMjQFAAAAAAAAAAgAAAAUKEludmFsaWQgSWRlbnRpZmllcin7uBUTIhPeCI/55xUiE94IKUNJUS5NTFRYLklRX1BSSUNFX1ZPTF9ISVNUXzZNVEguMy8xMC8yMDI0AQAAADT2iSoCAAAABzgyLjM4ODQACLnjEiIT3givkeUVIhPeCB9DSVEuTFJNUi5JUV9MQVNUU0FMRVBSSUNFLjQ1MzY5AQAAABdgHSICAAAABDguMzUACLnjEiIT3gjKKOMVIhPeCB9DSVEuSU9OUy5JUV9MQVNUU0FMRVBSSUNFLjQ1MzcxAQAAAFx2AAACAAAABTQyLjc4AAi54xIiE94IBMHgFSIT3ggfQ0lRLlRTVlQuSVFfTEFTVFNBTEVQUklDRS40NTM2NQUAAAAAAAAACAAAABQoSW52YWxpZCBJZGVudGlmaWVyKQi54xIiE94I4MDeFSIT3ggfQ0lRLlNFRUwuSVFfTEFTVFNBTEVQ</t>
  </si>
  <si>
    <t>UklDRS40NTM3NwEAAADsNP0XAwAAAAAAkUi2EiIT3gjgwN4VIhPeCChDSVEuTVJLLklRX1BSSUNFX1ZPTF9ISVNUXzZNVEguMy8yMS8yMDI0AQAAAPZmBAACAAAABjE2LjEyNgCRSLYSIhPeCOGO3RUiE94II0NJUS5URUxPLklRX0xBU1RTQUxFUFJJQ0UuMy8yMi8yMDI0AQAAAMTjLG0CAAAABDYuNDkAkUi2EiIT3gg7UtwVIhPeCB9DSVEuQllTSS5JUV9MQVNUU0FMRVBSSUNFLjQ1MzgzAQAAAEfPbBgCAAAAAzMuNgCRSLYSIhPeCNaz2RUiE94II0NJUS5DRVJTLklRX0xBU1RTQUxFUFJJQ0UuMy8yNi8yMDI0AQAAAN5mAAACAAAABDEuNzQAkUi2EiIT3gjWs9kVIhPeCB5DSVEuQUxULklRX0xBU1RTQUxFUFJJQ0UuNDUzNzcBAAAA90JKAAIAAAAEOC42NQCRSLYSIhPeCDFM1xUiE94IJENJUS5DU0xMWS5JUV9MQVNUU0FMRVBSSUNFLjMvMjcvMjAyNAEAAABfcw0AAwAAAAAAkUi2EiIT3ggxTNcVIhPeCCNDSVEuR1JUWC5JUV9MQVNUU0FMRVBSSUNFLjMvMjgvMjAyNAEAAABtuWoNAgAAAAQwLjE0AKWZrBIiE94IaePUFSIT3ggiQ0lRLkxRREEuSVFfTEFTVFNBTEVQUklDRS40LzEvMjAyNAEAAACLUFsBAgAAAAUxNC45MgClmawSIhPeCGnj1BUiE94IH0NJUS5DT1JULklRX0xBU1RTQUxFUFJJQ0UuNDUzOTABAAAA0rkVAAIAAAAFMjQuMjMApZmsEiIT3ghp49QVIhPeCB9DSVEuQk1FQS5JUV9MQVNUU0FM</t>
  </si>
  <si>
    <t>RVBSSUNFLjQ1MzkxAQAAAMeYcSkCAAAABDEyLjgApZmsEiIT3ghp49QVIhPeCCJDSVEuQ1JCUC5JUV9MQVNUU0FMRVBSSUNFLjQvMi8yMDI0AQAAACRvJA8CAAAABTM3LjQ2AKWZrBIiE94IaHHSFSIT3ggiQ0lRLlBSRlguSVFfTEFTVFNBTEVQUklDRS40LzMvMjAyNAEAAAAlQDsDAgAAAAk0Mi40Nzk5OTEApZmsEiIT3ghocdIVIhPeCCJDSVEuQ1ZBQy5JUV9MQVNUU0FMRVBSSUNFLjQvNC8yMDI0AQAAAH4rPQECAAAABDIuOTYApZmsEiIT3gh+B9AVIhPeCCJDSVEuR09WWC5JUV9MQVNUU0FMRVBSSUNFLjQvNC8yMDI0AQAAAK/4twACAAAABDIuMDEApZmsEiIT3gh+B9AVIhPeCChDSVEuQ1lUSy5JUV9QUklDRV9WT0xfSElTVF82TVRILjQvNS8yMDI0AQAAALNqAAACAAAACDEwOS44NzE4AKWZrBIiE94IfgfQFSIT3ggfQ0lRLkNEVFguSVFfTEFTVFNBTEVQUklDRS40NTM4NgEAAADo394PAgAAAAQyMS42AKWZrBIiE94IfgfQFSIT3ggiQ0lRLkFNUk4uSVFfTEFTVFNBTEVQUklDRS40LzYvMjAyNAEAAAA3OQYAAgAAAAIyMQAkB68SIhPeCP5yzxUiE94IH0NJUS5JT05TLklRX0xBU1RTQUxFUFJJQ0UuNDUzODcBAAAAXHYAAAIAAAAFNDMuMjIAxTlsEiIT3ggupM0VIhPeCChDSVEuTUlTVC5JUV9QUklDRV9WT0xfSElTVF82TVRILjQvOC8yMDI0AQAAADPtJwICAAAABzEwMi4zNDQAxTlsEiIT3ggupM0V</t>
  </si>
  <si>
    <t>IhPeCCJDSVEuTlVWTC5JUV9MQVNUU0FMRVBSSUNFLjQvOC8yMDI0AQAAAIVs3ikCAAAABTY4LjQ0AMU5bBIiE94ILqTNFSIT3ggiQ0lRLkFHRU4uSVFfTEFTVFNBTEVQUklDRS40LzgvMjAyNAEAAABkQQYAAgAAAAQ5LjMxAMU5bBIiE94IFH3NFSIT3ggfQ0lRLlJJR0wuSVFfTEFTVFNBTEVQUklDRS40NTM5NwEAAAA7hAAAAgAAAAQxMS41AMU5bBIiE94IeAPNFSIT3ggoQ0lRLkNIUlMuSVFfUFJJQ0VfVk9MX0hJU1RfNk1USC40LzgvMjAyNAEAAADHelUMAgAAAAcxMTcuNjMyAMU5bBIiE94IPWfMFSIT3ggfQ0lRLkNWS0QuSVFfTEFTVFNBTEVQUklDRS40NTM5OAEAAAAyj+FqAgAAAAg1Ljg0ODQ5NwDFOWwSIhPeCH1uyxUiE94IKENJUS5OUklYLklRX1BSSUNFX1ZPTF9ISVNUXzZNVEguNC85LzIwMjQBAAAATCpVDAIAAAAHOTEuMDY3MwDFOWwSIhPeCBHcyhUiE94IIkNJUS5JTkFCLklRX0xBU1RTQUxFUFJJQ0UuNC85LzIwMjQBAAAAFDQuIQIAAAAJMzIuNzAwMDMyAMU5bBIiE94IsknKFSIT3ggfQ0lRLlBSTEQuSVFfTEFTVFNBTEVQUklDRS40NTM5MAEAAABmXkcWAgAAAAM0LjcAxTlsEiIT3giSBcoVIhPeCChDSVEuQkNUWC5JUV9QUklDRV9WT0xfSElTVF82TVRILjQvOS8yMDI0AQAAAPbcoQ8CAAAABzg3LjMzNDIAxTlsEiIT3ggNackVIhPeCChDSVEuR0lMRC5JUV9QUklDRV9WT0xfSElTVF82</t>
  </si>
  <si>
    <t>TVRILjQvOS8yMDI0AQAAAEpxAAACAAAABzI1LjA3MDUAxTlsEiIT3gjO1sgVIhPeCB9DSVEuQVBSRS5JUV9MQVNUU0FMRVBSSUNFLjQ1MzkwAQAAAKvTqBMCAAAAAzYuMgDFOWwSIhPeCCP2xxUiE94II0NJUS5WU1RNLklRX0xBU1RTQUxFUFJJQ0UuNC8xMC8yMDI0AQAAACg36AYCAAAABDExLjMAxTlsEiIT3gjfp8cVIhPeCB5DSVEuQUlNLklRX0xBU1RTQUxFUFJJQ0UuNDUzOTkBAAAAc6CuKAIAAAAFMC4zNTUAou0rEiIT3giUWccVIhPeCClDSVEuQVBWTy5JUV9QUklDRV9WT0xfSElTVF82TVRILjQvMTAvMjAyNAEAAACU7r4TAgAAAAgxMTguNjEyMwCi7SsSIhPeCEuqxhUiE94IHkNJUS5MTFkuSVFfTEFTVFNBTEVQUklDRS40NTMzNQEAAAAbWwQAAgAAAAY3NDIuOTcAVhdREyIT3gibnPsVIhPeCB9DSVEuQVVQSC5JUV9MQVNUU0FMRVBSSUNFLjQ1MzM2AQAAAO13DQACAAAABDcuOTcAyCUhEyIT3gjW1/MVIhPeCClDSVEuTkVSVi5JUV9QUklDRV9WT0xfSElTVF82TVRILjIvMjcvMjAyNAEAAAAJk5APAgAAAAgxNjQuODE0NwCIdSETIhPeCK/S7xUiE94IKENJUS5NVEVNLklRX1BSSUNFX1ZPTF9ISVNUXzZNVEguMy80LzIwMjQBAAAAmZupAQMAAAAAAPu4FRMiE94I1KvrFSIT3ggpQ0lRLlNMUlguSVFfUFJJQ0VfVk9MX0hJU1RfNk1USC4zLzIyLzIwMjQBAAAA0N+rEwIAAAAHNjguODQxMgCRSLYS</t>
  </si>
  <si>
    <t>IhPeCOYb3BUiE94II0NJUS5TUFJCLklRX0xBU1RTQUxFUFJJQ0UuMy8xMy8yMDI0AQAAAPES5hgCAAAACjM4OS4yNTA5NzMACLnjEiIT3ggEweAVIhPeCB9DSVEuU1lSUy5JUV9MQVNUU0FMRVBSSUNFLjQ1MzczAQAAAJ6FFQ4CAAAABDYuMjcAkUi2EiIT3gjWs9kVIhPeCCNDSVEuSU9OUy5JUV9MQVNUU0FMRVBSSUNFLjMvMTMvMjAyNAEAAABcdgAAAgAAAAU0My4xNgAIueMSIhPeCATB4BUiE94IKUNJUS5NRUlQLklRX1BSSUNFX1ZPTF9ISVNUXzZNVEguMy8yNi8yMDI0AQAAAD3JIQADAAAAAACRSLYSIhPeCNaz2RUiE94II0NJUS5HRVJOLklRX0xBU1RTQUxFUFJJQ0UuMy8xNC8yMDI0AQAAADhLAwACAAAABDEuNzUACLnjEiIT3ggEweAVIhPeCB5DSVEuQUxULklRX0xBU1RTQUxFUFJJQ0UuNDUzODUBAAAA90JKAAIAAAAEOS4yOQCRSLYSIhPeCDFM1xUiE94IIkNJUS5PTkMuSVFfTEFTVFNBTEVQUklDRS4zLzE0LzIwMjQBAAAA4OTdBgIAAAAFMTY4LjkACLnjEiIT3ggEweAVIhPeCB9DSVEuUlZQSC5JUV9MQVNUU0FMRVBSSUNFLjQ1Mzg1AQAAAJSEkAcCAAAABDMuNjYAkUi2EiIT3ggxTNcVIhPeCCNDSVEuT1BUTi5JUV9MQVNUU0FMRVBSSUNFLjMvMTUvMjAyNAUAAAAAAAAACAAAABQoSW52YWxpZCBJZGVudGlmaWVyKQi54xIiE94IBMHgFSIT3ggfQ0lRLkdSVFguSVFfTEFTVFNBTEVQUklDRS40</t>
  </si>
  <si>
    <t>NTM4NgEAAABtuWoNAgAAAAUwLjE2MgClmawSIhPeCGnj1BUiE94IIkNJUS5BWk4uSVFfTEFTVFNBTEVQUklDRS4zLzE4LzIwMjQBAAAAhiMFAAIAAAAFMTAyLjkACLnjEiIT3gjgwN4VIhPeCB9DSVEuTFFEQS5JUV9MQVNUU0FMRVBSSUNFLjQ1MzkwAQAAAItQWwECAAAABTE1LjEzAKWZrBIiE94IaePUFSIT3ggeQ0lRLlBCTS5JUV9MQVNUU0FMRVBSSUNFLjQ1Mzc2AQAAADxFoikCAAAACjY3NS40NTkyNzMACLnjEiIT3gjgwN4VIhPeCB9DSVEuQk1FQS5JUV9MQVNUU0FMRVBSSUNFLjQ1MzgzAQAAAMeYcSkCAAAABDE1LjMApZmsEiIT3ghp49QVIhPeCCNDSVEuQ0VSUy5JUV9MQVNUU0FMRVBSSUNFLjMvMTkvMjAyNAEAAADeZgAAAgAAAAQyLjA0AOYq5hIiE94I4MDeFSIT3ggeQ0lRLkxMWS5JUV9MQVNUU0FMRVBSSUNFLjQ1MzgzAQAAABtbBAACAAAABjc2MC41NQClmawSIhPeCGnj1BUiE94IKUNJUS5MR05ELklRX1BSSUNFX1ZPTF9ISVNUXzZNVEguMy8xOS8yMDI0AQAAAGR4AAACAAAABzQyLjQ0NzMAkUi2EiIT3gjgwN4VIhPeCB9DSVEuVFNIQS5JUV9MQVNUU0FMRVBSSUNFLjQ1Mzc3AQAAAKORsScCAAAABDMuMDYAkUi2EiIT3ghUUt4VIhPeCCJDSVEuT1BLLklRX0xBU1RTQUxFUFJJQ0UuMy8yMC8yMDI0AQAAAI+5/QECAAAABDAuODkAkUi2EiIT3ggi3d0VIhPeCB9DSVEuQ1ZBQy5JUV9MQVNU</t>
  </si>
  <si>
    <t>U0FMRVBSSUNFLjQ1MzkzAQAAAH4rPQECAAAABDIuOTYApZmsEiIT3gh+B9AVIhPeCB9DSVEuVlJUWC5JUV9MQVNUU0FMRVBSSUNFLjQ1MzcxAQAAAIuNAAACAAAABjQxMi4xMQCRSLYSIhPeCMNA3RUiE94IKENJUS5EVElMLklRX1BSSUNFX1ZPTF9ISVNUXzZNVEguNC80LzIwMjQBAAAA6OVxAgIAAAAIMTAwLjE5NTIApZmsEiIT3gh+B9AVIhPeCB9DSVEuU01NVC5JUV9MQVNUU0FMRVBSSUNFLjQ1MzgwAQAAAMMtsQACAAAABDQuMTQAkUi2EiIT3gjey9wVIhPeCCNDSVEuRVNQUi5JUV9MQVNUU0FMRVBSSUNFLjMvMjIvMjAyNAEAAABMbgAAAgAAAAQyLjI5AJFIthIiE94IO1LcFSIT3ggeQ0lRLkFaTi5JUV9MQVNUU0FMRVBSSUNFLjQ1MzczAQAAAIYjBQACAAAABjEwNC44MgCRSLYSIhPeCNaz2RUiE94IKUNJUS5SRUdOLklRX1BSSUNFX1ZPTF9ISVNUXzZNVEguMy8yNS8yMDI0AQAAALODAAACAAAABzE2Ljk5MjUAkUi2EiIT3gjWs9kVIhPeCCNDSVEuQllTSS5JUV9MQVNUU0FMRVBSSUNFLjMvMjUvMjAyNAEAAABHz2wYAgAAAAQzLjQ3AJFIthIiE94I1rPZFSIT3ggfQ0lRLkFNUlguSVFfTEFTVFNBTEVQUklDRS40NTM3MwEAAABXnEoCAgAAAAQ2LjA3AJFIthIiE94I1rPZFSIT3ggpQ0lRLlRFQ1guSVFfUFJJQ0VfVk9MX0hJU1RfNk1USC4zLzI2LzIwMjQBAAAArbhnKgMAAAAAAJFIthIiE94I1rPZ</t>
  </si>
  <si>
    <t>FSIT3ggfQ0lRLk1FSVAuSVFfTEFTVFNBTEVQUklDRS40NTM4NAEAAAA9ySEAAwAAAAAAkUi2EiIT3gjWs9kVIhPeCCNDSVEuQVJHWC5JUV9MQVNUU0FMRVBSSUNFLjMvMjcvMjAyNAEAAAC94rMDAgAAAAUzNjguMgCRSLYSIhPeCDFM1xUiE94IKENJUS5BTFQuSVFfUFJJQ0VfVk9MX0hJU1RfNk1USC4zLzI3LzIwMjQBAAAA90JKAAIAAAAIMTIzLjQxNzQAkUi2EiIT3ggxTNcVIhPeCB9DSVEuVEZGUC5JUV9MQVNUU0FMRVBSSUNFLjQ1Mzg1AQAAAOo0CwACAAAABDQzLjIAkUi2EiIT3ggxTNcVIhPeCCNDSVEuQUtCQS5JUV9MQVNUU0FMRVBSSUNFLjMvMjcvMjAyNAEAAAB3KC8CAgAAAAQyLjI0AJFIthIiE94IMUzXFSIT3ggfQ0lRLklSV0QuSVFfTEFTVFNBTEVQUklDRS40NTM3OAEAAAAKewAAAgAAAAQ4LjYyAKWZrBIiE94IMUzXFSIT3ggfQ0lRLk9DRUEuSVFfTEFTVFNBTEVQUklDRS40NTM4NgEAAAB35eknAgAAAAQyLjY5AKWZrBIiE94IaePUFSIT3ggjQ0lRLk5CSVguSVFfTEFTVFNBTEVQUklDRS4zLzI4LzIwMjQBAAAASX0AAAIAAAAGMTM3LjkyAKWZrBIiE94IaePUFSIT3ggfQ0lRLkdSVFMuSVFfTEFTVFNBTEVQUklDRS40NTM4MAUAAAAAAAAACAAAABQoSW52YWxpZCBJZGVudGlmaWVyKaWZrBIiE94IaePUFSIT3ggoQ0lRLlZSVFguSVFfUFJJQ0VfVk9MX0hJU1RfNk1USC40LzEvMjAyNAEA</t>
  </si>
  <si>
    <t>AACLjQAAAgAAAAcyNy4xNjA4AKWZrBIiE94IaePUFSIT3ggnQ0lRLkFMQy5JUV9QUklDRV9WT0xfSElTVF82TVRILjEvOS8yMDI0AQAAANNs6goCAAAABzc1LjM4MDgAo9mVEyIT3ggi+AYWIhPeCB9DSVEuUEJMQS5JUV9MQVNUU0FMRVBSSUNFLjQ1MzA4AQAAADb12AoCAAAABTguNjc2AHUbiBMiE94IrycCFiIT3ggpQ0lRLkFOVlMuSVFfUFJJQ0VfVk9MX0hJU1RfNk1USC4xLzI0LzIwMjQBAAAAL9EdJQIAAAAIMTEwLjE4MTcAdRuIEyIT3giLuf8VIhPeCCJDSVEuUFJMRC5JUV9MQVNUU0FMRVBSSUNFLjQvOS8yMDI0AQAAAGZeRxYCAAAABDQuOTkAxTlsEiIT3giSBcoVIhPeCCJDSVEuQkNUWC5JUV9MQVNUU0FMRVBSSUNFLjQvOS8yMDI0AQAAAPbcoQ8CAAAACjQyNy41MTQ3ODYAxTlsEiIT3ggNackVIhPeCB9DSVEuQkdORS5JUV9MQVNUU0FMRVBSSUNFLjQ1MzkwAQAAAODk3QYDAAAAAADFOWwSIhPeCKqSyBUiE94IH0NJUS5BUFZPLklRX0xBU1RTQUxFUFJJQ0UuNDUzOTEBAAAAlO6+EwIAAAALMjQxMi40MDI0MTIAou0rEiIT3ghLqsYVIhPeCB9DSVEuUEFMSS5JUV9MQVNUU0FMRVBSSUNFLjQ1MzE3AQAAABnAkA4CAAAACDcuNzk5OTk2AEgMihMiE94IMPb+FSIT3ggeQ0lRLkFaTi5JUV9MQVNUU0FMRVBSSUNFLjQ1MzMxAQAAAIYjBQACAAAABTk3LjYxAFYXURMiE94ICSP9FSIT3ggfQ0lRLlZS</t>
  </si>
  <si>
    <t>VFguSVFfTEFTVFNBTEVQUklDRS40NTMyNAEAAACLjQAAAgAAAAY0MjQuNjgAVhdREyIT3gic6vsVIhPeCChDSVEuRE5MSS5JUV9QUklDRV9WT0xfSElTVF82TVRILjIvNy8yMDI0AQAAAA459RECAAAABjU5Ljg5MgCSPVETIhPeCL2w+BUiE94IH0NJUS5CQ1RYLklRX0xBU1RTQUxFUFJJQ0UuNDUzMzYBAAAA9tyhDwIAAAAKNDk3Ljk5OTc1MQCSPVETIhPeCL2w+BUiE94IKENJUS5BTUxYLklRX1BSSUNFX1ZPTF9ISVNUXzZNVEguMi84LzIwMjQBAAAABqDnEgIAAAAHNjkuMjgzOQCSPVETIhPeCL2w+BUiE94II0NJUS5MUk1SLklRX0xBU1RTQUxFUFJJQ0UuMi8xMi8yMDI0AQAAABdgHSICAAAABDcuODMAkj1REyIT3gi9sPgVIhPeCB9DSVEuS1RSQS5JUV9MQVNUU0FMRVBSSUNFLjQ1MzMxBQAAAAAAAAAIAAAAFChJbnZhbGlkIElkZW50aWZpZXIp7WNREyIT3ghdR/YVIhPeCB9DSVEuSU5DWS5JUV9MQVNUU0FMRVBSSUNFLjQ1MzU5AQAAAJoUBQACAAAABTYwLjAyAAi54xIiE94Ir5HlFSIT3ggpQ0lRLlJPSVYuSVFfUFJJQ0VfVk9MX0hJU1RfNk1USC4yLzEzLzIwMjQBAAAAOTjPEAIAAAAHNTcuMjQ1MQDtY1ETIhPeCF1H9hUiE94IH0NJUS5LUkJQLklRX0xBU1RTQUxFUFJJQ0UuNDUzNDMBAAAAQLl/JwMAAAAAAEPVIBMiE94I1tfzFSIT3ggfQ0lRLklOS1QuSVFfTEFTVFNBTEVQUklDRS40NTMzNQEA</t>
  </si>
  <si>
    <t>AADE0RZkAgAAAAU5LjI3NwCSPVETIhPeCB4Z+xUiE94IH0NJUS5PTkNZLklRX0xBU1RTQUxFUFJJQ0UuNDUzMzYBAAAAV3UUAAIAAAAEMS4xNQCV/CATIhPeCNbX8xUiE94IHkNJUS5CTVkuSVFfTEFTVFNBTEVQUklDRS40NTM2NQEAAADGZAAAAgAAAAU1Mi40OQD6KRgTIhPeCK+R5RUiE94IKUNJUS5JT1ZBLklRX1BSSUNFX1ZPTF9ISVNUXzZNVEguMi8xNi8yMDI0AQAAAATVaAICAAAABzk0LjMwMzkAyCUhEyIT3gjW1/MVIhPeCB9DSVEuSVJPTi5JUV9MQVNUU0FMRVBSSUNFLjQ1MzQxAQAAAE7fOSYCAAAABTY1LjkyAMglIRMiE94Iy2LzFSIT3ggeQ0lRLkdTSy5JUV9MQVNUU0FMRVBSSUNFLjQ1MzUwAQAAAPIzBAACAAAABjE2LjY5OAC2SiETIhPeCBTG8hUiE94IH0NJUS5BVFhJLklRX0xBU1RTQUxFUFJJQ0UuNDUzNDMBAAAA0qqGEgIAAAAJMTEuMjA1MDI4ALZKIRMiE94IyinyFSIT3ggpQ0lRLkJEUlguSVFfUFJJQ0VfVk9MX0hJU1RfNk1USC4yLzIzLzIwMjQBAAAAzn+WEAIAAAAIMTY3LjI4MjkAiHUhEyIT3gjBtPEVIhPeCB9DSVEuQUxWTy5JUV9MQVNUU0FMRVBSSUNFLjQ1MzQ0AQAAAD2JUSkCAAAABTE1LjU3AIh1IRMiE94IQjLxFSIT3ggpQ0lRLlROWUEuSVFfUFJJQ0VfVk9MX0hJU1RfNk1USC4yLzI2LzIwMjQBAAAAFsNiGAIAAAAIMTAwLjE3NjIAiHUhEyIT3ggElvAVIhPeCCJDSVEu</t>
  </si>
  <si>
    <t>Qk1FQS5JUV9MQVNUU0FMRVBSSUNFLjQvMi8yMDI0AQAAAMeYcSkCAAAABDEyLjgApZmsEiIT3ghp49QVIhPeCClDSVEuSkFOWC5JUV9QUklDRV9WT0xfSElTVF82TVRILjIvMjYvMjAyNAEAAACNq1koAgAAAAc4Ny42MDE0AIh1IRMiE94IwyDwFSIT3ggfQ0lRLkFDWFAuSVFfTEFTVFNBTEVQUklDRS40NTM1NgEAAADOzEIhAgAAAAQ1OS44AIh1IRMiE94IooTvFSIT3ggpQ0lRLkNNUFguSVFfUFJJQ0VfVk9MX0hJU1RfNk1USC4yLzI4LzIwMjQBAAAA/GHdDwIAAAAHNzMuNjMwNQCIdSETIhPeCBkA7xUiE94IIkNJUS5DRFRYLklRX0xBU1RTQUxFUFJJQ0UuNC81LzIwMjQBAAAA6N/eDwIAAAAEMjMuMgClmawSIhPeCH4H0BUiE94IH0NJUS5QUkxELklRX0xBU1RTQUxFUFJJQ0UuNDUzOTgBAAAAZl5HFgIAAAAENC45MQDFOWwSIhPeCJIFyhUiE94IIkNJUS5ETkxJLklRX0xBU1RTQUxFUFJJQ0UuMi83LzIwMjQBAAAADjn1EQIAAAAFMTYuOTUAkj1REyIT3gi9sPgVIhPeCChDSVEuR0lMRC5JUV9QUklDRV9WT0xfSElTVF82TVRILjMvNi8yMDI0AQAAAEpxAAACAAAABzI1LjAxOTkA+ikYEyIT3giP+ecVIhPeCB9DSVEuSU5DWS5JUV9MQVNUU0FMRVBSSUNFLjQ1MzY5AQAAAJoUBQACAAAABTU3LjM0AAi54xIiE94Ir5HlFSIT3ggfQ0lRLkxHTkQuSVFfTEFTVFNBTEVQUklDRS40NTM2OQEAAABkeAAAAgAA</t>
  </si>
  <si>
    <t>AAU3Mi4xNAAIueMSIhPeCMoo4xUiE94IIkNJUS5BTFQuSVFfTEFTVFNBTEVQUklDRS4zLzI3LzIwMjQBAAAA90JKAAIAAAAEOC44OQCRSLYSIhPeCDFM1xUiE94IHkNJUS5BWk4uSVFfTEFTVFNBTEVQUklDRS40NTM5MAEAAACGIwUAAgAAAAUxMDYuMQClmawSIhPeCGnj1BUiE94IJ0NJUS5MTFkuSVFfUFJJQ0VfVk9MX0hJU1RfNk1USC40LzIvMjAyNAEAAAAbWwQAAgAAAAcyOC42Mzc2AKWZrBIiE94IaePUFSIT3ggoQ0lRLlZFUlYuSVFfUFJJQ0VfVk9MX0hJU1RfNk1USC40LzIvMjAyNAEAAAAuWw0AAwAAAAAApZmsEiIT3ghocdIVIhPeCB9DSVEuVkFOSS5JUV9MQVNUU0FMRVBSSUNFLjQ1MzQ5AQAAAFJzjA8CAAAABDEuMDEA+7gVEyIT3gjViu4VIhPeCB9DSVEuSVJXRC5JUV9MQVNUU0FMRVBSSUNFLjQ1MzU4AQAAAAp7AAACAAAABDguOTMA+7gVEyIT3gjl0u0VIhPeCClDSVEuUllUTS5JUV9QUklDRV9WT0xfSElTVF82TVRILjIvMjkvMjAyNAEAAAAYyW0SAgAAAAc2My4yNzcyAPu4FRMiE94IpITtFSIT3ggfQ0lRLktSQlAuSVFfTEFTVFNBTEVQUklDRS40NTM1OQEAAABAuX8nAwAAAAAA+7gVEyIT3gjf6OwVIhPeCCdDSVEuTlZPLklRX1BSSUNFX1ZPTF9ISVNUXzZNVEguMy80LzIwMjQBAAAAfO8EAAIAAAAHMjcuODY5MgD7uBUTIhPeCFNz7BUiE94IH0NJUS5WVFZULklRX0xBU1RTQUxFUFJJ</t>
  </si>
  <si>
    <t>Q0UuNDUzNTIBAAAAHaMfEgIAAAAFMTYuNTUA+7gVEyIT3gg21+sVIhPeCB9DSVEuQkNEQS5JUV9MQVNUU0FMRVBSSUNFLjQ1MzYyAQAAAGculQACAAAACDYuMzIyNDk2APu4FRMiE94IQ/7rFSIT3ggoQ0lRLkNBU0kuSVFfUFJJQ0VfVk9MX0hJU1RfNk1USC4zLzUvMjAyNAEAAAAlagUAAgAAAAgxMDYuNTU0NQD7uBUTIhPeCGro6hUiE94IIkNJUS5HQU5YLklRX0xBU1RTQUxFUFJJQ0UuMy81LzIwMjQBAAAA29AMIQIAAAAENC42NgD7uBUTIhPeCPxu6hUiE94IIkNJUS5MSVBPLklRX0xBU1RTQUxFUFJJQ0UuMy81LzIwMjQBAAAAh+YjAgIAAAAGNi40NjI0APu4FRMiE94Ij/nnFSIT3ggfQ0lRLlZOREEuSVFfTEFTVFNBTEVQUklDRS40NTM1NgEAAAAjh3YBAgAAAAQ0LjE0APu4FRMiE94Ij/nnFSIT3gghQ0lRLkJNWS5JUV9MQVNUU0FMRVBSSUNFLjMvNi8yMDI0AQAAAMZkAAACAAAABTUzLjM4APu4FRMiE94Ij/nnFSIT3ggiQ0lRLk1BSUEuSVFfTEFTVFNBTEVQUklDRS4zLzYvMjAyNAEAAAB18p8lAgAAAAQxLjQ3APu4FRMiE94Ij/nnFSIT3ggiQ0lRLkdJTEQuSVFfTEFTVFNBTEVQUklDRS4zLzYvMjAyNAEAAABKcQAAAgAAAAU3Mi42MwD6KRgTIhPeCI/55xUiE94IH0NJUS5CR05FLklRX0xBU1RTQUxFUFJJQ0UuNDUzOTgBAAAA4OTdBgMAAAAAAMU5bBIiE94IqpLIFSIT3gghQ0lRLkdTSy5JUV9M</t>
  </si>
  <si>
    <t>QVNUU0FMRVBSSUNFLjMvNy8yMDI0AQAAAPIzBAACAAAABjE3LjExMgD6KRgTIhPeCK+R5RUiE94IIkNJUS5BTUxYLklRX0xBU1RTQUxFUFJJQ0UuMy84LzIwMjQBAAAABqDnEgIAAAAEMy4zNgD6KRgTIhPeCK+R5RUiE94IIkNJUS5UTFNBLklRX0xBU1RTQUxFUFJJQ0UuMy84LzIwMjQBAAAAFR6SDwIAAAAFMC40ODcACLnjEiIT3givkeUVIhPeCB9DSVEuQU1HTi5JUV9MQVNUU0FMRVBSSUNFLjQ1MzY5AQAAAPBgAAACAAAABTI3MC45AAi54xIiE94Ir5HlFSIT3ggfQ0lRLkFQVk8uSVFfTEFTVFNBTEVQUklDRS40NTM5OQEAAACU7r4TAgAAAAo1MjcuMjUwNTI3AKLtKxIiE94IS6rGFSIT3ggjQ0lRLkFQUkUuSVFfTEFTVFNBTEVQUklDRS4zLzExLzIwMjQBAAAAq9OoEwIAAAAENi43NwAIueMSIhPeCK+R5RUiE94II0NJUS5OVkNSLklRX0xBU1RTQUxFUFJJQ0UuMy8xMS8yMDI0AQAAAOh8HwQCAAAABTE1Ljk5AAi54xIiE94IyijjFSIT3ggeQ0lRLkpOSi5JUV9MQVNUU0FMRVBSSUNFLjQ1MzY5AQAAAJ0hAgACAAAABjE1Ni43NgAIueMSIhPeCMoo4xUiE94IH0NJUS5BQ0FELklRX0xBU1RTQUxFUFJJQ0UuNDUzNjkBAAAAwW4KAAIAAAAFMTguNzIACLnjEiIT3gjKKOMVIhPeCB5DSVEuUEZFLklRX0xBU1RTQUxFUFJJQ0UuNDUzNzABAAAA3nkCAAIAAAAFMjcuNjMACLnjEiIT3gjKKOMVIhPeCB9DSVEu</t>
  </si>
  <si>
    <t>U0dNTy5JUV9MQVNUU0FMRVBSSUNFLjQ1MzcxAQAAAAJMBgACAAAABjAuODE2MQAIueMSIhPeCATB4BUiE94IH0NJUS5DTU5ELklRX0xBU1RTQUxFUFJJQ0UuNDUzMDABAAAAP/aPIAIAAAAEMi4wNwCj2ZUTIhPeCCL4BhYiE94IKUNJUS5DSFJTLklRX1BSSUNFX1ZPTF9ISVNUXzZNVEguMS8xOC8yMDI0AQAAAMd6VQwCAAAACDExNS45NjA3AHUbiBMiE94IrycCFiIT3ggfQ0lRLlBCTEEuSVFfTEFTVFNBTEVQUklDRS40NTMxNQEAAAA29dgKAgAAAAQzLjY1AEgMihMiE94Ii7n/FSIT3ggpQ0lRLkxJWFQuSVFfUFJJQ0VfVk9MX0hJU1RfNk1USC4xLzI5LzIwMjQBAAAArEW9AQIAAAAHOTguNjAxNABIDIoTIhPeCCLP/hUiE94IH0NJUS5CQklPLklRX0xBU1RTQUxFUFJJQ0UuNDUzMzEBAAAAYoecGAIAAAAFMzQuNDcAVhdREyIT3ggJI/0VIhPeCB5DSVEuR1NLLklRX0xBU1RTQUxFUFJJQ0UuNDUzMjcBAAAA8jMEAAIAAAAGMTYuNjI2AFYXURMiE94IhcP7FSIT3ggnQ0lRLkdTSy5JUV9QUklDRV9WT0xfSElTVF82TVRILjIvNy8yMDI0AQAAAPIzBAACAAAABzE3Ljc2MjUAkj1REyIT3gi9sPgVIhPeCB9DSVEuQU1MWC5JUV9MQVNUU0FMRVBSSUNFLjQ1MzI5AQAAAAag5xICAAAABTE1LjEyAJI9URMiE94IvbD4FSIT3ggfQ0lRLkxSTVIuSVFfTEFTVFNBTEVQUklDRS40NTM0MQEAAAAXYB0iAgAAAAUxMi43</t>
  </si>
  <si>
    <t>OACSPVETIhPeCL2w+BUiE94IIkNJUS5BWk4uSVFfTEFTVFNBTEVQUklDRS4zLzI1LzIwMjQBAAAAhiMFAAIAAAAGMTAzLjk0AJFIthIiE94I1rPZFSIT3ggfQ0lRLktUUkEuSVFfTEFTVFNBTEVQUklDRS40NTM0MQUAAAAAAAAACAAAABQoSW52YWxpZCBJZGVudGlmaWVyKe1jURMiE94IXUf2FSIT3ggpQ0lRLlBUSVguSVFfUFJJQ0VfVk9MX0hJU1RfNk1USC4yLzEzLzIwMjQBAAAAc69tcAMAAAAAAO1jURMiE94IXUf2FSIT3ggfQ0lRLkRUSUwuSVFfTEFTVFNBTEVQUklDRS40NTM0MwEAAADo5XECAgAAAAUxMi4zNgBD1SATIhPeCNbX8xUiE94II0NJUS5JTktULklRX0xBU1RTQUxFUFJJQ0UuMi8xNC8yMDI0AQAAAMTRFmQCAAAABTkuOTk2AJX8IBMiE94I1tfzFSIT3ggfQ0lRLlZFUlYuSVFfTEFTVFNBTEVQUklDRS40NTM4MwEAAAAuWw0AAwAAAAAApZmsEiIT3ghocdIVIhPeCB9DSVEuT05DWS5JUV9MQVNUU0FMRVBSSUNFLjQ1MzQ0AQAAAFd1FAACAAAABTEuMDM1AJX8IBMiE94I1tfzFSIT3ggfQ0lRLklPVkEuSVFfTEFTVFNBTEVQUklDRS40NTMzNwEAAAAE1WgCAgAAAAQ5Ljg3AMglIRMiE94I1tfzFSIT3ggfQ0lRLklST04uSVFfTEFTVFNBTEVQUklDRS40NTM0OQEAAABO3zkmAgAAAAU2Ni4yNQDIJSETIhPeCMti8xUiE94IKUNJUS5LWklBLklRX1BSSUNFX1ZPTF9ISVNUXzZNVEguMi8yMS8y</t>
  </si>
  <si>
    <t>MDI0AQAAAG0hBgACAAAACDExMC4xNTMyALZKIRMiE94IFMbyFSIT3ggfQ0lRLkFUWEkuSVFfTEFTVFNBTEVQUklDRS40NTM1MQEAAADSqoYSAgAAAAkxMS4zNzc1MjgAtkohEyIT3gjKKfIVIhPeCB9DSVEuQkRSWC5JUV9MQVNUU0FMRVBSSUNFLjQ1MzQ0AQAAAM5/lhACAAAAAzM4NQCIdSETIhPeCMG08RUiE94IH0NJUS5IT1dMLklRX0xBU1RTQUxFUFJJQ0UuNDUzOTQBAAAA4SVsIQIAAAAENC42OQAkB68SIhPeCH4H0BUiE94IH0NJUS5BTFZPLklRX0xBU1RTQUxFUFJJQ0UuNDUzNTIBAAAAPYlRKQIAAAAFMTUuNzYAiHUhEyIT3ghCMvEVIhPeCClDSVEuQkdORS5JUV9QUklDRV9WT0xfSElTVF82TVRILjIvMjYvMjAyNAEAAADg5N0GAwAAAAAAiHUhEyIT3ggElvAVIhPeCB9DSVEuSkFOWC5JUV9MQVNUU0FMRVBSSUNFLjQ1MzQ1AQAAAI2rWSgCAAAABTE1LjY5AIh1IRMiE94IwyDwFSIT3ggpQ0lRLkNHT04uSVFfUFJJQ0VfVk9MX0hJU1RfNk1USC4yLzI3LzIwMjQBAAAAxIjoBgMAAAAAAIh1IRMiE94IooTvFSIT3ggfQ0lRLkNNUFguSVFfTEFTVFNBTEVQUklDRS40NTM0OQEAAAD8Yd0PAgAAAAQxLjc2AIh1IRMiE94IGQDvFSIT3ggfQ0lRLlZBTkkuSVFfTEFTVFNBTEVQUklDRS40NTM1NwEAAABSc4wPAgAAAAQyLjIxAPu4FRMiE94I1YruFSIT3ggpQ0lRLkNMTk4uSVFfUFJJQ0VfVk9MX0hJU1Rf</t>
  </si>
  <si>
    <t>Nk1USC4yLzI5LzIwMjQBAAAAZEk7FAIAAAAIMTExLjkwODMA+7gVEyIT3gjl0u0VIhPeCB9DSVEuUllUTS5JUV9MQVNUU0FMRVBSSUNFLjQ1MzUwAQAAABjJbRICAAAABTQ0LjM4APu4FRMiE94IpITtFSIT3ggoQ0lRLkxFWFguSVFfUFJJQ0VfVk9MX0hJU1RfNk1USC4zLzEvMjAyNAEAAAAre48BAgAAAAgxMDMuNjc4NAD7uBUTIhPeCN/o7BUiE94IJ0NJUS5MTFkuSVFfUFJJQ0VfVk9MX0hJU1RfNk1USC40LzkvMjAyNAEAAAAbWwQAAgAAAAcyOC4yMjAyAMU5bBIiE94IWyrLFSIT3ggeQ0lRLk5WTy5JUV9MQVNUU0FMRVBSSUNFLjQ1MzUyAQAAAHzvBAACAAAABjEyNC4yMwD7uBUTIhPeCFNz7BUiE94IH0NJUS5WVFZULklRX0xBU1RTQUxFUFJJQ0UuNDUzNjIBAAAAHaMfEgIAAAAFMTUuMDIA+7gVEyIT3gg21+sVIhPeCCdDSVEuR1NLLklRX1BSSUNFX1ZPTF9ISVNUXzZNVEguMy80LzIwMjQBAAAA8jMEAAIAAAAHMTcuODMzNwD7uBUTIhPeCFld6xUiE94IH0NJUS5DQVNJLklRX0xBU1RTQUxFUFJJQ0UuNDUzNTUBAAAAJWoFAAIAAAAFNS4wODUA+7gVEyIT3ghq6OoVIhPeCB9DSVEuR0FOWC5JUV9MQVNUU0FMRVBSSUNFLjQ1MzYzAQAAANvQDCECAAAABDQuNTYA+7gVEyIT3gj8buoVIhPeCCJDSVEuSUJSWC5JUV9MQVNUU0FMRVBSSUNFLjMvNS8yMDI0AQAAAAfCDxICAAAABDQuODIA+7gVEyIT3giP</t>
  </si>
  <si>
    <t>+ecVIhPeCCdDSVEuT05DLklRX1BSSUNFX1ZPTF9ISVNUXzZNVEguNC85LzIwMjQBAAAA4OTdBgIAAAAHNDkuNDY0MwDFOWwSIhPeCKqSyBUiE94IH0NJUS5WTkRBLklRX0xBU1RTQUxFUFJJQ0UuNDUzNjQBAAAAI4d2AQIAAAAEMy44NAD7uBUTIhPeCI/55xUiE94IHkNJUS5CTVkuSVFfTEFTVFNBTEVQUklDRS40NTM2NAEAAADGZAAAAgAAAAU1Mi42NQD7uBUTIhPeCI/55xUiE94IH0NJUS5NQUlBLklRX0xBU1RTQUxFUFJJQ0UuNDUzNjQBAAAAdfKfJQIAAAAGMS4zNDAxAPu4FRMiE94Ij/nnFSIT3ggfQ0lRLkdJTEQuSVFfTEFTVFNBTEVQUklDRS40NTM2NAEAAABKcQAAAgAAAAU3NS45NAD6KRgTIhPeCI/55xUiE94IHkNJUS5HU0suSVFfTEFTVFNBTEVQUklDRS40NTM2NQEAAADyMwQAAgAAAAYxNi44NzgA+ikYEyIT3givkeUVIhPeCB9DSVEuQU1MWC5JUV9MQVNUU0FMRVBSSUNFLjQ1MzY2AQAAAAag5xICAAAABDMuMjQACLnjEiIT3givkeUVIhPeCB9DSVEuVExTQS5JUV9MQVNUU0FMRVBSSUNFLjQ1MzY2AQAAABUekg8CAAAABjAuNDk5NwAIueMSIhPeCK+R5RUiE94IKUNJUS5JTkNZLklRX1BSSUNFX1ZPTF9ISVNUXzZNVEguMy8xMS8yMDI0AQAAAJoUBQACAAAABjI3Ljk0NQAIueMSIhPeCK+R5RUiE94IH0NJUS5BUFJFLklRX0xBU1RTQUxFUFJJQ0UuNDUzNjkBAAAAq9OoEwIAAAAENi41NQAI</t>
  </si>
  <si>
    <t>ueMSIhPeCMoo4xUiE94IH0NJUS5OVkNSLklRX0xBU1RTQUxFUFJJQ0UuNDUzNjkBAAAA6HwfBAIAAAAFMTMuODIACLnjEiIT3gjKKOMVIhPeCB5DSVEuT05DLklRX0xBU1RTQUxFUFJJQ0UuNDUzOTABAAAA4OTdBgIAAAAGMTQ5Ljc1AMU5bBIiE94IqpLIFSIT3ggeQ0lRLkxMWS5JUV9MQVNUU0FMRVBSSUNFLjQ1Mzk4AQAAABtbBAACAAAABjc0Ni43NADFOWwSIhPeCFsqyxUiE94IKUNJUS5QVEdYLklRX1BSSUNFX1ZPTF9ISVNUXzZNVEguMy8xMS8yMDI0AQAAANxmtAcCAAAABzUyLjM0MDQACLnjEiIT3gjKKOMVIhPeCClDSVEuVEVSTi5JUV9QUklDRV9WT0xfSElTVF82TVRILjMvMTEvMjAyNAEAAACW5EYhAgAAAAc4My4zODQ1AAi54xIiE94IyijjFSIT3ggfQ0lRLktBTlQuSVFfTEFTVFNBTEVQUklDRS40NTM3MAUAAAAAAAAACAAAABQoSW52YWxpZCBJZGVudGlmaWVyKQi54xIiE94IyijjFSIT3ggoQ0lRLkxMWS5JUV9QUklDRV9WT0xfSElTVF82TVRILjMvMTMvMjAyNAEAAAAbWwQAAgAAAAcyOS4zOTM0AAi54xIiE94IBMHgFSIT3ggpQ0lRLlNQUkIuSVFfUFJJQ0VfVk9MX0hJU1RfNk1USC4zLzEzLzIwMjQBAAAA8RLmGAIAAAAHODYuNDU5OAAIueMSIhPeCATB4BUiE94IKUNJUS5QQ1JYLklRX1BSSUNFX1ZPTF9ISVNUXzZNVEguMy8xMy8yMDI0AQAAAHRrAAACAAAABzM4LjIyMDkACLnjEiIT</t>
  </si>
  <si>
    <t>3ggEweAVIhPeCClDSVEuTURHTC5JUV9QUklDRV9WT0xfSElTVF82TVRILjMvMTQvMjAyNAEAAABMm6MIAgAAAAc2OC42MTgzAAi54xIiE94IBMHgFSIT3ggpQ0lRLkFRU1QuSVFfUFJJQ0VfVk9MX0hJU1RfNk1USC4zLzE1LzIwMjQBAAAAqD58AAIAAAAHODkuMDAzOQAIueMSIhPeCATB4BUiE94IKUNJUS5UU1ZULklRX1BSSUNFX1ZPTF9ISVNUXzZNVEguMy8xNS8yMDI0BQAAAAAAAAAIAAAAFChJbnZhbGlkIElkZW50aWZpZXIpCLnjEiIT3gjgwN4VIhPeCClDSVEuQUxHUy5JUV9QUklDRV9WT0xfSElTVF82TVRILjMvMTgvMjAyNAEAAAAznqgiAgAAAAc5MS45MzIyAAi54xIiE94I4MDeFSIT3ggfQ0lRLktSQlAuSVFfTEFTVFNBTEVQUklDRS40NTM3NwEAAABAuX8nAwAAAAAAkUi2EiIT3gjgwN4VIhPeCCNDSVEuTEdORC5JUV9MQVNUU0FMRVBSSUNFLjMvMTkvMjAyNAEAAABkeAAAAgAAAAU3Mi4yMQCRSLYSIhPeCODA3hUiE94IH0NJUS5BRU9OLklRX0xBU1RTQUxFUFJJQ0UuNDUzNjkBAAAABv/FDgIAAAALMTE3Mi44Nzk5MDYAkUi2EiIT3ghUUt4VIhPeCClDSVEuVEZGUC5JUV9QUklDRV9WT0xfSElTVF82TVRILjMvMjAvMjAyNAEAAADqNAsAAgAAAAc4Ni40NjE0AJFIthIiE94I9bXdFSIT3ggjQ0lRLkFMUE4uSVFfTEFTVFNBTEVQUklDRS4zLzIxLzIwMjQBAAAA2ZBmAAIAAAADNy43AJFIthIi</t>
  </si>
  <si>
    <t>E94Iw0DdFSIT3ggfQ0lRLlNNTVQuSVFfTEFTVFNBTEVQUklDRS40NTM3MgEAAADDLbEAAgAAAAQzLjU1AJFIthIiE94I3svcFSIT3ggpQ0lRLlRFTE8uSVFfUFJJQ0VfVk9MX0hJU1RfNk1USC4zLzIyLzIwMjQBAAAAxOMsbQMAAAAAAJFIthIiE94IO1LcFSIT3ggeQ0lRLkFaTi5JUV9MQVNUU0FMRVBSSUNFLjQ1MzgzAQAAAIYjBQACAAAABjEwNi43OACRSLYSIhPeCNaz2RUiE94II0NJUS5SRUdOLklRX0xBU1RTQUxFUFJJQ0UuMy8yNS8yMDI0AQAAALODAAACAAAABjk2MS4wOQCRSLYSIhPeCNaz2RUiE94IKUNJUS5TWVJTLklRX1BSSUNFX1ZPTF9ISVNUXzZNVEguMy8yNS8yMDI0AQAAAJ6FFQ4CAAAACDEwOC4yNTExAJFIthIiE94I1rPZFSIT3ggfQ0lRLkFNUlguSVFfTEFTVFNBTEVQUklDRS40NTM4MwEAAABXnEoCAgAAAAQ2LjA1AJFIthIiE94I1rPZFSIT3ggjQ0lRLlRFQ1guSVFfTEFTVFNBTEVQUklDRS4zLzI2LzIwMjQBAAAArbhnKgMAAAAAAJFIthIiE94I1rPZFSIT3ggfQ0lRLlNUT0suSVFfTEFTVFNBTEVQUklDRS40NTM3NgEAAAAeiAEPAgAAAAM2LjUAkUi2EiIT3ggxTNcVIhPeCB9DSVEuTVJOQS5JUV9MQVNUU0FMRVBSSUNFLjQ1Mzg1AQAAAPyDqwcCAAAABjEwMS4yMQCRSLYSIhPeCDFM1xUiE94IH0NJUS5HTURBLklRX0xBU1RTQUxFUFJJQ0UuNDUzNzcBAAAAQH0IAAMAAAAAAJFI</t>
  </si>
  <si>
    <t>thIiE94IMUzXFSIT3ggqQ0lRLkNTTExZLklRX1BSSUNFX1ZPTF9ISVNUXzZNVEguMy8yNy8yMDI0AQAAAF9zDQADAAAAAACRSLYSIhPeCDFM1xUiE94II0NJUS5MUENOLklRX0xBU1RTQUxFUFJJQ0UuMy8yOC8yMDI0AQAAABr0egACAAAAAzUuMgClmawSIhPeCDFM1xUiE94IH0NJUS5QUEJULklRX0xBU1RTQUxFUFJJQ0UuNDUzNzgBAAAALaI2AQIAAAAFMC4yNDMApZmsEiIT3ghp49QVIhPeCClDSVEuQ0FETC5JUV9QUklDRV9WT0xfSElTVF82TVRILjMvMjgvMjAyNAEAAACrWjoCAgAAAAgxMDkuNTE3NgClmawSIhPeCGnj1BUiE94IH0NJUS5HUlRTLklRX0xBU1RTQUxFUFJJQ0UuNDUzOTAFAAAAAAAAAAgAAAAUKEludmFsaWQgSWRlbnRpZmllcimlmawSIhPeCGnj1BUiE94IIkNJUS5WUlRYLklRX0xBU1RTQUxFUFJJQ0UuNC8xLzIwMjQBAAAAi40AAAIAAAAGNDIwLjQ4AKWZrBIiE94IaePUFSIT3ggoQ0lRLkJNRUEuSVFfUFJJQ0VfVk9MX0hJU1RfNk1USC40LzIvMjAyNAEAAADHmHEpAgAAAAgxMTIuNTc1NQClmawSIhPeCGnj1BUiE94IH0NJUS5TUlpOLklRX0xBU1RTQUxFUFJJQ0UuNDUzOTABAAAAFz71FwIAAAAHMTEuMjI5OQClmawSIhPeCGnj1BUiE94IIkNJUS5WRVJWLklRX0xBU1RTQUxFUFJJQ0UuNC8yLzIwMjQBAAAALlsNAAMAAAAAAKWZrBIiE94IaHHSFSIT3ggfQ0lRLktSQlAuSVFf</t>
  </si>
  <si>
    <t>TEFTVFNBTEVQUklDRS40NTM4MwEAAABAuX8nAwAAAAAApZmsEiIT3ghocdIVIhPeCB9DSVEuQ01ORC5JUV9MQVNUU0FMRVBSSUNFLjQ1MzA4AQAAAD/2jyACAAAABDEuMTIAo9mVEyIT3ggi+AYWIhPeCB9DSVEuQ0hSUy5JUV9MQVNUU0FMRVBSSUNFLjQ1MzE2AQAAAMd6VQwCAAAABDIuMzcAdRuIEyIT3givJwIWIhPeCClDSVEuQ1lUSy5JUV9QUklDRV9WT0xfSElTVF82TVRILjEvMjUvMjAyNAEAAACzagAAAgAAAAgxMDcuODc5NQBIDIoTIhPeCIu5/xUiE94IH0NJUS5MSVhULklRX0xBU1RTQUxFUFJJQ0UuNDUzMjcBAAAArEW9AQIAAAAEMi4wMgBIDIoTIhPeCGOo/hUiE94IKENJUS5MUURBLklRX1BSSUNFX1ZPTF9ISVNUXzZNVEguMi8yLzIwMjQBAAAAi1BbAQIAAAAHNjIuMzg1NABWF1ETIhPeCAkj/RUiE94IHkNJUS5HU0suSVFfTEFTVFNBTEVQUklDRS40NTMzNQEAAADyMwQAAgAAAAYxNi40MTgAVhdREyIT3giFw/sVIhPeCB5DSVEuR1NLLklRX0xBU1RTQUxFUFJJQ0UuNDUzMjgBAAAA8jMEAAIAAAAFMTYuNTMAkj1REyIT3gi9sPgVIhPeCChDSVEuQVRIQS5JUV9QUklDRV9WT0xfSElTVF82TVRILjIvOC8yMDI0AQAAABwR2w8CAAAABzc0LjkwMTcAkj1REyIT3gi9sPgVIhPeCClDSVEuQlRBSS5JUV9QUklDRV9WT0xfSElTVF82TVRILjIvMTIvMjAyNAEAAAANL2YgAgAAAAgxNDkuOTM2MgCS</t>
  </si>
  <si>
    <t>PVETIhPeCF1H9hUiE94IH0NJUS5GRE1ULklRX0xBU1RTQUxFUFJJQ0UuNDUzMzEBAAAAJdBDEAIAAAAFMjguNjMA7WNREyIT3gjv+/wVIhPeCB9DSVEuUFRJWC5JUV9MQVNUU0FMRVBSSUNFLjQ1MzM0AQAAAHOvbXADAAAAAADtY1ETIhPeCF1H9hUiE94IKUNJUS5HTFNJLklRX1BSSUNFX1ZPTF9ISVNUXzZNVEguMi8xNC8yMDI0AQAAAEZQ8CYCAAAABzU5LjQxMTMAQ9UgEyIT3gjW1/MVIhPeCB9DSVEuSU5LVC5JUV9MQVNUU0FMRVBSSUNFLjQ1MzQzAQAAAMTRFmQCAAAABjkuMjAwMQCV/CATIhPeCNbX8xUiE94IH0NJUS5NTktELklRX0xBU1RTQUxFUFJJQ0UuNDUzNDQBAAAAZqWNAAIAAAAEMy41OQCV/CATIhPeCNbX8xUiE94IH0NJUS5JT1ZBLklRX0xBU1RTQUxFUFJJQ0UuNDUzNDUBAAAABNVoAgIAAAAFMTUuNzcAyCUhEyIT3gjW1/MVIhPeCB5DSVEuU05ZLklRX0xBU1RTQUxFUFJJQ0UuNDUzNDEBAAAAGnwKAAIAAAAFNDYuMTgAtkohEyIT3gjLYvMVIhPeCClDSVEuRU5MVi5JUV9QUklDRV9WT0xfSElTVF82TVRILjIvMjEvMjAyNAEAAAA76AEFAgAAAAgxMDMuOTY3OAC2SiETIhPeCFif8hUiE94IKUNJUS5QSFZTLklRX1BSSUNFX1ZPTF9ISVNUXzZNVEguMi8yMi8yMDI0AQAAAHCLBBgCAAAABzc1LjYwODUAtkohEyIT3gjKKfIVIhPeCCNDSVEuQkRSWC5JUV9MQVNUU0FMRVBSSUNFLjIvMjMv</t>
  </si>
  <si>
    <t>MjAyNAEAAADOf5YQAgAAAAUzNzIuNQCIdSETIhPeCMG08RUiE94IKUNJUS5DTERYLklRX1BSSUNFX1ZPTF9ISVNUXzZNVEguMi8yNC8yMDI0AQAAAFXMkgACAAAABzQ5LjA5NTkAiHUhEyIT3gh7C/EVIhPeCB9DSVEuQkdORS5JUV9MQVNUU0FMRVBSSUNFLjQ1MzQ1AQAAAODk3QYDAAAAAACIdSETIhPeCASW8BUiE94IH0NJUS5KQU5YLklRX0xBU1RTQUxFUFJJQ0UuNDUzNTUBAAAAjatZKAIAAAAFNDIuNjEAiHUhEyIT3gjDIPAVIhPeCB9DSVEuQ0dPTi5JUV9MQVNUU0FMRVBSSUNFLjQ1MzQ4AQAAAMSI6AYCAAAABTQ2LjAxAIh1IRMiE94IooTvFSIT3ggjQ0lRLkNNUFguSVFfTEFTVFNBTEVQUklDRS4yLzI4LzIwMjQBAAAA/GHdDwIAAAAEMS43NACIdSETIhPeCBkA7xUiE94IH0NJUS5WRVJWLklRX0xBU1RTQUxFUFJJQ0UuNDUzOTEBAAAALlsNAAMAAAAAAKWZrBIiE94IaHHSFSIT3ggpQ0lRLkJMUlguSVFfUFJJQ0VfVk9MX0hJU1RfNk1USC4yLzI4LzIwMjQBAAAAKIZMAAIAAAAGNzguOTgxAPu4FRMiE94IBmTuFSIT3ggfQ0lRLkNMTk4uSVFfTEFTVFNBTEVQUklDRS40NTM1MAEAAABkSTsUAgAAAAQ4LjY4APu4FRMiE94I5dLtFSIT3ggfQ0lRLlJZVE0uSVFfTEFTVFNBTEVQUklDRS40NTM1OAEAAAAYyW0SAgAAAAU0MS42NwD7uBUTIhPeCAFe7RUiE94IH0NJUS5MRVhYLklRX0xBU1RTQUxFUFJJ</t>
  </si>
  <si>
    <t>Q0UuNDUzNTEBAAAAK3uPAQIAAAAEMy40NQD7uBUTIhPeCN/o7BUiE94IIUNJUS5OVk8uSVFfTEFTVFNBTEVQUklDRS4zLzQvMjAyNAEAAAB87wQAAgAAAAYxMjcuOTUA+7gVEyIT3ghTc+wVIhPeCChDSVEuTE5USC5JUV9QUklDRV9WT0xfSElTVF82TVRILjMvNC8yMDI0AQAAAHhrfgACAAAABzY4LjAyMDYA+7gVEyIT3gg21+sVIhPeCB5DSVEuR1NLLklRX0xBU1RTQUxFUFJJQ0UuNDUzNTIBAAAA8jMEAAIAAAAGMTYuNjE4APu4FRMiE94IWV3rFSIT3ggeQ0lRLk1SSy5JUV9MQVNUU0FMRVBSSUNFLjQ1MzAyAQAAAPZmBAACAAAABjExOC40MwCj2ZUTIhPeCIbaCxYiE94IH0NJUS5BTFZPLklRX0xBU1RTQUxFUFJJQ0UuNDUzMDkBAAAAPYlRKQIAAAAGMTIuMjY1AHUbiBMiE94IrycCFiIT3ggfQ0lRLkVYRUwuSVFfTEFTVFNBTEVQUklDRS40NTMxNQEAAACybgAAAgAAAAUyMi4xMQBIDIoTIhPeCIu5/xUiE94IH0NJUS5BTFZPLklRX0xBU1RTQUxFUFJJQ0UuNDUzMTcBAAAAPYlRKQIAAAAFMTQuNjUASAyKEyIT3givJwIWIhPeCB9DSVEuTFFEQS5JUV9MQVNUU0FMRVBSSUNFLjQ1MzIzAQAAAItQWwECAAAABDEzLjYAVhdREyIT3ggJI/0VIhPeCB9DSVEuU0dNTy5JUV9MQVNUU0FMRVBSSUNFLjQ1MzM1AQAAAAJMBgACAAAABjAuNjcwMQBWF1ETIhPeCJuc+xUiE94IHkNJUS5HU0suSVFfTEFTVFNBTEVQ</t>
  </si>
  <si>
    <t>UklDRS40NTMzNgEAAADyMwQAAgAAAAUxNi42OACSPVETIhPeCL2w+BUiE94IIkNJUS5BVEhBLklRX0xBU1RTQUxFUFJJQ0UuMi84LzIwMjQBAAAAHBHbDwIAAAAEMzEuNwCSPVETIhPeCL2w+BUiE94IH0NJUS5QWVBELklRX0xBU1RTQUxFUFJJQ0UuNDUzMzEBAAAAfxbvAgIAAAAENi45MgDtY1ETIhPeCF1H9hUiE94IKUNJUS5CTVJOLklRX1BSSUNFX1ZPTF9ISVNUXzZNVEguMi8xMi8yMDI0AQAAAAVkAAACAAAABzI5LjY5MDYA7WNREyIT3ghdR/YVIhPeCCNDSVEuUFRJWC5JUV9MQVNUU0FMRVBSSUNFLjIvMTMvMjAyNAEAAABzr21wAwAAAAAA7WNREyIT3ghdR/YVIhPeCB9DSVEuR0xTSS5JUV9MQVNUU0FMRVBSSUNFLjQ1MzM1AQAAAEZQ8CYCAAAABDguMzEAQ9UgEyIT3gjW1/MVIhPeCB9DSVEuQU1QRS5JUV9MQVNUU0FMRVBSSUNFLjQ1MzM1AQAAAPmpCwUCAAAABDEuNzIAlfwgEyIT3gjW1/MVIhPeCClDSVEuQVVQSC5JUV9QUklDRV9WT0xfSElTVF82TVRILjIvMTUvMjAyNAEAAADtdw0AAgAAAAc2My4yNzcyAMglIRMiE94I1tfzFSIT3ggeQ0lRLkFaTi5JUV9MQVNUU0FMRVBSSUNFLjQ1MzM4AQAAAIYjBQACAAAABjEwMC45NADIJSETIhPeCNbX8xUiE94IHkNJUS5TTlkuSVFfTEFTVFNBTEVQUklDRS40NTM0OQEAAAAafAoAAgAAAAU0OC4yMQC2SiETIhPeCEM78xUiE94IH0NJUS5FTkxWLklR</t>
  </si>
  <si>
    <t>X0xBU1RTQUxFUFJJQ0UuNDUzNDIBAAAAO+gBBQIAAAAEMy4yNwC2SiETIhPeCFif8hUiE94II0NJUS5QSFZTLklRX0xBU1RTQUxFUFJJQ0UuMi8yMi8yMDI0AQAAAHCLBBgCAAAABTI3Ljc4ALZKIRMiE94IyinyFSIT3ggfQ0lRLkJEUlguSVFfTEFTVFNBTEVQUklDRS40NTM1MgEAAADOf5YQAgAAAAMzNDAAiHUhEyIT3giTjfEVIhPeCB9DSVEuQ0xEWC5JUV9MQVNUU0FMRVBSSUNFLjQ1MzQ1AQAAAFXMkgACAAAABTM3Ljc1AIh1IRMiE94IewvxFSIT3ggjQ0lRLkJHTkUuSVFfTEFTVFNBTEVQUklDRS4yLzI2LzIwMjQBAAAA4OTdBgMAAAAAAIh1IRMiE94IBJbwFSIT3ggpQ0lRLkdJTEQuSVFfUFJJQ0VfVk9MX0hJU1RfNk1USC4yLzI2LzIwMjQBAAAASnEAAAIAAAAHMjUuMzQ1NwCIdSETIhPeCEH67xUiE94II0NJUS5DR09OLklRX0xBU1RTQUxFUFJJQ0UuMi8yNy8yMDI0AQAAAMSI6AYCAAAABTQ2LjM1AIh1IRMiE94IooTvFSIT3ggfQ0lRLkNNUFguSVFfTEFTVFNBTEVQUklDRS40NTM1NwEAAAD8Yd0PAgAAAAQxLjk2AIh1IRMiE94IGQDvFSIT3ggfQ0lRLkJMUlguSVFfTEFTVFNBTEVQUklDRS40NTM0OQEAAAAohkwAAgAAAAUwLjI5OQD7uBUTIhPeCAZk7hUiE94II0NJUS5DTE5OLklRX0xBU1RTQUxFUFJJQ0UuMi8yOS8yMDI0AQAAAGRJOxQCAAAABTguMDQ4APu4FRMiE94I5dLtFSIT3ggpQ0lR</t>
  </si>
  <si>
    <t>LkFUUkEuSVFfUFJJQ0VfVk9MX0hJU1RfNk1USC4yLzI5LzIwMjQBAAAA0i7LDgIAAAAIMjY3LjM3NjkA+7gVEyIT3ggBXu0VIhPeCCJDSVEuTEVYWC5JUV9MQVNUU0FMRVBSSUNFLjMvMS8yMDI0AQAAACt7jwECAAAABDIuOTIA+7gVEyIT3gjf6OwVIhPeCB9DSVEuQUtSTy5JUV9MQVNUU0FMRVBSSUNFLjQ1MzYyAQAAADhKFSICAAAABTI5LjMxAPu4FRMiE94IREzsFSIT3ggfQ0lRLkxOVEguSVFfTEFTVFNBTEVQUklDRS40NTM1MgEAAAB4a34AAgAAAAU2NC42NAD7uBUTIhPeCDbX6xUiE94IIUNJUS5HU0suSVFfTEFTVFNBTEVQUklDRS4zLzQvMjAyNAEAAADyMwQAAgAAAAYxNi42NzgA+7gVEyIT3ghZXesVIhPeCChDSVEuTU5QUi5JUV9QUklDRV9WT0xfSElTVF82TVRILjMvNS8yMDI0AQAAAEumJBICAAAACDE3Ny42Mjk5APu4FRMiE94IR8HqFSIT3ggfQ0lRLklNTVAuSVFfTEFTVFNBTEVQUklDRS40NTM1NQEAAAAVQmYAAgAAAAQyLjM1APu4FRMiE94I8WHqFSIT3ggnQ0lRLk9QSy5JUV9QUklDRV9WT0xfSElTVF82TVRILjMvNS8yMDI0AQAAAI+5/QECAAAABzg2LjcyMzkA+7gVEyIT3giP+ecVIhPeCB9DSVEuQk1FQS5JUV9MQVNUU0FMRVBSSUNFLjQ1MzU2AQAAAMeYcSkCAAAABTE3LjUyAPu4FRMiE94Ij/nnFSIT3ggfQ0lRLkFTTE4uSVFfTEFTVFNBTEVQUklDRS40NTM1NgUAAAAAAAAACAAA</t>
  </si>
  <si>
    <t>ABQoSW52YWxpZCBJZGVudGlmaWVyKfu4FRMiE94Ij/nnFSIT3ggfQ0lRLkdJTEQuSVFfTEFTVFNBTEVQUklDRS40NTM1NgEAAABKcQAAAgAAAAU3Mi45OQD6KRgTIhPeCI/55xUiE94IHkNJUS5CTVkuSVFfTEFTVFNBTEVQUklDRS40NTM1NwEAAADGZAAAAgAAAAU1My4zOAD6KRgTIhPeCK+R5RUiE94IH0NJUS5JTVJOLklRX0xBU1RTQUxFUFJJQ0UuNDUzNTcBAAAA80x1AAIAAAAGMS42NTAxAPopGBMiE94Ir5HlFSIT3ggfQ0lRLktZVFguSVFfTEFTVFNBTEVQUklDRS40NTM1OAEAAABhrcomAgAAAAUyOC43OAAIueMSIhPeCK+R5RUiE94IH0NJUS5BUlFULklRX0xBU1RTQUxFUFJJQ0UuNDUzNTkBAAAAKGG5IAIAAAAFMTEuMTUACLnjEiIT3givkeUVIhPeCB5DSVEuTExZLklRX0xBU1RTQUxFUFJJQ0UuNDUzNTkBAAAAG1sEAAIAAAAGNzYyLjE0AAi54xIiE94IyijjFSIT3ggfQ0lRLlRWVFguSVFfTEFTVFNBTEVQUklDRS40NTM1OQEAAABB1PUHAgAAAAQ4LjY2AAi54xIiE94IyijjFSIT3ggjQ0lRLlBUR1guSVFfTEFTVFNBTEVQUklDRS4zLzExLzIwMjQBAAAA3Ga0BwIAAAAFMzAuMTIACLnjEiIT3gjKKOMVIhPeCCNDSVEuVEVSTi5JUV9MQVNUU0FMRVBSSUNFLjMvMTEvMjAyNAEAAACW5EYhAgAAAAQ3LjQzAAi54xIiE94IyijjFSIT3ggfQ0lRLkNSTlguSVFfTEFTVFNBTEVQUklDRS40NTM2MgEA</t>
  </si>
  <si>
    <t>AAD/X7kQAgAAAAU0MS41NwAIueMSIhPeCMoo4xUiE94IIkNJUS5MTFkuSVFfTEFTVFNBTEVQUklDRS4zLzEzLzIwMjQBAAAAG1sEAAIAAAAGNzU3Ljg0AAi54xIiE94IBMHgFSIT3ggjQ0lRLlBDUlguSVFfTEFTVFNBTEVQUklDRS4zLzEzLzIwMjQBAAAAdGsAAAIAAAAFMzAuMjkACLnjEiIT3ggEweAVIhPeCCNDSVEuQkdORS5JUV9MQVNUU0FMRVBSSUNFLjMvMTQvMjAyNAEAAADg5N0GAwAAAAAACLnjEiIT3ggEweAVIhPeCCNDSVEuQVFTVC5JUV9MQVNUU0FMRVBSSUNFLjMvMTUvMjAyNAEAAACoPnwAAgAAAAQ2LjA5AAi54xIiE94IBMHgFSIT3ggjQ0lRLlRTVlQuSVFfTEFTVFNBTEVQUklDRS4zLzE1LzIwMjQFAAAAAAAAAAgAAAAUKEludmFsaWQgSWRlbnRpZmllcikIueMSIhPeCODA3hUiE94IH0NJUS5BTEdTLklRX0xBU1RTQUxFUFJJQ0UuNDUzNzYBAAAAM56oIgIAAAAHMjMuNDY3NQAIueMSIhPeCODA3hUiE94II0NJUS5DUk5YLklRX0xBU1RTQUxFUFJJQ0UuMy8xOS8yMDI0AQAAAP9fuRACAAAABTQ1LjE4AAi54xIiE94I4MDeFSIT3ggfQ0lRLlNFRUwuSVFfTEFTVFNBTEVQUklDRS40NTM2OQEAAADsNP0XAwAAAAAAkUi2EiIT3gjgwN4VIhPeCChDSVEuTVJLLklRX1BSSUNFX1ZPTF9ISVNUXzZNVEguMy8xOS8yMDI0AQAAAPZmBAACAAAABzE2LjA1NDkAkUi2EiIT3ghUUt4VIhPeCB9DSVEu</t>
  </si>
  <si>
    <t>QUVPTi5JUV9MQVNUU0FMRVBSSUNFLjQ1Mzc3AQAAAAb/xQ4CAAAACjgyMS41MTk5MzQAkUi2EiIT3ggbK94VIhPeCCNDSVEuVEZGUC5JUV9MQVNUU0FMRVBSSUNFLjMvMjAvMjAyNAEAAADqNAsAAgAAAAU0Mi42NQCRSLYSIhPeCCLd3RUiE94IH0NJUS5BUlFULklRX0xBU1RTQUxFUFJJQ0UuNDUzMDMBAAAAKGG5IAIAAAAEMy42NACj2ZUTIhPeCDKQBBYiE94IH0NJUS5URVZBLklRX0xBU1RTQUxFUFJJQ0UuNDUzMDkBAAAAT7MEAAIAAAAFMTAuOTkAdRuIEyIT3givJwIWIhPeCCBDSVEuSVBTRVkuSVFfTEFTVFNBTEVQUklDRS40NTMxNQEAAABGEAIAAwAAAAAASAyKEyIT3giLuf8VIhPeCB9DSVEuQUxWTy5JUV9MQVNUU0FMRVBSSUNFLjQ1MzI3AQAAAD2JUSkCAAAABTE1LjQ5AEgMihMiE94IRIH+FSIT3ggfQ0lRLkxDVFguSVFfTEFTVFNBTEVQUklDRS40NTMzMQEAAAAWZAAAAgAAAAQxLjA4AFYXURMiE94I/NT8FSIT3ggnQ0lRLkxMWS5JUV9QUklDRV9WT0xfSElTVF82TVRILjIvNi8yMDI0AQAAABtbBAACAAAABzMzLjA4MDYAVhdREyIT3gibnPsVIhPeCB9DSVEuU0FWQS5JUV9MQVNUU0FMRVBSSUNFLjQ1MzI4AQAAAC+kAQACAAAABTIzLjY2AJI9URMiE94IvbD4FSIT3ggfQ0lRLkFUSEEuSVFfTEFTVFNBTEVQUklDRS40NTMzNwEAAAAcEdsPAgAAAAQzNi42AJI9URMiE94IvbD4FSIT3ggpQ0lR</t>
  </si>
  <si>
    <t>Lk5VVkwuSVFfUFJJQ0VfVk9MX0hJU1RfNk1USC4yLzEyLzIwMjQBAAAAhWzeKQIAAAAHNTkuODEyOQDtY1ETIhPeCF1H9hUiE94IH0NJUS5CTVJOLklRX0xBU1RTQUxFUFJJQ0UuNDUzMzEBAAAABWQAAAIAAAAFODguNDYA7WNREyIT3ghdR/YVIhPeCClDSVEuUEJZSS5JUV9QUklDRV9WT0xfSElTVF82TVRILjIvMTMvMjAyNAEAAAACaqwHAgAAAAc2Ny4zNjEzAO1jURMiE94IXUf2FSIT3ggfQ0lRLkdMU0kuSVFfTEFTVFNBTEVQUklDRS40NTM0MwEAAABGUPAmAgAAAAUxMy4xNgBD1SATIhPeCNbX8xUiE94IH0NJUS5BTVBFLklRX0xBU1RTQUxFUFJJQ0UuNDUzNDMBAAAA+akLBQIAAAAEMS45NACV/CATIhPeCNbX8xUiE94IIkNJUS5BWk4uSVFfTEFTVFNBTEVQUklDRS4yLzE3LzIwMjQBAAAAhiMFAAIAAAAGMTAwLjk0AMglIRMiE94I1tfzFSIT3ggpQ0lRLlRFVkEuSVFfUFJJQ0VfVk9MX0hJU1RfNk1USC4yLzIwLzIwMjQBAAAAT7MEAAIAAAAHMzUuMzkyMgC2SiETIhPeCEM78xUiE94IH0NJUS5FTkxWLklRX0xBU1RTQUxFUFJJQ0UuNDUzNTABAAAAO+gBBQIAAAAEMi45MgC2SiETIhPeCFif8hUiE94IH0NJUS5QSFZTLklRX0xBU1RTQUxFUFJJQ0UuNDUzNTEBAAAAcIsEGAIAAAAFMjIuOTQAtkohEyIT3gi7AvIVIhPeCClDSVEuQ09HVC5JUV9QUklDRV9WT0xfSElTVF82TVRILjIvMjMvMjAyNAEA</t>
  </si>
  <si>
    <t>AABp1EQoAgAAAAgxNDcuNTI5NwCIdSETIhPeCJON8RUiE94II0NJUS5LQUxWLklRX0xBU1RTQUxFUFJJQ0UuMi8yNS8yMDI0AQAAABCOJQgCAAAABTEyLjU4AIh1IRMiE94IewvxFSIT3ggfQ0lRLkJHTkUuSVFfTEFTVFNBTEVQUklDRS40NTM1NQEAAADg5N0GAwAAAAAAiHUhEyIT3gglb/AVIhPeCB9DSVEuR0lMRC5JUV9MQVNUU0FMRVBSSUNFLjQ1MzQ1AQAAAEpxAAACAAAABTczLjU1AIh1IRMiE94IQfrvFSIT3ggfQ0lRLkNHT04uSVFfTEFTVFNBTEVQUklDRS40NTM1NgEAAADEiOgGAgAAAAU0MS40OQCIdSETIhPeCKKE7xUiE94IKUNJUS5TSUxPLklRX1BSSUNFX1ZPTF9ISVNUXzZNVEguMi8yOC8yMDI0AQAAABovtAcCAAAABzY2LjI4NjEAiHUhEyIT3ggZAO8VIhPeCCNDSVEuQkxSWC5JUV9MQVNUU0FMRVBSSUNFLjIvMjgvMjAyNAEAAAAohkwAAgAAAAUwLjMxNQD7uBUTIhPeCAZk7hUiE94IH0NJUS5DTE5OLklRX0xBU1RTQUxFUFJJQ0UuNDUzNTgBAAAAZEk7FAIAAAAEOC4xMwD7uBUTIhPeCOXS7RUiE94IH0NJUS5BVFJBLklRX0xBU1RTQUxFUFJJQ0UuNDUzNTABAAAA0i7LDgIAAAAHMTkuMDEyNQD7uBUTIhPeCAFe7RUiE94IH0NJUS5MRVhYLklRX0xBU1RTQUxFUFJJQ0UuNDUzNTkBAAAAK3uPAQIAAAADNS41APu4FRMiE94I3+jsFSIT3ggoQ0lRLkNMUkIuSVFfUFJJQ0VfVk9MX0hJU1Rf</t>
  </si>
  <si>
    <t>Nk1USC4zLzQvMjAyNAEAAADz7j0CAgAAAAc4OC40MDYyAPu4FRMiE94IREzsFSIT3ggiQ0lRLkxOVEguSVFfTEFTVFNBTEVQUklDRS4zLzQvMjAyNAEAAAB4a34AAgAAAAU2NS4zNgD7uBUTIhPeCDbX6xUiE94IHkNJUS5HU0suSVFfTEFTVFNBTEVQUklDRS40NTM2MgEAAADyMwQAAgAAAAUxNi43NQD7uBUTIhPeCFld6xUiE94IH0NJUS5NTlBSLklRX0xBU1RTQUxFUFJJQ0UuNDUzNTUBAAAAS6YkEgIAAAAGNC45NTA1APu4FRMiE94IR8HqFSIT3ggeQ0lRLkxMWS5JUV9MQVNUU0FMRVBSSUNFLjQ1MzU1AQAAABtbBAACAAAABjc5Mi4yOAD7uBUTIhPeCI/55xUiE94IHkNJUS5PUEsuSVFfTEFTVFNBTEVQUklDRS40NTM1NQEAAACPuf0BAgAAAAExAPu4FRMiE94Ij/nnFSIT3ggiQ0lRLkJNRUEuSVFfTEFTVFNBTEVQUklDRS4zLzYvMjAyNAEAAADHmHEpAgAAAAQxNS44APu4FRMiE94Ij/nnFSIT3ggiQ0lRLkFTTE4uSVFfTEFTVFNBTEVQUklDRS4zLzYvMjAyNAUAAAAAAAAACAAAABQoSW52YWxpZCBJZGVudGlmaWVyKfu4FRMiE94Ij/nnFSIT3gghQ0lRLkJNWS5JUV9MQVNUU0FMRVBSSUNFLjMvNy8yMDI0AQAAAMZkAAACAAAABTUzLjI4APopGBMiE94Ir5HlFSIT3ggiQ0lRLklNUk4uSVFfTEFTVFNBTEVQUklDRS4zLzcvMjAyNAEAAADzTHUAAgAAAAQ0LjU1APopGBMiE94Ir5HlFSIT3ggiQ0lRLktZ</t>
  </si>
  <si>
    <t>VFguSVFfTEFTVFNBTEVQUklDRS4zLzgvMjAyNAEAAABhrcomAgAAAAUyOC42NwAIueMSIhPeCK+R5RUiE94IH0NJUS5BUlFULklRX0xBU1RTQUxFUFJJQ0UuNDUzNjYBAAAAKGG5IAIAAAAFMTAuNjYACLnjEiIT3givkeUVIhPeCCNDSVEuSU5DWS5JUV9MQVNUU0FMRVBSSUNFLjMvMTEvMjAyNAEAAACaFAUAAgAAAAU2MC43OQAIueMSIhPeCK+R5RUiE94IIkNJUS5MTFkuSVFfTEFTVFNBTEVQUklDRS4zLzExLzIwMjQBAAAAG1sEAAIAAAAGNzM0LjM3AAi54xIiE94IyijjFSIT3ggfQ0lRLlRWVFguSVFfTEFTVFNBTEVQUklDRS40NTM2OQEAAABB1PUHAgAAAAQ3LjE4AAi54xIiE94IyijjFSIT3ggfQ0lRLlBUR1guSVFfTEFTVFNBTEVQUklDRS40NTM2OQEAAADcZrQHAgAAAAUyOC40NgAIueMSIhPeCMoo4xUiE94II0NJUS5MUk1SLklRX0xBU1RTQUxFUFJJQ0UuMy8xMS8yMDI0AQAAABdgHSICAAAABDguNjMACLnjEiIT3gjKKOMVIhPeCB9DSVEuQ1JOWC5JUV9MQVNUU0FMRVBSSUNFLjQ1MzcwAQAAAP9fuRACAAAABTQ1LjE4AAi54xIiE94IyijjFSIT3ggeQ0lRLkxMWS5JUV9MQVNUU0FMRVBSSUNFLjQ1MzcxAQAAABtbBAACAAAABjc3Mi44NgAIueMSIhPeCATB4BUiE94IH0NJUS5TUFJCLklRX0xBU1RTQUxFUFJJQ0UuNDUzNzEBAAAA8RLmGAIAAAAJNTUuODYwMTM5AAi54xIiE94IBMHgFSIT3ggf</t>
  </si>
  <si>
    <t>Q0lRLlBDUlguSVFfTEFTVFNBTEVQUklDRS40NTM3MQEAAAB0awAAAgAAAAUzMC4wMgAIueMSIhPeCATB4BUiE94IH0NJUS5CR05FLklRX0xBU1RTQUxFUFJJQ0UuNDUzNzIBAAAA4OTdBgMAAAAAAAi54xIiE94IBMHgFSIT3ggfQ0lRLkFRU1QuSVFfTEFTVFNBTEVQUklDRS40NTM3MwEAAACoPnwAAgAAAAQ0LjM4AAi54xIiE94IBMHgFSIT3ggfQ0lRLlRTVlQuSVFfTEFTVFNBTEVQUklDRS40NTM3MwUAAAAAAAAACAAAABQoSW52YWxpZCBJZGVudGlmaWVyKQi54xIiE94I4MDeFSIT3ggoQ0lRLklWQS5JUV9QUklDRV9WT0xfSElTVF82TVRILjMvMTgvMjAyNAEAAACKh00QAgAAAAc1MC4zNTQ1AAi54xIiE94I4MDeFSIT3ggfQ0lRLkNSTlguSVFfTEFTVFNBTEVQUklDRS40NTM3NwEAAAD/X7kQAgAAAAU0My4zNwAIueMSIhPeCODA3hUiE94II0NJUS5TRUVMLklRX0xBU1RTQUxFUFJJQ0UuMy8xOS8yMDI0AQAAAOw0/RcDAAAAAACRSLYSIhPeCODA3hUiE94IHkNJUS5NUksuSVFfTEFTVFNBTEVQUklDRS40NTM2OQEAAAD2ZgQAAgAAAAYxMjEuNDQAkUi2EiIT3ghUUt4VIhPeCChDSVEuQk1ZLklRX1BSSUNFX1ZPTF9ISVNUXzZNVEguMy8yMC8yMDI0AQAAAMZkAAACAAAABzIxLjk1NzMAkUi2EiIT3ggbK94VIhPeCCNDSVEuQk5PWC5JUV9MQVNUU0FMRVBSSUNFLjMvMjEvMjAyNAUAAAAAAAAACAAAABQo</t>
  </si>
  <si>
    <t>SW52YWxpZCBJZGVudGlmaWVyKZFIthIiE94I4Y7dFSIT3ggfQ0lRLk5LVFguSVFfTEFTVFNBTEVQUklDRS40NTM3MQEAAACN5HQgAgAAAAUxMi43OQCRSLYSIhPeCLYZ3RUiE94IKUNJUS5BQkJWLklRX1BSSUNFX1ZPTF9ISVNUXzZNVEguMy8yMi8yMDI0AQAAAAoBdQgCAAAABzE2LjMyNjgAkUi2EiIT3gi2Gd0VIhPeCB9DSVEuVEVMTy5JUV9MQVNUU0FMRVBSSUNFLjQ1MzgwAQAAAMTjLG0CAAAABDUuMTUAkUi2EiIT3gg7UtwVIhPeCClDSVEuQVJXUi5JUV9QUklDRV9WT0xfSElTVF82TVRILjMvMjUvMjAyNAEAAACGGQMAAgAAAAc3OC4xMjg4AJFIthIiE94I1rPZFSIT3ggfQ0lRLlNZUlMuSVFfTEFTVFNBTEVQUklDRS40NTM4MwEAAACehRUOAgAAAAQ1LjA0AJFIthIiE94I1rPZFSIT3ggfQ0lRLlZLVFguSVFfTEFTVFNBTEVQUklDRS40NTM3NgEAAADyvLUOAgAAAAU2OS4xOQCRSLYSIhPeCNaz2RUiE94IH0NJUS5BVE5NLklRX0xBU1RTQUxFUFJJQ0UuNDUzODQBAAAAm7d3AAIAAAADOC42AJFIthIiE94IMUzXFSIT3ggjQ0lRLk1STkEuSVFfTEFTVFNBTEVQUklDRS4zLzI3LzIwMjQBAAAA/IOrBwIAAAAGMTEwLjU5AJFIthIiE94IMUzXFSIT3ggpQ0lRLlJFR04uSVFfUFJJQ0VfVk9MX0hJU1RfNk1USC4zLzI3LzIwMjQBAAAAs4MAAAIAAAAHMTYuOTg2MgCRSLYSIhPeCDFM1xUiE94II0NJUS5S</t>
  </si>
  <si>
    <t>VlBILklRX0xBU1RTQUxFUFJJQ0UuMy8yNy8yMDI0AQAAAJSEkAcCAAAAAzMuOQCRSLYSIhPeCDFM1xUiE94IH0NJUS5HSUxELklRX0xBU1RTQUxFUFJJQ0UuNDUzNzgBAAAASnEAAAIAAAAFNzMuMDEApZmsEiIT3ghp49QVIhPeCClDSVEuR1JUWC5JUV9QUklDRV9WT0xfSElTVF82TVRILjMvMjgvMjAyNAEAAABtuWoNAgAAAAYxNzAuNTEApZmsEiIT3ghp49QVIhPeCB9DSVEuQ0FETC5JUV9MQVNUU0FMRVBSSUNFLjQ1Mzg2AQAAAKtaOgICAAAAAzYuNAClmawSIhPeCGnj1BUiE94IIkNJUS5OVkNSLklRX0xBU1RTQUxFUFJJQ0UuNC8xLzIwMjQBAAAA6HwfBAIAAAAFMTUuNDkApZmsEiIT3ghp49QVIhPeCChDSVEuVlRHTi5JUV9QUklDRV9WT0xfSElTVF82TVRILjQvMS8yMDI0AQAAAAtedQACAAAABzg0LjE0ODIApZmsEiIT3ghp49QVIhPeCCJDSVEuQVROTS5JUV9MQVNUU0FMRVBSSUNFLjQvMS8yMDI0AQAAAJu3dwACAAAABDguNTYApZmsEiIT3ghp49QVIhPeCCBDSVEuWkxEUEYuSVFfTEFTVFNBTEVQUklDRS40NTM4MwEAAAAiWxMAAwAAAAAApZmsEiIT3ghocdIVIhPeCB9DSVEuQ1JCUC5JUV9MQVNUU0FMRVBSSUNFLjQ1MzkxAQAAACRvJA8CAAAABTM3LjQ3AKWZrBIiE94IaHHSFSIT3gghQ0lRLk1SSy5JUV9MQVNUU0FMRVBSSUNFLjQvMy8yMDI0AQAAAPZmBAACAAAABTEyOS45AKWZrBIiE94I</t>
  </si>
  <si>
    <t>aHHSFSIT3ggfQ0lRLk1STkEuSVFfTEFTVFNBTEVQUklDRS40NTM4NAEAAAD8g6sHAgAAAAYxMDMuNjEApZmsEiIT3ghocdIVIhPeCCdDSVEuR1NLLklRX1BSSUNFX1ZPTF9ISVNUXzZNVEguNC80LzIwMjQBAAAA8jMEAAIAAAAHMTcuOTQ0MwClmawSIhPeCH4H0BUiE94IIkNJUS5DQURMLklRX0xBU1RTQUxFUFJJQ0UuNC80LzIwMjQBAAAAq1o6AgIAAAADNi40AKWZrBIiE94IfgfQFSIT3gghQ0lRLkhDTS5JUV9MQVNUU0FMRVBSSUNFLjQvNS8yMDI0AQAAALuvlgECAAAABDIuNjEApZmsEiIT3gh+B9AVIhPeCChDSVEuT0NHTi5JUV9QUklDRV9WT0xfSElTVF82TVRILjQvNS8yMDI0AQAAALfAHBICAAAACDEwMy4wODcxAKWZrBIiE94IfgfQFSIT3gghQ0lRLkJNWS5JUV9MQVNUU0FMRVBSSUNFLjQvNS8yMDI0AQAAAMZkAAACAAAABTUxLjMyAKWZrBIiE94IfgfQFSIT3ggnQ0lRLkpOSi5JUV9QUklDRV9WT0xfSElTVF82TVRILjQvNS8yMDI0AQAAAJ0hAgACAAAABzEzLjQyMDcAJAevEiIT3gh+B9AVIhPeCCFDSVEuWExPLklRX0xBU1RTQUxFUFJJQ0UuNC83LzIwMjQBAAAAPIzGFQIAAAADMS4yACQHrxIiE94I/nLPFSIT3ggfQ0lRLkJOVFguSVFfTEFTVFNBTEVQUklDRS40NTM5NAEAAAB7Ow0DAgAAAAU4Ni40OADFOWwSIhPeCC6kzRUiE94IKENJUS5TTkRYLklRX1BSSUNFX1ZPTF9ISVNUXzZNVEgu</t>
  </si>
  <si>
    <t>NC84LzIwMjQBAAAAyqafAQIAAAAHNTEuMDk0NQDFOWwSIhPeCC6kzRUiE94IH0NJUS5QU1RYLklRX0xBU1RTQUxFUFJJQ0UuNDUzODcBAAAASrkFAAMAAAAAAMU5bBIiE94ILqTNFSIT3ggfQ0lRLk5VVkwuSVFfTEFTVFNBTEVQUklDRS40NTM4NwEAAACFbN4pAgAAAAQ3MC4yAMU5bBIiE94ILqTNFSIT3ggfQ0lRLkNBREwuSVFfTEFTVFNBTEVQUklDRS40NTM4NwEAAACrWjoCAgAAAAQ2LjY0AMU5bBIiE94ILqTNFSIT3ggfQ0lRLkFMWE8uSVFfTEFTVFNBTEVQUklDRS40NTM4NwEAAACQA/8RAgAAAAUxMi4yMwDFOWwSIhPeCMNVzRUiE94IHkNJUS5QVE4uSVFfTEFTVFNBTEVQUklDRS40NTM4NwEAAAAIL9wMAgAAAAUwLjA3NADFOWwSIhPeCLTczBUiE94IH0NJUS5FTlRYLklRX0xBU1RTQUxFUFJJQ0UuNDUzODcBAAAALqZgBgIAAAAFMS45ODUAxTlsEiIT3ggdjswVIhPeCB9DSVEuQ09SVC5JUV9MQVNUU0FMRVBSSUNFLjQ1Mzg3AQAAANK5FQACAAAABDI1LjIAxTlsEiIT3gghGcwVIhPeCB5DSVEuTlZTLklRX0xBU1RTQUxFUFJJQ0UuNDUzODcBAAAAqbXoDwIAAAAENC4yMQDFOWwSIhPeCOTKyxUiE94IH0NJUS5BVE9TLklRX0xBU1RTQUxFUFJJQ0UuNDUzOTABAAAAnsz5BQIAAAAEMS43NQDFOWwSIhPeCFsqyxUiE94IH0NJUS5NVEVNLklRX0xBU1RTQUxFUFJJQ0UuNDUzOTABAAAAmZupAQMAAAAA</t>
  </si>
  <si>
    <t>AMU5bBIiE94IEdzKFSIT3ggfQ0lRLkZIVFguSVFfTEFTVFNBTEVQUklDRS40NTM5MAEAAADoYxIgAgAAAAQ3LjE3AMU5bBIiE94I8ZfKFSIT3ggfQ0lRLkNSVlMuSVFfTEFTVFNBTEVQUklDRS40NTM5MAEAAAD0sKYQAgAAAAQxLjcxAMU5bBIiE94ITrfJFSIT3ggfQ0lRLkJDVFguSVFfTEFTVFNBTEVQUklDRS40NTM5MAEAAAD23KEPAgAAAAk0MzkuNDk5NzgAxTlsEiIT3ggNackVIhPeCB9DSVEuQ0dFTi5JUV9MQVNUU0FMRVBSSUNFLjQ1MzkwAQAAAOOIAgACAAAABDIuMzMAxTlsEiIT3gjDGskVIhPeCB9DSVEuQ0NDQy5JUV9MQVNUU0FMRVBSSUNFLjQ1MzkwAQAAAATOKhMCAAAABDcuNjYAxTlsEiIT3ghpRMgVIhPeCB9DSVEuV0hXSy5JUV9MQVNUU0FMRVBSSUNFLjQ1MzkxAQAAAF+3pBkCAAAAAzIuMQDFOWwSIhPeCCP2xxUiE94IH0NJUS5BTEtTLklRX0xBU1RTQUxFUFJJQ0UuNDUzOTEBAAAA/F8AAAIAAAAFMjYuNzMAou0rEiIT3giUWccVIhPeCB9DSVEuQU1MWC5JUV9MQVNUU0FMRVBSSUNFLjQ1MzkxAQAAAAag5xICAAAABDIuNjcAou0rEiIT3ghEC8cVIhPeCB9DSVEuRVdUWC5JUV9MQVNUU0FMRVBSSUNFLjQ1Mzk0AQAAANI2fyMCAAAABTE2LjM3AMU5bBIiE94ILqTNFSIT3ggfQ0lRLkNMUkIuSVFfTEFTVFNBTEVQUklDRS40NTMxNAEAAADz7j0CAgAAAAkxMTAuNzAwMTEAhgSWEyIT3ggy</t>
  </si>
  <si>
    <t>kAQWIhPeCB9DSVEuTlVWTC5JUV9MQVNUU0FMRVBSSUNFLjQ1MzMxAQAAAIVs3ikCAAAABTgyLjQ1AO1jURMiE94IXUf2FSIT3ggpQ0lRLk5SU04uSVFfUFJJQ0VfVk9MX0hJU1RfNk1USC4yLzIxLzIwMjQBAAAAamXlIAIAAAAIMTI2LjQ3MzcAtkohEyIT3ghYn/IVIhPeCB9DSVEuQkxSWC5JUV9MQVNUU0FMRVBSSUNFLjQ1MzU3AQAAACiGTAACAAAABTAuMzE4APu4FRMiE94IBmTuFSIT3ggoQ0lRLkFMTlkuSVFfUFJJQ0VfVk9MX0hJU1RfNk1USC4zLzUvMjAyNAEAAABzrCoAAgAAAAczOS4zNTc3APu4FRMiE94IR8HqFSIT3ggnQ0lRLkJNWS5JUV9QUklDRV9WT0xfSElTVF82TVRILjMvNy8yMDI0AQAAAMZkAAACAAAABzIxLjQ5ODcA+ikYEyIT3givkeUVIhPeCB5DSVEuTExZLklRX0xBU1RTQUxFUFJJQ0UuNDUzNjkBAAAAG1sEAAIAAAAGNzYyLjY2AAi54xIiE94IyijjFSIT3ggeQ0lRLlNMTi5JUV9MQVNUU0FMRVBSSUNFLjQ1MzcxAQAAAPDLAgACAAAABTIyLjkxAAi54xIiE94IyijjFSIT3ggfQ0lRLkJHTkUuSVFfTEFTVFNBTEVQUklDRS40NTM2NAEAAADg5N0GAwAAAAAACLnjEiIT3ggEweAVIhPeCB5DSVEuSVZBLklRX0xBU1RTQUxFUFJJQ0UuNDUzNjYBAAAAiodNEAIAAAAEMy43MQAIueMSIhPeCODA3hUiE94IHkNJUS5NUksuSVFfTEFTVFNBTEVQUklDRS40NTM3NwEAAAD2ZgQAAgAAAAYx</t>
  </si>
  <si>
    <t>MjUuNTIAkUi2EiIT3ghUUt4VIhPeCB9DSVEuTktUWC5JUV9MQVNUU0FMRVBSSUNFLjQ1Mzc5AQAAAI3kdCACAAAABTEwLjgxAJFIthIiE94IthndFSIT3ggjQ0lRLkFNUlguSVFfTEFTVFNBTEVQUklDRS4zLzI1LzIwMjQBAAAAV5xKAgIAAAAENS45MQCRSLYSIhPeCNaz2RUiE94IH0NJUS5aVlJBLklRX0xBU1RTQUxFUFJJQ0UuNDUzNzYBAAAAjrvgAwIAAAAENS42NACRSLYSIhPeCDFM1xUiE94IKUNJUS5URkZQLklRX1BSSUNFX1ZPTF9ISVNUXzZNVEguMy8yNy8yMDI0AQAAAOo0CwACAAAABzc1LjcwODEAkUi2EiIT3ggxTNcVIhPeCB9DSVEuTFBDTi5JUV9MQVNUU0FMRVBSSUNFLjQ1Mzg2AQAAABr0egACAAAABDQuNjEApZmsEiIT3ggxTNcVIhPeCCNDSVEuQ0FETC5JUV9MQVNUU0FMRVBSSUNFLjMvMjgvMjAyNAEAAACrWjoCAgAAAAQxLjU4AKWZrBIiE94IaePUFSIT3ggfQ0lRLlZSVFguSVFfTEFTVFNBTEVQUklDRS40NTM4MAEAAACLjQAAAgAAAAY0MTguMDEApZmsEiIT3ghp49QVIhPeCClDSVEuWkxEUEYuSVFfUFJJQ0VfVk9MX0hJU1RfNk1USC40LzIvMjAyNAEAAAAiWxMAAwAAAAAApZmsEiIT3ghocdIVIhPeCChDSVEuRkdFTi5JUV9QUklDRV9WT0xfSElTVF82TVRILjQvMy8yMDI0AQAAAERvAAACAAAACDE3MS43MDA2AKWZrBIiE94IaHHSFSIT3ggoQ0lRLk1STkEuSVFfUFJJQ0VfVk9M</t>
  </si>
  <si>
    <t>X0hJU1RfNk1USC40LzMvMjAyNAEAAAD8g6sHAgAAAAY1NS41NjYApZmsEiIT3ghocdIVIhPeCCJDSVEuQU1MWC5JUV9MQVNUU0FMRVBSSUNFLjQvNC8yMDI0AQAAAAag5xICAAAABDIuNjEApZmsEiIT3gh+B9AVIhPeCCJDSVEuQ1JCVS5JUV9MQVNUU0FMRVBSSUNFLjQvNC8yMDI0AQAAAC9HORACAAAABDQuNTQApZmsEiIT3gh+B9AVIhPeCCJDSVEuSUdYVC5JUV9MQVNUU0FMRVBSSUNFLjQvNS8yMDI0AQAAAASoywEDAAAAAAClmawSIhPeCH4H0BUiE94IH0NJUS5IT1dMLklRX0xBU1RTQUxFUFJJQ0UuNDUzODYBAAAA4SVsIQIAAAABNgAkB68SIhPeCH4H0BUiE94IH0NJUS5SRVBMLklRX0xBU1RTQUxFUFJJQ0UuNDUzODcBAAAAROgSIgIAAAAENy4zNgDFOWwSIhPeCP5yzxUiE94IKENJUS5FV1RYLklRX1BSSUNFX1ZPTF9ISVNUXzZNVEguNC83LzIwMjQBAAAA0jZ/IwIAAAAHOTMuMTExNwDFOWwSIhPeCC6kzRUiE94IH0NJUS5QU1RYLklRX0xBU1RTQUxFUFJJQ0UuNDUzOTcBAAAASrkFAAMAAAAAAMU5bBIiE94ILqTNFSIT3ggoQ0lRLklOS1QuSVFfUFJJQ0VfVk9MX0hJU1RfNk1USC40LzgvMjAyNAEAAADE0RZkAgAAAAc4NC40ODgyAMU5bBIiE94ILqTNFSIT3ggiQ0lRLkFMWE8uSVFfTEFTVFNBTEVQUklDRS40LzgvMjAyNAEAAACQA/8RAgAAAAUxMi4xNADFOWwSIhPeCMNVzRUiE94IKENJUS5P</t>
  </si>
  <si>
    <t>UklDLklRX1BSSUNFX1ZPTF9ISVNUXzZNVEguNC84LzIwMjQBAAAAVEsaEgIAAAAHNzAuNzE5NgDFOWwSIhPeCGy1zBUiE94IH0NJUS5DQ0NDLklRX0xBU1RTQUxFUFJJQ0UuNDUzODcBAAAABM4qEwIAAAAENy41MgDFOWwSIhPeCAdAzBUiE94IIUNJUS5OVlMuSVFfTEFTVFNBTEVQUklDRS40LzgvMjAyNAEAAACptegPAgAAAAQ0LjIxAMU5bBIiE94I5MrLFSIT3ggoQ0lRLklNUlguSVFfUFJJQ0VfVk9MX0hJU1RfNk1USC40LzkvMjAyNAEAAADVDmESAgAAAAgxNTkuNDA0MQDFOWwSIhPeCFsqyxUiE94IH0NJUS5SQVBULklRX0xBU1RTQUxFUFJJQ0UuNDUzOTABAAAA0CBWEAIAAAAFNjYuNTYAxTlsEiIT3gjxl8oVIhPeCCdDSVEuQVpOLklRX1BSSUNFX1ZPTF9ISVNUXzZNVEguNC85LzIwMjQBAAAAhiMFAAIAAAAHMjMuODU5NADFOWwSIhPeCJIFyhUiE94IKENJUS5NQ1JCLklRX1BSSUNFX1ZPTF9ISVNUXzZNVEguNC85LzIwMjQBAAAA02JBDQIAAAAIMTM1LjM1NjYAxTlsEiIT3ghOt8kVIhPeCB9DSVEuQUxYTy5JUV9MQVNUU0FMRVBSSUNFLjQ1MzkwAQAAAJAD/xECAAAABTEyLjE0AMU5bBIiE94IwxrJFSIT3ggnQ0lRLlBGRS5JUV9QUklDRV9WT0xfSElTVF82TVRILjQvOS8yMDI0AQAAAN55AgACAAAABzI2Ljc5NzEAxTlsEiIT3gjO1sgVIhPeCCFDSVEuT05DLklRX0xBU1RTQUxFUFJJQ0UuNC85</t>
  </si>
  <si>
    <t>LzIwMjQBAAAA4OTdBgIAAAAGMTU0LjAyAMU5bBIiE94IqpLIFSIT3ggdQ0lRLllTLklRX0xBU1RTQUxFUFJJQ0UuNDUzOTkBAAAAeNFaDAMAAAAAAMU5bBIiE94II/bHFSIT3ggpQ0lRLkFMS1MuSVFfUFJJQ0VfVk9MX0hJU1RfNk1USC40LzEwLzIwMjQBAAAA/F8AAAIAAAAHNDIuNzYwMwCi7SsSIhPeCJRZxxUiE94II0NJUS5BTUxYLklRX0xBU1RTQUxFUFJJQ0UuNC8xMC8yMDI0AQAAAAag5xICAAAABDIuNDYAou0rEiIT3ghEC8cVIhPeCClDSVEuQUxMSy5JUV9QUklDRV9WT0xfSElTVF82TVRILjEvMTYvMjAyNAEAAAA5/m0NAwAAAAAAhgSWEyIT3ggykAQWIhPeCChDSVEuVEFLLklRX1BSSUNFX1ZPTF9ISVNUXzZNVEguMi8xMi8yMDI0AQAAACxYDQACAAAABzE5LjQ2ODYA7WNREyIT3ghdR/YVIhPeCB9DSVEuTlJTTi5JUV9MQVNUU0FMRVBSSUNFLjQ1MzQyAQAAAGpl5SACAAAABDEuMzcAtkohEyIT3ghYn/IVIhPeCClDSVEuS0FOVC5JUV9QUklDRV9WT0xfSElTVF82TVRILjIvMjkvMjAyNAUAAAAAAAAACAAAABQoSW52YWxpZCBJZGVudGlmaWVyKfu4FRMiE94I0jzuFSIT3ggoQ0lRLklNTVAuSVFfUFJJQ0VfVk9MX0hJU1RfNk1USC4zLzUvMjAyNAEAAAAVQmYAAgAAAAc1MS43Nzc2APu4FRMiE94I8WHqFSIT3ggpQ0lRLlZUWVguSVFfUFJJQ0VfVk9MX0hJU1RfNk1USC4zLzExLzIwMjQBAAAA</t>
  </si>
  <si>
    <t>BBQWKAIAAAAIMjY1Ljk1MDcACLnjEiIT3gjKKOMVIhPeCB5DSVEuTExZLklRX0xBU1RTQUxFUFJJQ0UuNDUzNjMBAAAAG1sEAAIAAAAGNzU0Ljk1APu4FRMiE94Ij/nnFSIT3ggoQ0lRLk9OQy5JUV9QUklDRV9WT0xfSElTVF82TVRILjMvMTQvMjAyNAEAAADg5N0GAgAAAAc1MC40OTg0AAi54xIiE94IBMHgFSIT3ggfQ0lRLlBNVlAuSVFfTEFTVFNBTEVQUklDRS40NTM2NgEAAACX6n0PAgAAAAQxLjc2AAi54xIiE94I4MDeFSIT3ggpQ0lRLlRTSEEuSVFfUFJJQ0VfVk9MX0hJU1RfNk1USC4zLzE5LzIwMjQBAAAAo5GxJwIAAAAIMTA4Ljc2MzQAkUi2EiIT3ghUUt4VIhPeCB9DSVEuT0tZTy5JUV9MQVNUU0FMRVBSSUNFLjQ1MzcyAQAAAEvPtgICAAAABDEuNzYAkUi2EiIT3gi68twVIhPeCCNDSVEuQVRYUy5JUV9MQVNUU0FMRVBSSUNFLjMvMjUvMjAyNAEAAAAIIQIGAgAAAAUxNC43NQCRSLYSIhPeCNaz2RUiE94II0NJUS5aVlJBLklRX0xBU1RTQUxFUFJJQ0UuMy8yNi8yMDI0AQAAAI674AMCAAAABDUuNzIAkUi2EiIT3ggxTNcVIhPeCClDSVEuR01EQS5JUV9QUklDRV9WT0xfSElTVF82TVRILjMvMjcvMjAyNAEAAABAfQgAAwAAAAAAkUi2EiIT3ggxTNcVIhPeCClDSVEuR0lMRC5JUV9QUklDRV9WT0xfSElTVF82TVRILjMvMjgvMjAyNAEAAABKcQAAAgAAAAcyNS4wMjYzAKWZrBIiE94IaePUFSIT</t>
  </si>
  <si>
    <t>3ggoQ0lRLkJNWS5JUV9QUklDRV9WT0xfSElTVF82TVRILjMvMjgvMjAyNAEAAADGZAAAAgAAAAcyMi4xNTMzAKWZrBIiE94IaePUFSIT3ggiQ0lRLklST04uSVFfTEFTVFNBTEVQUklDRS40LzEvMjAyNAEAAABO3zkmAgAAAAUzNC4yMQClmawSIhPeCGnj1BUiE94IIkNJUS5WVEdOLklRX0xBU1RTQUxFUFJJQ0UuNC8xLzIwMjQBAAAAC151AAIAAAADNS40AKWZrBIiE94IaePUFSIT3ggjQ0lRLlpMRFBGLklRX0xBU1RTQUxFUFJJQ0UuNC8yLzIwMjQBAAAAIlsTAAMAAAAAAKWZrBIiE94IaHHSFSIT3ggiQ0lRLkZHRU4uSVFfTEFTVFNBTEVQUklDRS40LzMvMjAyNAEAAABEbwAAAgAAAAUzNi43NQClmawSIhPeCGhx0hUiE94IIkNJUS5NUk5BLklRX0xBU1RTQUxFUFJJQ0UuNC8zLzIwMjQBAAAA/IOrBwIAAAAGMTAxLjIxAKWZrBIiE94IaHHSFSIT3ggnQ0lRLkhDTS5JUV9QUklDRV9WT0xfSElTVF82TVRILjQvNS8yMDI0AQAAALuvlgECAAAABzU5LjYwNDIApZmsEiIT3gh+B9AVIhPeCChDSVEuVEFSQS5JUV9QUklDRV9WT0xfSElTVF82TVRILjQvNS8yMDI0AQAAAPihiSACAAAABzkyLjk4NTIApZmsEiIT3gh+B9AVIhPeCCJDSVEuSE9XTC5JUV9MQVNUU0FMRVBSSUNFLjQvNS8yMDI0AQAAAOElbCECAAAABDUuOTIAJAevEiIT3gh+B9AVIhPeCB9DSVEuQUxOWS5JUV9MQVNUU0FMRVBSSUNFLjQ1Mzg3</t>
  </si>
  <si>
    <t>AQAAAHOsKgACAAAABjE1My41NgDFOWwSIhPeCP5yzxUiE94IH0NJUS5FV1RYLklRX0xBU1RTQUxFUFJJQ0UuNDUzODcBAAAA0jZ/IwIAAAAFMTYuOTYAxTlsEiIT3ggupM0VIhPeCChDSVEuS0FOVC5JUV9QUklDRV9WT0xfSElTVF82TVRILjQvOC8yMDI0BQAAAAAAAAAIAAAAFChJbnZhbGlkIElkZW50aWZpZXIpxTlsEiIT3ggupM0VIhPeCB9DSVEuSU5LVC5JUV9MQVNUU0FMRVBSSUNFLjQ1Mzg3AQAAAMTRFmQCAAAABDE1LjYAxTlsEiIT3ggupM0VIhPeCB9DSVEuQUxYTy5JUV9MQVNUU0FMRVBSSUNFLjQ1Mzk3AQAAAJAD/xECAAAABTEyLjg5AMU5bBIiE94IsS7NFSIT3ggfQ0lRLk9SSUMuSVFfTEFTVFNBTEVQUklDRS40NTM4NwEAAABUSxoSAgAAAAUxMC45NwDFOWwSIhPeCGy1zBUiE94IIkNJUS5DQ0NDLklRX0xBU1RTQUxFUFJJQ0UuNC84LzIwMjQBAAAABM4qEwIAAAAENy42NgDFOWwSIhPeCAdAzBUiE94IHkNJUS5OVlMuSVFfTEFTVFNBTEVQUklDRS40NTM5NwEAAACptegPAgAAAAM0LjMAxTlsEiIT3gjkyssVIhPeCB9DSVEuSU1SWC5JUV9MQVNUU0FMRVBSSUNFLjQ1MzkwAQAAANUOYRICAAAABDIuMTIAxTlsEiIT3ghbKssVIhPeCCJDSVEuUkFQVC5JUV9MQVNUU0FMRVBSSUNFLjQvOS8yMDI0AQAAANAgVhACAAAABTY3LjUyAMU5bBIiE94I8ZfKFSIT3gghQ0lRLkFaTi5JUV9MQVNUU0FM</t>
  </si>
  <si>
    <t>RVBSSUNFLjQvOS8yMDI0AQAAAIYjBQACAAAABjEwNy4wOADFOWwSIhPeCLJJyhUiE94IH0NJUS5NQ1JCLklRX0xBU1RTQUxFUFJJQ0UuNDUzOTgBAAAA02JBDQIAAAAGMTIuNzIyAMU5bBIiE94ITrfJFSIT3ggiQ0lRLkFMWE8uSVFfTEFTVFNBTEVQUklDRS40LzkvMjAyNAEAAACQA/8RAgAAAAUxMi4zNADFOWwSIhPeCMMayRUiE94IHkNJUS5QRkUuSVFfTEFTVFNBTEVQUklDRS40NTM5MAEAAADeeQIAAgAAAAUyNi41OADFOWwSIhPeCM7WyBUiE94IKUNJUS5XSFdLLklRX1BSSUNFX1ZPTF9ISVNUXzZNVEguNC8xMC8yMDI0AQAAAF+3pBkCAAAABjEzNy40OADFOWwSIhPeCCP2xxUiE94II0NJUS5BTEtTLklRX0xBU1RTQUxFUFJJQ0UuNC8xMC8yMDI0AQAAAPxfAAACAAAABTI2LjE0AKLtKxIiE94IlFnHFSIT3ggfQ0lRLkFNTFguSVFfTEFTVFNBTEVQUklDRS40NTM5OQEAAAAGoOcSAgAAAAEyAKLtKxIiE94IRAvHFSIT3ggpQ0lRLkNSQlUuSVFfUFJJQ0VfVk9MX0hJU1RfNk1USC40LzEwLzIwMjQBAAAAL0c5EAIAAAAHOTIuMTE3MQCi7SsSIhPeCEuqxhUiE94IKUNJUS5SQ1VTLklRX1BSSUNFX1ZPTF9ISVNUXzZNVEguMS8xOS8yMDI0AQAAADS/ZRMCAAAABzYxLjk3NTkAdRuIEyIT3givJwIWIhPeCCNDSVEuQk1STi5JUV9MQVNUU0FMRVBSSUNFLjIvMTIvMjAyNAEAAAAFZAAAAgAAAAU4OC4xOADt</t>
  </si>
  <si>
    <t>Y1ETIhPeCF1H9hUiE94IKUNJUS5BVE5NLklRX1BSSUNFX1ZPTF9ISVNUXzZNVEguMi8yMi8yMDI0AQAAAJu3dwACAAAABzczLjk4MzEAtkohEyIT3gi7AvIVIhPeCClDSVEuSU1OTi5JUV9QUklDRV9WT0xfSElTVF82TVRILjIvMjkvMjAyNAEAAAAu+QMAAgAAAAc4NS43MzU3APu4FRMiE94I5dLtFSIT3gghQ0lRLkxMWS5JUV9MQVNUU0FMRVBSSUNFLjMvNS8yMDI0AQAAABtbBAACAAAABjc3Ny41OQD7uBUTIhPeCI/55xUiE94IKENJUS5NTk1ELklRX1BSSUNFX1ZPTF9ISVNUXzZNVEguMy83LzIwMjQBAAAAovycJQIAAAAHOTQuODA1MQD6KRgTIhPeCK+R5RUiE94IKUNJUS5UVlRYLklRX1BSSUNFX1ZPTF9ISVNUXzZNVEguMy8xMS8yMDI0AQAAAEHU9QcCAAAACDEwNS42ODAyAAi54xIiE94IyijjFSIT3ggpQ0lRLlhPTUEuSVFfUFJJQ0VfVk9MX0hJU1RfNk1USC4zLzEzLzIwMjQBAAAAoY8AAAIAAAAGNjIuMDM2AAi54xIiE94IBMHgFSIT3ggeQ0lRLk9OQy5JUV9MQVNUU0FMRVBSSUNFLjQ1MzY0AQAAAODk3QYCAAAABjE3Ni40NwAIueMSIhPeCATB4BUiE94IHkNJUS5NUksuSVFfTEFTVFNBTEVQUklDRS40NTM3NgEAAAD2ZgQAAgAAAAYxMjUuMzEACLnjEiIT3gjgwN4VIhPeCClDSVEuQUVPTi5JUV9QUklDRV9WT0xfSElTVF82TVRILjMvMTkvMjAyNAEAAAAG/8UOAgAAAAc5NS4xNDY2AJFIthIi</t>
  </si>
  <si>
    <t>E94IVFLeFSIT3ggpQ0lRLlNNTVQuSVFfUFJJQ0VfVk9MX0hJU1RfNk1USC4zLzIyLzIwMjQBAAAAwy2xAAIAAAAHOTkuNTgzMwCRSLYSIhPeCN7L3BUiE94IH0NJUS5BVFhTLklRX0xBU1RTQUxFUFJJQ0UuNDUzODMBAAAACCECBgIAAAAFMTMuNTEAkUi2EiIT3gjWs9kVIhPeCB9DSVEuUkVHTi5JUV9MQVNUU0FMRVBSSUNFLjQ1MzczAQAAALODAAACAAAABjk2Ny4yNACRSLYSIhPeCNaz2RUiE94IHkNJUS5NUksuSVFfTEFTVFNBTEVQUklDRS40NTM4NAEAAAD2ZgQAAgAAAAYxMzAuMzUAkUi2EiIT3ggxTNcVIhPeCCNDSVEuR01EQS5JUV9MQVNUU0FMRVBSSUNFLjMvMjcvMjAyNAEAAABAfQgAAwAAAAAAkUi2EiIT3ggxTNcVIhPeCCNDSVEuR0lMRC5JUV9MQVNUU0FMRVBSSUNFLjMvMjgvMjAyNAEAAABKcQAAAgAAAAU3My4yNQClmawSIhPeCGnj1BUiE94IHkNJUS5CTVkuSVFfTEFTVFNBTEVQUklDRS40NTM3OAEAAADGZAAAAgAAAAU1My4yNQCRSLYSIhPeCBsr3hUiE94IH0NJUS5JUk9OLklRX0xBU1RTQUxFUFJJQ0UuNDUzOTABAAAATt85JgIAAAAFMzEuNzgApZmsEiIT3ghp49QVIhPeCB9DSVEuVlRHTi5JUV9MQVNUU0FMRVBSSUNFLjQ1MzkwAQAAAAtedQACAAAABDUuMTcApZmsEiIT3ghp49QVIhPeCCJDSVEuUk9JVi5JUV9MQVNUU0FMRVBSSUNFLjQvMi8yMDI0AQAAADk4zxACAAAABTEwLjky</t>
  </si>
  <si>
    <t>AKWZrBIiE94IaHHSFSIT3ggiQ0lRLkxFTlouSVFfTEFTVFNBTEVQUklDRS40LzMvMjAyNAEAAACUww8WAgAAAAUyMS4yMgClmawSIhPeCGhx0hUiE94IH0NJUS5NUk5BLklRX0xBU1RTQUxFUFJJQ0UuNDUzOTIBAAAA/IOrBwIAAAAGMTA3LjE0AKWZrBIiE94IaHHSFSIT3ggfQ0lRLkFNTFguSVFfTEFTVFNBTEVQUklDRS40NTM4NQEAAAAGoOcSAgAAAAQyLjYzAKWZrBIiE94IfgfQFSIT3ggeQ0lRLkhDTS5JUV9MQVNUU0FMRVBSSUNFLjQ1Mzk0AQAAALuvlgECAAAAAzIuOQClmawSIhPeCH4H0BUiE94IH0NJUS5UQVJBLklRX0xBU1RTQUxFUFJJQ0UuNDUzODYBAAAA+KGJIAIAAAAENC4wMgClmawSIhPeCH4H0BUiE94IH0NJUS5BTE5ZLklRX0xBU1RTQUxFUFJJQ0UuNDUzOTQBAAAAc6wqAAIAAAAFMTQ4LjUAxTlsEiIT3ggupM0VIhPeCCJDSVEuRVdUWC5JUV9MQVNUU0FMRVBSSUNFLjQvNy8yMDI0AQAAANI2fyMCAAAABTE2Ljk2AMU5bBIiE94ILqTNFSIT3ggfQ0lRLktBTlQuSVFfTEFTVFNBTEVQUklDRS40NTM5NwUAAAAAAAAACAAAABQoSW52YWxpZCBJZGVudGlmaWVyKcU5bBIiE94ILqTNFSIT3ggiQ0lRLklOS1QuSVFfTEFTVFNBTEVQUklDRS40LzgvMjAyNAEAAADE0RZkAgAAAAQxMy4yAMU5bBIiE94ILqTNFSIT3ggoQ0lRLlBZWFMuSVFfUFJJQ0VfVk9MX0hJU1RfNk1USC40LzgvMjAyNAEA</t>
  </si>
  <si>
    <t>AADx4IElAgAAAAgxMDguNjE0OADFOWwSIhPeCLEuzRUiE94IIkNJUS5PUklDLklRX0xBU1RTQUxFUFJJQ0UuNC84LzIwMjQBAAAAVEsaEgIAAAAFMTAuNzUAxTlsEiIT3ghstcwVIhPeCB9DSVEuQ0NDQy5JUV9MQVNUU0FMRVBSSUNFLjQ1Mzk3AQAAAATOKhMCAAAABDYuODYAxTlsEiIT3ggHQMwVIhPeCChDSVEuTlhUQy5JUV9QUklDRV9WT0xfSElTVF82TVRILjQvOC8yMDI0AQAAAFUaKRMCAAAABjgxLjY2OQDFOWwSIhPeCFmkyxUiE94IIkNJUS5JTVJYLklRX0xBU1RTQUxFUFJJQ0UuNC85LzIwMjQBAAAA1Q5hEgIAAAAEMi4xOQDFOWwSIhPeCFsqyxUiE94IH0NJUS5SQVBULklRX0xBU1RTQUxFUFJJQ0UuNDUzOTgBAAAA0CBWEAIAAAAFNjUuMDQAxTlsEiIT3gjxl8oVIhPeCB5DSVEuQVpOLklRX0xBU1RTQUxFUFJJQ0UuNDUzOTgBAAAAhiMFAAIAAAAGMTA4Ljc4AMU5bBIiE94IkgXKFSIT3ggoQ0lRLlFMR04uSVFfUFJJQ0VfVk9MX0hJU1RfNk1USC40LzkvMjAyNAEAAACN6hUAAgAAAAc2NC43NzE0AMU5bBIiE94ITrfJFSIT3ggfQ0lRLkFMWE8uSVFfTEFTVFNBTEVQUklDRS40NTM5OAEAAACQA/8RAgAAAAUxNC40OQDFOWwSIhPeCMMayRUiE94IIUNJUS5QRkUuSVFfTEFTVFNBTEVQUklDRS40LzkvMjAyNAEAAADeeQIAAgAAAAUyNi43OADFOWwSIhPeCM7WyBUiE94IKENJUS5DQ0NDLklRX1BS</t>
  </si>
  <si>
    <t>SUNFX1ZPTF9ISVNUXzZNVEguNC85LzIwMjQBAAAABM4qEwIAAAAIMTg4LjY2OTQAxTlsEiIT3ghpRMgVIhPeCCNDSVEuV0hXSy5JUV9MQVNUU0FMRVBSSUNFLjQvMTAvMjAyNAEAAABft6QZAgAAAAEyAMU5bBIiE94II/bHFSIT3ggfQ0lRLkFMS1MuSVFfTEFTVFNBTEVQUklDRS40NTM5OQEAAAD8XwAAAgAAAAUyNC4wMQCi7SsSIhPeCJRZxxUiE94IKUNJUS5SRUdOLklRX1BSSUNFX1ZPTF9ISVNUXzZNVEguNC8xMC8yMDI0AQAAALODAAACAAAABzE2Ljg4ODEAou0rEiIT3ghEC8cVIhPeCB9DSVEuQ1JCVS5JUV9MQVNUU0FMRVBSSUNFLjQ1MzkxAQAAAC9HORACAAAABDQuNDYAou0rEiIT3ghLqsYVIhPeCB9DSVEuUkNVUy5JUV9MQVNUU0FMRVBSSUNFLjQ1MzA5AQAAADS/ZRMCAAAABTE2LjM3AHUbiBMiE94IrycCFiIT3ggfQ0lRLkJNUk4uSVFfTEFTVFNBTEVQUklDRS40NTM0MQEAAAAFZAAAAgAAAAU4OC43NwDtY1ETIhPeCF1H9hUiE94IH0NJUS5BVE5NLklRX0xBU1RTQUxFUFJJQ0UuNDUzNDMBAAAAm7d3AAIAAAAENi42NgC2SiETIhPeCLsC8hUiE94IH0NJUS5JTU5OLklRX0xBU1RTQUxFUFJJQ0UuNDUzNTABAAAALvkDAAIAAAAJMTIuNzgyNjAyAPu4FRMiE94I5dLtFSIT3ggoQ0lRLklNUk4uSVFfUFJJQ0VfVk9MX0hJU1RfNk1USC4zLzcvMjAyNAEAAADzTHUAAgAAAAgxNTcuODA3MQD6KRgT</t>
  </si>
  <si>
    <t>IhPeCK+R5RUiE94IKUNJUS5MR05ELklRX1BSSUNFX1ZPTF9ISVNUXzZNVEguMy8xMS8yMDI0AQAAAGR4AAACAAAABzQyLjQ0NzMACLnjEiIT3gjKKOMVIhPeCB9DSVEuWE9NQS5JUV9MQVNUU0FMRVBSSUNFLjQ1MzYzAQAAAKGPAAACAAAABTI1LjY1AAi54xIiE94IBMHgFSIT3ggeQ0lRLkJNWS5JUV9MQVNUU0FMRVBSSUNFLjQ1MzcyAQAAAMZkAAACAAAABTUxLjU5AAi54xIiE94IBMHgFSIT3ggoQ0lRLkpOSi5JUV9QUklDRV9WT0xfSElTVF82TVRILjMvMTkvMjAyNAEAAACdIQIAAgAAAAcxMy4xNTY3AAi54xIiE94I4MDeFSIT3ggjQ0lRLkFFT04uSVFfTEFTVFNBTEVQUklDRS4zLzE5LzIwMjQBAAAABv/FDgIAAAALMTAzNi43OTk5MTcAkUi2EiIT3ghUUt4VIhPeCCNDSVEuU01NVC5JUV9MQVNUU0FMRVBSSUNFLjMvMjIvMjAyNAEAAADDLbEAAgAAAAQzLjM3AJFIthIiE94I3svcFSIT3ggfQ0lRLk1CUlguSVFfTEFTVFNBTEVQUklDRS40NTM3MwEAAACGbBQTAgAAAAY1LjcwNDcAkUi2EiIT3gjWs9kVIhPeCB9DSVEuUkVHTi5JUV9MQVNUU0FMRVBSSUNFLjQ1MzgzAQAAALODAAACAAAABjk2OS4zMQCRSLYSIhPeCNaz2RUiE94IH0NJUS5HTURBLklRX0xBU1RTQUxFUFJJQ0UuNDUzODUBAAAAQH0IAAMAAAAAAJFIthIiE94IMUzXFSIT3ggfQ0lRLkdJTEQuSVFfTEFTVFNBTEVQUklDRS40NTM4NgEA</t>
  </si>
  <si>
    <t>AABKcQAAAgAAAAU2OS41NQClmawSIhPeCGnj1BUiE94IIkNJUS5CTVkuSVFfTEFTVFNBTEVQUklDRS4zLzI4LzIwMjQBAAAAxmQAAAIAAAAFNTQuMjMApZmsEiIT3ghp49QVIhPeCB9DSVEuVlRHTi5JUV9MQVNUU0FMRVBSSUNFLjQ1MzgwAQAAAAtedQACAAAABDUuMjgApZmsEiIT3ghp49QVIhPeCB9DSVEuU1JaTi5JUV9MQVNUU0FMRVBSSUNFLjQ1MzgwAQAAABc+9RcCAAAABTE1LjcxAKWZrBIiE94IaePUFSIT3ggfQ0lRLlJPSVYuSVFfTEFTVFNBTEVQUklDRS40NTM5MQEAAAA5OM8QAgAAAAUxMS40MQClmawSIhPeCGhx0hUiE94IH0NJUS5MRU5aLklRX0xBU1RTQUxFUFJJQ0UuNDUzOTIBAAAAlMMPFgIAAAAFMjEuMDMApZmsEiIT3ghocdIVIhPeCChDSVEuTUdOWC5JUV9QUklDRV9WT0xfSElTVF82TVRILjQvMy8yMDI0AQAAAE8rCQACAAAABzY4Ljg5OTcApZmsEiIT3ghocdIVIhPeCChDSVEuVFNWVC5JUV9QUklDRV9WT0xfSElTVF82TVRILjQvNS8yMDI0BQAAAAAAAAAIAAAAFChJbnZhbGlkIElkZW50aWZpZXIppZmsEiIT3gh+B9AVIhPeCB5DSVEuSk5KLklRX0xBU1RTQUxFUFJJQ0UuNDUzODYBAAAAnSECAAIAAAAFMTUyLjUAJAevEiIT3gh+B9AVIhPeCChDSVEuQVJXUi5JUV9QUklDRV9WT0xfSElTVF82TVRILjQvNy8yMDI0AQAAAIYZAwACAAAABzc3LjU3MzgAxTlsEiIT3ggupM0VIhPe</t>
  </si>
  <si>
    <t>CB9DSVEuVklOQy5JUV9MQVNUU0FMRVBSSUNFLjQ1Mzg3AQAAAOQ1IykCAAAAAzExMQDFOWwSIhPeCC6kzRUiE94IH0NJUS5JTktULklRX0xBU1RTQUxFUFJJQ0UuNDUzOTcBAAAAxNEWZAIAAAAFOS4wODUAxTlsEiIT3ggupM0VIhPeCB9DSVEuUFlYUy5JUV9MQVNUU0FMRVBSSUNFLjQ1Mzk3AQAAAPHggSUCAAAABDQuNzQAxTlsEiIT3gixLs0VIhPeCCdDSVEuUEZFLklRX1BSSUNFX1ZPTF9ISVNUXzZNVEguNC84LzIwMjQBAAAA3nkCAAIAAAAGMjYuODczAMU5bBIiE94IHY7MFSIT3ggoQ0lRLkNPUlQuSVFfUFJJQ0VfVk9MX0hJU1RfNk1USC40LzgvMjAyNAEAAADSuRUAAgAAAAc2Mi41ODYyAMU5bBIiE94IIRnMFSIT3ggfQ0lRLk5YVEMuSVFfTEFTVFNBTEVQUklDRS40NTM5NwEAAABVGikTAgAAAAkyMC4wNDAwMDgAxTlsEiIT3ghZpMsVIhPeCChDSVEuQ01QWC5JUV9QUklDRV9WT0xfSElTVF82TVRILjQvOS8yMDI0AQAAAPxh3Q8CAAAABzgyLjk2MzkAxTlsEiIT3ggR3MoVIhPeCChDSVEuRkhUWC5JUV9QUklDRV9WT0xfSElTVF82TVRILjQvOS8yMDI0AQAAAOhjEiACAAAACDEyNC44ODE1AMU5bBIiE94I8ZfKFSIT3ggfQ0lRLlFMR04uSVFfTEFTVFNBTEVQUklDRS40NTM5MAEAAACN6hUAAgAAAAYxOS4wNzUAxTlsEiIT3ghOt8kVIhPeCChDSVEuR05QWC5JUV9QUklDRV9WT0xfSElTVF82TVRI</t>
  </si>
  <si>
    <t>LjQvOS8yMDI0AQAAAKq8cQ0CAAAACDEyNS41ODA0AMU5bBIiE94IwxrJFSIT3ggeQ0lRLlBGRS5JUV9MQVNUU0FMRVBSSUNFLjQ1Mzk4AQAAAN55AgACAAAABTI1LjY5AMU5bBIiE94IqpLIFSIT3ggiQ0lRLkNDQ0MuSVFfTEFTVFNBTEVQUklDRS40LzkvMjAyNAEAAAAEzioTAgAAAAQ3Ljk3AMU5bBIiE94IaUTIFSIT3ggfQ0lRLldIV0suSVFfTEFTVFNBTEVQUklDRS40NTM5OQEAAABft6QZAgAAAAQxLjgyAMU5bBIiE94II/bHFSIT3ggpQ0lRLkFDUlYuSVFfUFJJQ0VfVk9MX0hJU1RfNk1USC40LzEwLzIwMjQBAAAAiUPnJgIAAAAIMTIzLjUyMDEAou0rEiIT3giUWccVIhPeCB9DSVEuUkVHTi5JUV9MQVNUU0FMRVBSSUNFLjQ1MzkxAQAAALODAAACAAAABjk0My44OQCi7SsSIhPeCEQLxxUiE94II0NJUS5DUkJVLklRX0xBU1RTQUxFUFJJQ0UuNC8xMC8yMDI0AQAAAC9HORACAAAABDQuMzUAou0rEiIT3ghLqsYVIhPeCB9DSVEuUENTQS5JUV9MQVNUU0FMRVBSSUNFLjQ1MzIzAQAAAJscpx8CAAAABDIuMzQASAyKEyIT3giLuf8VIhPeCB9DSVEuUEJZSS5JUV9MQVNUU0FMRVBSSUNFLjQ1MzM0AQAAAAJqrAcCAAAABDYuMzYA7WNREyIT3ghdR/YVIhPeCB9DSVEuQ09HVC5JUV9MQVNUU0FMRVBSSUNFLjQ1MzQ0AQAAAGnURCgCAAAABDguOTUAiHUhEyIT3giTjfEVIhPeCB9DSVEuQVRSQS5JUV9MQVNU</t>
  </si>
  <si>
    <t>U0FMRVBSSUNFLjQ1MzU4AQAAANIuyw4CAAAABzE3LjQwNzUA+7gVEyIT3ggBXu0VIhPeCB9DSVEuSUJSWC5JUV9MQVNUU0FMRVBSSUNFLjQ1MzYzAQAAAAfCDxICAAAABDUuMDUA+7gVEyIT3giP+ecVIhPeCB9DSVEuSU1STi5JUV9MQVNUU0FMRVBSSUNFLjQ1MzY1AQAAAPNMdQACAAAABDIuODIA+ikYEyIT3givkeUVIhPeCB9DSVEuTEdORC5JUV9MQVNUU0FMRVBSSUNFLjQ1MzU5AQAAAGR4AAACAAAABTczLjc3AAi54xIiE94IyijjFSIT3ggfQ0lRLlBISU8uSVFfTEFTVFNBTEVQUklDRS40NTM3MQEAAAA5BmcIAgAAAAQ5LjYzAAi54xIiE94IBMHgFSIT3ggeQ0lRLk9OQy5JUV9MQVNUU0FMRVBSSUNFLjQ1MzcyAQAAAODk3QYCAAAABTE2My43AAi54xIiE94IBMHgFSIT3ggiQ0lRLkpOSi5JUV9MQVNUU0FMRVBSSUNFLjMvMTkvMjAyNAEAAACdIQIAAgAAAAYxNTYuMjEACLnjEiIT3gjgwN4VIhPeCB5DSVEuQk1ZLklRX0xBU1RTQUxFUFJJQ0UuNDUzNzABAAAAxmQAAAIAAAAENTEuOACRSLYSIhPeCBsr3hUiE94IKUNJUS5aTEFCLklRX1BSSUNFX1ZPTF9ISVNUXzZNVEguMy8yNS8yMDI0AQAAAHcCKRACAAAABzU4Ljc1NTEAkUi2EiIT3gjWs9kVIhPeCClDSVEuTVJOQS5JUV9QUklDRV9WT0xfSElTVF82TVRILjMvMjcvMjAyNAEAAAD8g6sHAgAAAAc1NS4yOTI0AJFIthIiE94IMUzXFSIT3ggfQ0lR</t>
  </si>
  <si>
    <t>LlJFR04uSVFfTEFTVFNBTEVQUklDRS40NTM3NwEAAACzgwAAAgAAAAY5NjMuNTUAkUi2EiIT3ggxTNcVIhPeCChDSVEuWExPLklRX1BSSUNFX1ZPTF9ISVNUXzZNVEguMy8yOC8yMDI0AQAAADyMxhUCAAAACDEyNy45Nzc0AKWZrBIiE94IaePUFSIT3ggmQ0lRLkVRLklRX1BSSUNFX1ZPTF9ISVNUXzZNVEguNC8xLzIwMjQBAAAAA7tOIgIAAAAIMTI2LjMzNzcApZmsEiIT3ghp49QVIhPeCCJDSVEuU1JaTi5JUV9MQVNUU0FMRVBSSUNFLjQvMS8yMDI0AQAAABc+9RcCAAAABDEwLjEApZmsEiIT3ghp49QVIhPeCClDSVEuRVBJWC5JUV9QUklDRV9WT0xfSElTVF82TVRILjEvMjUvMjAyNAEAAABMsWgQAwAAAAAASAyKEyIT3giLuf8VIhPeCB9DSVEuUEJZSS5JUV9MQVNUU0FMRVBSSUNFLjQ1MzQyAQAAAAJqrAcCAAAABDYuNzkA7WNREyIT3ghdR/YVIhPeCB9DSVEuQ09HVC5JUV9MQVNUU0FMRVBSSUNFLjQ1MzUyAQAAAGnURCgCAAAABDcuMjMAiHUhEyIT3giTjfEVIhPeCChDSVEuQ0dFTS5JUV9QUklDRV9WT0xfSElTVF82TVRILjMvMS8yMDI0AQAAAH96JiACAAAABzYwLjQ1NjQA+7gVEyIT3gjKNu0VIhPeCB5DSVEuT1BLLklRX0xBU1RTQUxFUFJJQ0UuNDUzNjMBAAAAj7n9AQIAAAAGMC45Mjc5APu4FRMiE94Ij/nnFSIT3ggoQ0lRLlRFTE8uSVFfUFJJQ0VfVk9MX0hJU1RfNk1USC4zLzcvMjAyNAEA</t>
  </si>
  <si>
    <t>AADE4yxtAwAAAAAA+ikYEyIT3givkeUVIhPeCB9DSVEuUFRHWC5JUV9MQVNUU0FMRVBSSUNFLjQ1MzU5AQAAANxmtAcCAAAABTMwLjMyAAi54xIiE94IyijjFSIT3ggfQ0lRLkFRU1QuSVFfTEFTVFNBTEVQUklDRS40NTM2NQEAAACoPnwAAgAAAAQ1LjI1AAi54xIiE94IBMHgFSIT3ggpQ0lRLkRUSUwuSVFfUFJJQ0VfVk9MX0hJU1RfNk1USC4zLzE5LzIwMjQBAAAA6OVxAgIAAAAHOTcuNDIwMwAIueMSIhPeCODA3hUiE94IIkNJUS5CTVkuSVFfTEFTVFNBTEVQUklDRS4zLzIwLzIwMjQBAAAAxmQAAAIAAAAFNTEuODgAkUi2EiIT3ggbK94VIhPeCB9DSVEuQUJCVi5JUV9MQVNUU0FMRVBSSUNFLjQ1MzcyAQAAAAoBdQgCAAAABTE3Ny41AJFIthIiE94IthndFSIT3ggjQ0lRLlpMQUIuSVFfTEFTVFNBTEVQUklDRS4zLzI1LzIwMjQBAAAAdwIpEAIAAAAFMTYuMjUAkUi2EiIT3gjWs9kVIhPeCB5DSVEuU0xTLklRX0xBU1RTQUxFUFJJQ0UuNDUzNzYBAAAAKlehDwIAAAAEMS4wNACRSLYSIhPeCNaz2RUiE94IH0NJUS5NUk5BLklRX0xBU1RTQUxFUFJJQ0UuNDUzNzcBAAAA/IOrBwIAAAAGMTA3LjQxAJFIthIiE94IMUzXFSIT3ggjQ0lRLlJFR04uSVFfTEFTVFNBTEVQUklDRS4zLzI3LzIwMjQBAAAAs4MAAAIAAAAFOTY2LjMAkUi2EiIT3ggxTNcVIhPeCB9DSVEuU05EWC5JUV9MQVNUU0FMRVBSSUNFLjQ1</t>
  </si>
  <si>
    <t>Mzc4AQAAAMqmnwECAAAABTIzLjA3AKWZrBIiE94IaePUFSIT3gggQ0lRLkVRLklRX0xBU1RTQUxFUFJJQ0UuNC8xLzIwMjQBAAAAA7tOIgIAAAAEMi4xMQClmawSIhPeCGnj1BUiE94IKENJUS5BVE5NLklRX1BSSUNFX1ZPTF9ISVNUXzZNVEguNC8xLzIwMjQBAAAAm7d3AAIAAAAFODYuNTUApZmsEiIT3ghp49QVIhPeCChDSVEuS05TQS5JUV9QUklDRV9WT0xfSElTVF82TVRILjQvMi8yMDI0AQAAALWiRSECAAAABzQ1LjAzMDgApZmsEiIT3ghocdIVIhPeCChDSVEuQUNITC5JUV9QUklDRV9WT0xfSElTVF82TVRILjQvNC8yMDI0AQAAAISXYAEDAAAAAAClmawSIhPeCGhx0hUiE94IKENJUS5DQURMLklRX1BSSUNFX1ZPTF9ISVNUXzZNVEguNC80LzIwMjQBAAAAq1o6AgIAAAAGMjE3LjYyAKWZrBIiE94IfgfQFSIT3ggfQ0lRLlRTVlQuSVFfTEFTVFNBTEVQUklDRS40NTM5NAUAAAAAAAAACAAAABQoSW52YWxpZCBJZGVudGlmaWVyKaWZrBIiE94IfgfQFSIT3ggeQ0lRLkpOSi5JUV9MQVNUU0FMRVBSSUNFLjQ1Mzk0AQAAAJ0hAgACAAAABjE0Ny41MgAkB68SIhPeCH4H0BUiE94IH0NJUS5BUldSLklRX0xBU1RTQUxFUFJJQ0UuNDUzOTQBAAAAhhkDAAIAAAAEMjQuNwDFOWwSIhPeCC6kzRUiE94IIkNJUS5TTkRYLklRX0xBU1RTQUxFUFJJQ0UuNC84LzIwMjQBAAAAyqafAQIAAAAFMjIuODEAxTlsEiIT</t>
  </si>
  <si>
    <t>3ggupM0VIhPeCChDSVEuQ1JERi5JUV9QUklDRV9WT0xfSElTVF82TVRILjQvOC8yMDI0AQAAALw6pwACAAAACDExNS45MTMzAMU5bBIiE94ILqTNFSIT3ggiQ0lRLkNBREwuSVFfTEFTVFNBTEVQUklDRS40LzgvMjAyNAEAAACrWjoCAgAAAAQ2LjQzAMU5bBIiE94ILqTNFSIT3ggfQ0lRLkVMVFguSVFfTEFTVFNBTEVQUklDRS40NTM4NwEAAABAqs8MAgAAAAQ4Ljg1AMU5bBIiE94IeAPNFSIT3gghQ0lRLlBGRS5JUV9MQVNUU0FMRVBSSUNFLjQvOC8yMDI0AQAAAN55AgACAAAABTI2LjU4AMU5bBIiE94IHY7MFSIT3ggfQ0lRLkNPUlQuSVFfTEFTVFNBTEVQUklDRS40NTM5NwEAAADSuRUAAgAAAAUyMy4xNQDFOWwSIhPeCCEZzBUiE94IHkNJUS5PQ1MuSVFfTEFTVFNBTEVQUklDRS40NTM4NwEAAAA39B0jAgAAAAUxMS4xNgDFOWwSIhPeCFmkyxUiE94IIkNJUS5DTVBYLklRX0xBU1RTQUxFUFJJQ0UuNC85LzIwMjQBAAAA/GHdDwIAAAAEMS42NwDFOWwSIhPeCBHcyhUiE94IH0NJUS5GSFRYLklRX0xBU1RTQUxFUFJJQ0UuNDUzOTgBAAAA6GMSIAIAAAAENi4wMwDFOWwSIhPeCPGXyhUiE94IH0NJUS5LVVJBLklRX0xBU1RTQUxFUFJJQ0UuNDUzMjABAAAAuMvaEAIAAAAEMTguNgAl8FATIhPeCOIy/hUiE94IKENJUS5BWk4uSVFfUFJJQ0VfVk9MX0hJU1RfNk1USC4yLzE0LzIwMjQBAAAAhiMFAAIAAAAH</t>
  </si>
  <si>
    <t>MjMuMzgxOQBD1SATIhPeCNbX8xUiE94IH0NJUS5LQUxWLklRX0xBU1RTQUxFUFJJQ0UuNDUzNTIBAAAAEI4lCAIAAAAFMTQuMTQAiHUhEyIT3ggm5PAVIhPeCCdDSVEuU0xTLklRX1BSSUNFX1ZPTF9ISVNUXzZNVEguMy8xLzIwMjQBAAAAKlehDwIAAAAIMTE1LjM5MzEA+7gVEyIT3gjWwewVIhPeCChDSVEuR0lMRC5JUV9QUklDRV9WT0xfSElTVF82TVRILjMvNS8yMDI0AQAAAEpxAAACAAAABjI1LjA2OQD7uBUTIhPeCI/55xUiE94IKENJUS5LWVRYLklRX1BSSUNFX1ZPTF9ISVNUXzZNVEguMy84LzIwMjQBAAAAYa3KJgMAAAAAAAi54xIiE94Ir5HlFSIT3ggpQ0lRLkFMTVMuSVFfUFJJQ0VfVk9MX0hJU1RfNk1USC4zLzExLzIwMjQBAAAAX3sPKgMAAAAAAAi54xIiE94IyijjFSIT3ggfQ0lRLlNQUkIuSVFfTEFTVFNBTEVQUklDRS40NTM2MwEAAADxEuYYAgAAAAkzNzIuMDAwOTMACLnjEiIT3ggEweAVIhPeCClDSVEuSlNQUi5JUV9QUklDRV9WT0xfSElTVF82TVRILjMvMTUvMjAyNAEAAABekpUmAgAAAAc5OS41NjkxAAi54xIiE94IBMHgFSIT3ggfQ0lRLkRUSUwuSVFfTEFTVFNBTEVQUklDRS40NTM2OQEAAADo5XECAgAAAAUxMS43MwAIueMSIhPeCODA3hUiE94IH0NJUS5FTlRYLklRX0xBU1RTQUxFUFJJQ0UuNDUzNzgBAAAALqZgBgIAAAAEMS41NACRSLYSIhPeCCoE3hUiE94II0NJUS5BQkJW</t>
  </si>
  <si>
    <t>LklRX0xBU1RTQUxFUFJJQ0UuMy8yMi8yMDI0AQAAAAoBdQgCAAAABjE3OC40NQCRSLYSIhPeCLYZ3RUiE94IH0NJUS5aTEFCLklRX0xBU1RTQUxFUFJJQ0UuNDUzODMBAAAAdwIpEAIAAAAFMTYuNzIAkUi2EiIT3gjWs9kVIhPeCB9DSVEuVEVDWC5JUV9MQVNUU0FMRVBSSUNFLjQ1Mzc2AQAAAK24ZyoDAAAAAACRSLYSIhPeCNaz2RUiE94II0NJUS5SQVJFLklRX0xBU1RTQUxFUFJJQ0UuMy8yNy8yMDI0AQAAAPF6AAcCAAAABTQ2LjgyAJFIthIiE94IMUzXFSIT3ggpQ0lRLlBQQlQuSVFfUFJJQ0VfVk9MX0hJU1RfNk1USC4zLzI4LzIwMjQBAAAALaI2AQIAAAAGODMuODYyAKWZrBIiE94IaePUFSIT3ggdQ0lRLkVRLklRX0xBU1RTQUxFUFJJQ0UuNDUzOTABAAAAA7tOIgIAAAAEMS45MgClmawSIhPeCGnj1BUiE94IH0NJUS5BVE5NLklRX0xBU1RTQUxFUFJJQ0UuNDUzODABAAAAm7d3AAIAAAAENy44MwClmawSIhPeCGnj1BUiE94IH0NJUS5LTlNBLklRX0xBU1RTQUxFUFJJQ0UuNDUzODMBAAAAtaJFIQIAAAAEMTkuNwClmawSIhPeCGhx0hUiE94IHkNJUS5NUksuSVFfTEFTVFNBTEVQUklDRS40NTM5MgEAAAD2ZgQAAgAAAAYxMjYuNzUApZmsEiIT3ghocdIVIhPeCB9DSVEuQUNITC5JUV9MQVNUU0FMRVBSSUNFLjQ1Mzg1AQAAAISXYAEDAAAAAAClmawSIhPeCGhx0hUiE94IH0NJUS5DQURMLklRX0xB</t>
  </si>
  <si>
    <t>U1RTQUxFUFJJQ0UuNDUzODUBAAAAq1o6AgIAAAAEMS42OAClmawSIhPeCH4H0BUiE94IJ0NJUS5CTVkuSVFfUFJJQ0VfVk9MX0hJU1RfNk1USC40LzUvMjAyNAEAAADGZAAAAgAAAAcyMi40Mzc5AKWZrBIiE94IfgfQFSIT3ggiQ0lRLkxFR04uSVFfTEFTVFNBTEVQUklDRS40LzUvMjAyNAEAAABsI/MgAgAAAAU1NC45MwAkB68SIhPeCP5yzxUiE94IKENJUS5CTlRYLklRX1BSSUNFX1ZPTF9ISVNUXzZNVEguNC83LzIwMjQBAAAAezsNAwIAAAAGMzQuMTMyAMU5bBIiE94ILqTNFSIT3ggoQ0lRLlpZTUUuSVFfUFJJQ0VfVk9MX0hJU1RfNk1USC40LzgvMjAyNAEAAABnZJQCAgAAAAc0Ni40MzAxAMU5bBIiE94ILqTNFSIT3ggfQ0lRLkNSREYuSVFfTEFTVFNBTEVQUklDRS40NTM4NwEAAAC8OqcAAgAAAAQ1Ljg0AMU5bBIiE94ILqTNFSIT3ggfQ0lRLkNBREwuSVFfTEFTVFNBTEVQUklDRS40NTM5NwEAAACrWjoCAgAAAAQ1LjgyAMU5bBIiE94ILqTNFSIT3ggiQ0lRLkVMVFguSVFfTEFTVFNBTEVQUklDRS40LzgvMjAyNAEAAABAqs8MAgAAAAQ4LjY2AMU5bBIiE94IeAPNFSIT3ggeQ0lRLlBGRS5JUV9MQVNUU0FMRVBSSUNFLjQ1Mzk3AQAAAN55AgACAAAABTI1LjkxAMU5bBIiE94IHY7MFSIT3ggoQ0lRLklOTUIuSVFfUFJJQ0VfVk9MX0hJU1RfNk1USC40LzgvMjAyNAEAAACXS5wfAgAAAAc3Mi4yOTc2</t>
  </si>
  <si>
    <t>AMU5bBIiE94IIRnMFSIT3gghQ0lRLk9DUy5JUV9MQVNUU0FMRVBSSUNFLjQvOC8yMDI0AQAAADf0HSMCAAAABTEwLjc2AMU5bBIiE94IWaTLFSIT3ggfQ0lRLkNNUFguSVFfTEFTVFNBTEVQUklDRS40NTM5OAEAAAD8Yd0PAgAAAAQxLjU3AMU5bBIiE94IEdzKFSIT3ggfQ0lRLkdOUFguSVFfTEFTVFNBTEVQUklDRS40NTM5OAEAAACqvHENAgAAAAMxMTUAxTlsEiIT3gjDGskVIhPeCB9DSVEuQkNZQy5JUV9MQVNUU0FMRVBSSUNFLjQ1MzkwAQAAAJ1sUgQCAAAABTIyLjk2AMU5bBIiE94IaUTIFSIT3ggjQ0lRLkJUQUkuSVFfTEFTVFNBTEVQUklDRS40LzEwLzIwMjQBAAAADS9mIAIAAAAFNDIuMDgAxTlsEiIT3gjfp8cVIhPeCB9DSVEuQUNSVi5JUV9MQVNUU0FMRVBSSUNFLjQ1Mzk5AQAAAIlD5yYCAAAABTEwLjM0AKLtKxIiE94IlFnHFSIT3ggpQ0lRLkJOVFguSVFfUFJJQ0VfVk9MX0hJU1RfNk1USC40LzEwLzIwMjQBAAAAezsNAwIAAAAHMzQuMDI5MwCi7SsSIhPeCEQLxxUiE94IIENJUS5LWUtPRi5JUV9MQVNUU0FMRVBSSUNFLjQ1MzIwAQAAAMt1CgADAAAAAAAl8FATIhPeCOQL/hUiE94IHkNJUS5BWk4uSVFfTEFTVFNBTEVQUklDRS40NTMzNQEAAACGIwUAAgAAAAI5NgCV/CATIhPeCNbX8xUiE94IKENJUS5HU0suSVFfUFJJQ0VfVk9MX0hJU1RfNk1USC4yLzI2LzIwMjQBAAAA8jMEAAIAAAAH</t>
  </si>
  <si>
    <t>MTguMDUzNACIdSETIhPeCCbk8BUiE94IJ0NJUS5KTkouSVFfUFJJQ0VfVk9MX0hJU1RfNk1USC4zLzEvMjAyNAEAAACdIQIAAgAAAAcxMy4yODE2APu4FRMiE94I1sHsFSIT3ggoQ0lRLkJNRUEuSVFfUFJJQ0VfVk9MX0hJU1RfNk1USC4zLzYvMjAyNAEAAADHmHEpAgAAAAgxMDguMDg1MQD7uBUTIhPeCI/55xUiE94IH0NJUS5LWVRYLklRX0xBU1RTQUxFUFJJQ0UuNDUzNjYBAAAAYa3KJgIAAAAFMjkuNzEACLnjEiIT3givkeUVIhPeCB9DSVEuQUxNUy5JUV9MQVNUU0FMRVBSSUNFLjQ1MzU5AQAAAF97DyoDAAAAAAAIueMSIhPeCMoo4xUiE94IKUNJUS5NSVJNLklRX1BSSUNFX1ZPTF9ISVNUXzZNVEguMy8xMy8yMDI0AQAAANpmMyMCAAAABzQ5LjUwMjMACLnjEiIT3ggEweAVIhPeCB9DSVEuSlNQUi5JUV9MQVNUU0FMRVBSSUNFLjQ1MzY1AQAAAF6SlSYCAAAABTI0LjM1AAi54xIiE94IBMHgFSIT3ggfQ0lRLkFYU00uSVFfTEFTVFNBTEVQUklDRS40NTM3NwEAAABrN2sOAgAAAAU3Ni43MgDmKuYSIhPeCODA3hUiE94IHkNJUS5PUEsuSVFfTEFTVFNBTEVQUklDRS40NTM3OAEAAACPuf0BAgAAAAQxLjA3AJFIthIiE94IIt3dFSIT3ggfQ0lRLklWVkQuSVFfTEFTVFNBTEVQUklDRS40NTM4MAEAAACCg14oAgAAAAQ0LjQ0AJFIthIiE94Id33cFSIT3ggfQ0lRLkFSV1IuSVFfTEFTVFNBTEVQUklDRS40</t>
  </si>
  <si>
    <t>NTM3MwEAAACGGQMAAgAAAAUyNy4yMQCRSLYSIhPeCNaz2RUiE94IH0NJUS5URUNYLklRX0xBU1RTQUxFUFJJQ0UuNDUzODQBAAAArbhnKgMAAAAAAJFIthIiE94I1rPZFSIT3ggpQ0lRLk5WQ1IuSVFfUFJJQ0VfVk9MX0hJU1RfNk1USC4zLzI3LzIwMjQBAAAA6HwfBAIAAAAHNzAuNzc5NwCRSLYSIhPeCDFM1xUiE94IH0NJUS5NUkVPLklRX0xBU1RTQUxFUFJJQ0UuNDUzODUBAAAAqkFbEgIAAAAEMy40MQCRSLYSIhPeCDFM1xUiE94II0NJUS5QUEJULklRX0xBU1RTQUxFUFJJQ0UuMy8yOC8yMDI0AQAAAC2iNgECAAAABTAuMjQ2AKWZrBIiE94IaePUFSIT3ggiQ0lRLkdSVFMuSVFfTEFTVFNBTEVQUklDRS40LzEvMjAyNAUAAAAAAAAACAAAABQoSW52YWxpZCBJZGVudGlmaWVyKaWZrBIiE94IaePUFSIT3ggfQ0lRLkFUTk0uSVFfTEFTVFNBTEVQUklDRS40NTM5MAEAAACbt3cAAgAAAAQ5LjEzAKWZrBIiE94IaePUFSIT3ggfQ0lRLktOU0EuSVFfTEFTVFNBTEVQUklDRS40NTM5MQEAAAC1okUhAgAAAAUxNy43MwClmawSIhPeCGhx0hUiE94IKUNJUS5EU05LWS5JUV9QUklDRV9WT0xfSElTVF82TVRILjQvMy8yMDI0AQAAADmZaQEDAAAAAAClmawSIhPeCGhx0hUiE94IH0NJUS5BQ0hMLklRX0xBU1RTQUxFUFJJQ0UuNDUzOTMBAAAAhJdgAQMAAAAAAKWZrBIiE94IaHHSFSIT3ggoQ0lRLkVGVFIuSVFf</t>
  </si>
  <si>
    <t>UFJJQ0VfVk9MX0hJU1RfNk1USC40LzQvMjAyNAEAAAD/HVcOAgAAAAgyNjUuMTMzMwClmawSIhPeCH4H0BUiE94IHkNJUS5CTVkuSVFfTEFTVFNBTEVQUklDRS40NTM4NgEAAADGZAAAAgAAAAQ1MS40AKWZrBIiE94IaePUFSIT3ggfQ0lRLkJOVFguSVFfTEFTVFNBTEVQUklDRS40NTM4NwEAAAB7Ow0DAgAAAAU5MC41MgDFOWwSIhPeCC6kzRUiE94IH0NJUS5aWU1FLklRX0xBU1RTQUxFUFJJQ0UuNDUzOTcBAAAAZ2SUAgIAAAAEOS4wOQDFOWwSIhPeCC6kzRUiE94IIkNJUS5DUkRGLklRX0xBU1RTQUxFUFJJQ0UuNC84LzIwMjQBAAAAvDqnAAIAAAAENS44OADFOWwSIhPeCC6kzRUiE94IKENJUS5DT0dULklRX1BSSUNFX1ZPTF9ISVNUXzZNVEguNC84LzIwMjQBAAAAadREKAIAAAAHMTQ5Ljc3NQDFOWwSIhPeCBR9zRUiE94IKENJUS5SSUdMLklRX1BSSUNFX1ZPTF9ISVNUXzZNVEguNC84LzIwMjQBAAAAO4QAAAIAAAAHNzQuNjgwMwDFOWwSIhPeCHgDzRUiE94IKENJUS5FTlRYLklRX1BSSUNFX1ZPTF9ISVNUXzZNVEguNC84LzIwMjQBAAAALqZgBgIAAAAIMTA4LjIzMzcAxTlsEiIT3ggdjswVIhPeCB9DSVEuSU5NQi5JUV9MQVNUU0FMRVBSSUNFLjQ1Mzk3AQAAAJdLnB8CAAAABDkuNTgAxTlsEiIT3gjr8csVIhPeCChDSVEuQ1ZLRC5JUV9QUklDRV9WT0xfSElTVF82TVRILjQvOS8yMDI0AQAAADKP</t>
  </si>
  <si>
    <t>4WoCAAAACDEyMy4xMTIyAMU5bBIiE94IfW7LFSIT3ggoQ0lRLk1URU0uSVFfUFJJQ0VfVk9MX0hJU1RfNk1USC40LzkvMjAyNAEAAACZm6kBAwAAAAAAxTlsEiIT3ggR3MoVIhPeCChDSVEuQ0dFTi5JUV9QUklDRV9WT0xfSElTVF82TVRILjQvOS8yMDI0AQAAAOOIAgACAAAACDE2MS42MzUxAMU5bBIiE94IwxrJFSIT3ggiQ0lRLkJDWUMuSVFfTEFTVFNBTEVQUklDRS40LzkvMjAyNAEAAACdbFIEAgAAAAUyMy4wNwDFOWwSIhPeCGlEyBUiE94IH0NJUS5CVEFJLklRX0xBU1RTQUxFUFJJQ0UuNDUzOTkBAAAADS9mIAIAAAAFNDEuNDQAxTlsEiIT3gjfp8cVIhPeCChDSVEuQUlNLklRX1BSSUNFX1ZPTF9ISVNUXzZNVEguNC8xMC8yMDI0AQAAAHOgrigCAAAABzYzLjM0NjcAou0rEiIT3giUWccVIhPeCB9DSVEuQk5UWC5JUV9MQVNUU0FMRVBSSUNFLjQ1MzkxAQAAAHs7DQMCAAAABTkwLjA1AKLtKxIiE94IRAvHFSIT3ggfQ0lRLkxCUEguSVFfTEFTVFNBTEVQUklDRS40NTQwNAUAAAAAAAAACAAAABQoSW52YWxpZCBJZGVudGlmaWVyKaLtKxIiE94IaELEFSIT3ggnQ0lRLktPRC5JUV9QUklDRV9WT0xfSElTVF82TVRILjIvMy8yMDI0AQAAAJU1MRMCAAAACDEwOS44NzE4AFYXURMiE94I/NT8FSIT3ggfQ0lRLk1FU08uSVFfTEFTVFNBTEVQUklDRS40NTMzNQEAAABGnjYBAgAAAAQxLjg1AJX8IBMiE94I</t>
  </si>
  <si>
    <t>1tfzFSIT3ggoQ0lRLk9OQy5JUV9QUklDRV9WT0xfSElTVF82TVRILjIvMjYvMjAyNAEAAADg5N0GAgAAAAc0Ny4wMTA0AIh1IRMiE94IJW/wFSIT3ggfQ0lRLkNMUkIuSVFfTEFTVFNBTEVQUklDRS40NTM1MgEAAADz7j0CAgAAAAoxMjYuMDAwMTI2APu4FRMiE94IREzsFSIT3ggfQ0lRLkJNRUEuSVFfTEFTVFNBTEVQUklDRS40NTM2NAEAAADHmHEpAgAAAAQxNy40APu4FRMiE94Ij/nnFSIT3ggnQ0lRLk5WTy5JUV9QUklDRV9WT0xfSElTVF82TVRILjMvOC8yMDI0AQAAAHzvBAACAAAABzMwLjUwNDkACLnjEiIT3givkeUVIhPeCB9DSVEuVlRSUy5JUV9MQVNUU0FMRVBSSUNFLjQ1MzY5AQAAAJttBAACAAAABTExLjc2AAi54xIiE94IyijjFSIT3ggfQ0lRLk1JUk0uSVFfTEFTVFNBTEVQUklDRS40NTM2MwEAAADaZjMjAgAAAAUyNy40OAAIueMSIhPeCATB4BUiE94IH0NJUS5MRUdOLklRX0xBU1RTQUxFUFJJQ0UuNDUzNzMBAAAAbCPzIAIAAAAFNTguMTQACLnjEiIT3ggEweAVIhPeCCNDSVEuS1JCUC5JUV9MQVNUU0FMRVBSSUNFLjMvMTkvMjAyNAEAAABAuX8nAwAAAAAAkUi2EiIT3gjgwN4VIhPeCB9DSVEuVEZGUC5JUV9MQVNUU0FMRVBSSUNFLjQ1MzcwAQAAAOo0CwACAAAABTQyLjY1AJFIthIiE94I9bXdFSIT3ggfQ0lRLkVTUFIuSVFfTEFTVFNBTEVQUklDRS40NTM4MAEAAABMbgAAAgAAAAQy</t>
  </si>
  <si>
    <t>LjY4AJFIthIiE94IO1LcFSIT3ggjQ0lRLkFSV1IuSVFfTEFTVFNBTEVQUklDRS4zLzI1LzIwMjQBAAAAhhkDAAIAAAAFMjcuODkAkUi2EiIT3gjWs9kVIhPeCClDSVEuVktUWC5JUV9QUklDRV9WT0xfSElTVF82TVRILjMvMjYvMjAyNAEAAADyvLUOAgAAAAgxNDQuNTQxNACRSLYSIhPeCNaz2RUiE94IH0NJUS5OVkNSLklRX0xBU1RTQUxFUFJJQ0UuNDUzNzcBAAAA6HwfBAIAAAAFMTMuMDcAkUi2EiIT3ggxTNcVIhPeCB9DSVEuQUtCQS5JUV9MQVNUU0FMRVBSSUNFLjQ1Mzg1AQAAAHcoLwICAAAABDEuNDkAkUi2EiIT3ggxTNcVIhPeCB9DSVEuUFBCVC5JUV9MQVNUU0FMRVBSSUNFLjQ1Mzg2AQAAAC2iNgECAAAABTAuMjUxAKWZrBIiE94IaePUFSIT3ggoQ0lRLk5WQ1IuSVFfUFJJQ0VfVk9MX0hJU1RfNk1USC40LzEvMjAyNAEAAADofB8EAgAAAAc3MS4zNDU3AKWZrBIiE94IaePUFSIT3ggoQ0lRLkNPUlQuSVFfUFJJQ0VfVk9MX0hJU1RfNk1USC40LzEvMjAyNAEAAADSuRUAAgAAAAc2Mi4zMTExAKWZrBIiE94IaePUFSIT3ggoQ0lRLktSQlAuSVFfUFJJQ0VfVk9MX0hJU1RfNk1USC40LzIvMjAyNAEAAABAuX8nAwAAAAAApZmsEiIT3ghocdIVIhPeCCBDSVEuRFNOS1kuSVFfTEFTVFNBTEVQUklDRS40NTM4NAEAAAA5mWkBAwAAAAAApZmsEiIT3ghocdIVIhPeCChDSVEuQ1ZBQy5JUV9QUklDRV9W</t>
  </si>
  <si>
    <t>T0xfSElTVF82TVRILjQvNC8yMDI0AQAAAH4rPQECAAAABzY2LjQ2NjMApZmsEiIT3gh+B9AVIhPeCCJDSVEuRUZUUi5JUV9MQVNUU0FMRVBSSUNFLjQvNC8yMDI0AQAAAP8dVw4CAAAABDIuOTYApZmsEiIT3gh+B9AVIhPeCB5DSVEuQVpOLklRX0xBU1RTQUxFUFJJQ0UuNDUzODYBAAAAhiMFAAIAAAAGMTA3LjM2ACQHrxIiE94IfgfQFSIT3ggeQ0lRLkJNWS5JUV9MQVNUU0FMRVBSSUNFLjQ1Mzk0AQAAAMZkAAACAAAABTQ4LjI4AKWZrBIiE94IfgfQFSIT3ggeQ0lRLkFaTi5JUV9MQVNUU0FMRVBSSUNFLjQ1Mzk0AQAAAIYjBQACAAAABjExMC42NAAkB68SIhPeCH4H0BUiE94IIkNJUS5CTlRYLklRX0xBU1RTQUxFUFJJQ0UuNC83LzIwMjQBAAAAezsNAwIAAAAFOTAuNTIAxTlsEiIT3ggupM0VIhPeCB9DSVEuQ1JERi5JUV9MQVNUU0FMRVBSSUNFLjQ1Mzk3AQAAALw6pwACAAAABDUuMjgAxTlsEiIT3ggupM0VIhPeCB9DSVEuQ09HVC5JUV9MQVNUU0FMRVBSSUNFLjQ1Mzk3AQAAAGnURCgCAAAAAzYuNQDFOWwSIhPeCBR9zRUiE94IH0NJUS5SSUdMLklRX0xBU1RTQUxFUFJJQ0UuNDUzODcBAAAAO4QAAAIAAAAEMTIuOQDFOWwSIhPeCHgDzRUiE94IIkNJUS5FTlRYLklRX0xBU1RTQUxFUFJJQ0UuNC84LzIwMjQBAAAALqZgBgIAAAAEMS45NQDFOWwSIhPeCB2OzBUiE94IKENJUS5CTVJOLklRX1BSSUNF</t>
  </si>
  <si>
    <t>X1ZPTF9ISVNUXzZNVEguNC84LzIwMjQBAAAABWQAAAIAAAAHMjkuMTg5NADFOWwSIhPeCC6kzRUiE94IH0NJUS5DVktELklRX0xBU1RTQUxFUFJJQ0UuNDUzOTABAAAAMo/hagIAAAAINy42NDk5OTYAxTlsEiIT3gh9bssVIhPeCCJDSVEuTVRFTS5JUV9MQVNUU0FMRVBSSUNFLjQvOS8yMDI0AQAAAJmbqQEDAAAAAADFOWwSIhPeCBHcyhUiE94IKENJUS5JTkFCLklRX1BSSUNFX1ZPTF9ISVNUXzZNVEguNC85LzIwMjQBAAAAFDQuIQIAAAAIMTMyLjI4MTIAxTlsEiIT3giyScoVIhPeCCJDSVEuQ0dFTi5JUV9MQVNUU0FMRVBSSUNFLjQvOS8yMDI0AQAAAOOIAgACAAAABDIuMzYAxTlsEiIT3gjDGskVIhPeCB9DSVEuQkNZQy5JUV9MQVNUU0FMRVBSSUNFLjQ1Mzk4AQAAAJ1sUgQCAAAABTIxLjkzAMU5bBIiE94IaUTIFSIT3ggpQ0lRLlZTVE0uSVFfUFJJQ0VfVk9MX0hJU1RfNk1USC40LzEwLzIwMjQBAAAAKDfoBgIAAAAHNjUuNTk1MQDFOWwSIhPeCN+nxxUiE94IHkNJUS5BSU0uSVFfTEFTVFNBTEVQUklDRS40NTM5MQEAAABzoK4oAgAAAAQwLjM3AKLtKxIiE94IlFnHFSIT3ggjQ0lRLkJOVFguSVFfTEFTVFNBTEVQUklDRS40LzEwLzIwMjQBAAAAezsNAwIAAAAFODguNjUAou0rEiIT3ghEC8cVIhPeCB9DSVEuVlJUWC5JUV9MQVNUU0FMRVBSSUNFLjQ1Mzk5AQAAAIuNAAACAAAABTM5My4xAKLtKxIi</t>
  </si>
  <si>
    <t>E94IaELEFSIT3ggeQ0lRLkFaTi5JUV9MQVNUU0FMRVBSSUNFLjQ1MzkyAQAAAIYjBQACAAAABjEwNy4zMgCi7SsSIhPeCGhCxBUiE94II0NJUS5URkZQLklRX0xBU1RTQUxFUFJJQ0UuNC8xNS8yMDI0AQAAAOo0CwACAAAABDQzLjIAou0rEiIT3ghoQsQVIhPeCB9DSVEuQ09SVC5JUV9MQVNUU0FMRVBSSUNFLjQ1NDA0AQAAANK5FQACAAAABDIyLjMAou0rEiIT3ghoQsQVIhPeCChDSVEuTlZTLklRX1BSSUNFX1ZPTF9ISVNUXzZNVEguNC8xNS8yMDI0AQAAAKm16A8CAAAABzUxLjcwNDgAou0rEiIT3ghoQsQVIhPeCB9DSVEuQlJUWC5JUV9MQVNUU0FMRVBSSUNFLjQ1MzI0AQAAAIA0eQMCAAAAAzIuOABWF1ETIhPeCAyu/BUiE94IH0NJUS5SUFRYLklRX0xBU1RTQUxFUFJJQ0UuNDUzNDQBAAAA57/wGQIAAAAENi4yNgCV/CATIhPeCNbX8xUiE94IHkNJUS5PTkMuSVFfTEFTVFNBTEVQUklDRS40NTM0NQEAAADg5N0GAgAAAAUxNTUuMQCIdSETIhPeCCVv8BUiE94IH0NJUS5NQUNLLklRX0xBU1RTQUxFUFJJQ0UuNDUzMzQBAAAA0WsZAAMAAAAAAO1jURMiE94IXUf2FSIT3ggjQ0lRLkRUSUwuSVFfTEFTVFNBTEVQUklDRS4yLzE0LzIwMjQBAAAA6OVxAgIAAAAFMTEuOTkAQ9UgEyIT3gjW1/MVIhPeCB9DSVEuQVRSQS5JUV9MQVNUU0FMRVBSSUNFLjQ1MzQzAQAAANIuyw4CAAAABjE5LjkxNQCV/CATIhPe</t>
  </si>
  <si>
    <t>CNbX8xUiE94IH0NJUS5SUFRYLklRX0xBU1RTQUxFUFJJQ0UuNDUzMzYBAAAA57/wGQIAAAAENi44MQCV/CATIhPeCNbX8xUiE94II0NJUS5NTktELklRX0xBU1RTQUxFUFJJQ0UuMi8xNS8yMDI0AQAAAGaljQACAAAABDMuNzEAlfwgEyIT3gjW1/MVIhPeCB9DSVEuQ0FTSS5JUV9MQVNUU0FMRVBSSUNFLjQ1MzQ1AQAAACVqBQACAAAABDUuNTUAyCUhEyIT3gjW1/MVIhPeCB9DSVEuUkFQVC5JUV9MQVNUU0FMRVBSSUNFLjQ1MzQxAQAAANAgVhACAAAABjIwNy43NgDIJSETIhPeCI+w8xUiE94IKUNJUS5BUlZOLklRX1BSSUNFX1ZPTF9ISVNUXzZNVEguMi8yMC8yMDI0AQAAAICCfA4CAAAABzc4LjUxNzgAtkohEyIT3gg2FPMVIhPeCB9DSVEuS1pJQS5JUV9MQVNUU0FMRVBSSUNFLjQ1MzUwAQAAAG0hBgACAAAAAjEzALZKIRMiE94IFMbyFSIT3ggfQ0lRLlRBUlMuSVFfTEFTVFNBTEVQUklDRS40NTM0MwEAAAAxEcQmAgAAAAUzMC4xMwC2SiETIhPeCP5Q8hUiE94IKUNJUS5WVFlYLklRX1BSSUNFX1ZPTF9ISVNUXzZNVEguMi8yMi8yMDI0AQAAAAQUFigCAAAACDI1Ni42ODIxAIh1IRMiE94I19vxFSIT3ggfQ0lRLkNNTkQuSVFfTEFTVFNBTEVQUklDRS40NTM1MgEAAAA/9o8gAgAAAAQxLjU5AIh1IRMiE94InVnxFSIT3ggfQ0lRLktBTFYuSVFfTEFTVFNBTEVQUklDRS40NTM0NQEAAAAQjiUIAgAAAAUx</t>
  </si>
  <si>
    <t>Mi41OACIdSETIhPeCHsL8RUiE94IH0NJUS5UTllBLklRX0xBU1RTQUxFUFJJQ0UuNDUzNTUBAAAAFsNiGAIAAAAENi42MQCIdSETIhPeCASW8BUiE94IH0NJUS5WS1RYLklRX0xBU1RTQUxFUFJJQ0UuNDUzNTYBAAAA8ry1DgIAAAAEODcuOQCIdSETIhPeCK/S7xUiE94IH0NJUS5HQU5YLklRX0xBU1RTQUxFUFJJQ0UuNDUzNDgBAAAA29AMIQIAAAADNC41AIh1IRMiE94I2F3vFSIT3ggoQ0lRLkhDTS5JUV9QUklDRV9WT0xfSElTVF82TVRILjIvMjgvMjAyNAEAAAC7r5YBAgAAAAc1MS42NzQ4AIh1IRMiE94IAtnuFSIT3ggfQ0lRLkFWSVIuSVFfTEFTVFNBTEVQUklDRS40NTM1NwEAAABZyhEPAgAAAAQ0LjAzAPu4FRMiE94IBmTuFSIT3ggfQ0lRLklSV0QuSVFfTEFTVFNBTEVQUklDRS40NTM1MAEAAAAKewAAAgAAAAUxNS4xMgD7uBUTIhPeCIoR7hUiE94IH0NJUS5DUkRGLklRX0xBU1RTQUxFUFJJQ0UuNDUzNTgBAAAAvDqnAAIAAAAEMy41MQD7uBUTIhPeCMqr7RUiE94IH0NJUS5CSVZJLklRX0xBU1RTQUxFUFJJQ0UuNDUzNTEBAAAAA4tyDgIAAAADMTI0APu4FRMiE94IyjbtFSIT3ggeQ0lRLlNMUy5JUV9MQVNUU0FMRVBSSUNFLjQ1MzU5AQAAACpXoQ8CAAAABDEuMjYA+7gVEyIT3gjWwewVIhPeCB9DSVEuQUtSTy5JUV9MQVNUU0FMRVBSSUNFLjQ1MzUyAQAAADhKFSICAAAABTI3LjgxAPu4FRMi</t>
  </si>
  <si>
    <t>E94IREzsFSIT3ggoQ0lRLlZUVlQuSVFfUFJJQ0VfVk9MX0hJU1RfNk1USC4zLzQvMjAyNAEAAAAdox8SAgAAAAgxNDcuNTAyOQD7uBUTIhPeCDbX6xUiE94IH0NJUS5QQ1ZYLklRX0xBU1RTQUxFUFJJQ0UuNDUzNjIBAAAA+hNUEgIAAAAFNzAuMjUA+7gVEyIT3ghfhOsVIhPeCB5DSVEuR1NLLklRX0xBU1RTQUxFUFJJQ0UuNDUzNTUBAAAA8jMEAAIAAAAGMTYuNjc4AIh1IRMiE94IJuTwFSIT3ggfQ0lRLkFMTlkuSVFfTEFTVFNBTEVQUklDRS40NTM2MwEAAABzrCoAAgAAAAYxNDYuNjUA+7gVEyIT3ghEmuoVIhPeCCdDSVEuTExZLklRX1BSSUNFX1ZPTF9ISVNUXzZNVEguMy81LzIwMjQBAAAAG1sEAAIAAAAHMjguNzczNgD7uBUTIhPeCI/55xUiE94IH0NJUS5JQlJYLklRX0xBU1RTQUxFUFJJQ0UuNDUzNTUBAAAAB8IPEgIAAAAENS4wNwD7uBUTIhPeCI/55xUiE94IIkNJUS5CVEFJLklRX0xBU1RTQUxFUFJJQ0UuMy82LzIwMjQBAAAADS9mIAIAAAAFNDcuMzYA+7gVEyIT3giP+ecVIhPeCB9DSVEuUlpMVC5JUV9MQVNUU0FMRVBSSUNFLjQ1MzY0AQAAACEJmwoCAAAABDEuOTIA+7gVEyIT3giP+ecVIhPeCCdDSVEuQkhDLklRX1BSSUNFX1ZPTF9ISVNUXzZNVEguMy82LzIwMjQBAAAAs0YFAAIAAAAHNDIuMzgyNAD7uBUTIhPeCI/55xUiE94IHkNJUS5NUksuSVFfTEFTVFNBTEVQUklDRS40NTM1NgEA</t>
  </si>
  <si>
    <t>AAD2ZgQAAgAAAAYxMjIuODMA+7gVEyIT3giP+ecVIhPeCB5DSVEuRFlOLklRX0xBU1RTQUxFUFJJQ0UuNDUzNjQBAAAAAgZIJAIAAAAFMjcuNzcA+ikYEyIT3givkeUVIhPeCCdDSVEuR1NLLklRX1BSSUNFX1ZPTF9ISVNUXzZNVEguMy83LzIwMjQBAAAA8jMEAAIAAAAHMTguMDkxNAD6KRgTIhPeCK+R5RUiE94IH0NJUS5BVEhBLklRX0xBU1RTQUxFUFJJQ0UuNDUzNTgBAAAAHBHbDwIAAAAENDEuNQD6KRgTIhPeCK+R5RUiE94IIkNJUS5BQk9TLklRX0xBU1RTQUxFUFJJQ0UuMy84LzIwMjQBAAAAgU2CAAIAAAAENC4zNwAIueMSIhPeCK+R5RUiE94IH0NJUS5NTFRYLklRX0xBU1RTQUxFUFJJQ0UuNDUzNjYBAAAANPaJKgIAAAAFNDcuMjUACLnjEiIT3givkeUVIhPeCB9DSVEuQVBSRS5JUV9MQVNUU0FMRVBSSUNFLjQ1MzU5AQAAAKvTqBMCAAAABDcuMTMACLnjEiIT3givkeUVIhPeCCNDSVEuVlRZWC5JUV9MQVNUU0FMRVBSSUNFLjMvMTEvMjAyNAEAAAAEFBYoAgAAAAQ4LjA0AAi54xIiE94IyijjFSIT3ggfQ0lRLkxSTVIuSVFfTEFTVFNBTEVQUklDRS40NTM1OQEAAAAXYB0iAgAAAAQxMC4yAAi54xIiE94IyijjFSIT3ggjQ0lRLktBTlQuSVFfTEFTVFNBTEVQUklDRS4zLzEyLzIwMjQFAAAAAAAAAAgAAAAUKEludmFsaWQgSWRlbnRpZmllcikIueMSIhPeCMoo4xUiE94IH0NJUS5QUlRDLklRX0xB</t>
  </si>
  <si>
    <t>U1RTQUxFUFJJQ0UuNDUzNzEBAAAAFgCNAAIAAAAEMi4xOQAIueMSIhPeCMoo4xUiE94IKUNJUS5QSElPLklRX1BSSUNFX1ZPTF9ISVNUXzZNVEguMy8xMy8yMDI0AQAAADkGZwgCAAAACDE2MS42Nzk0AAi54xIiE94IBMHgFSIT3ggfQ0lRLkNBTEMuSVFfTEFTVFNBTEVQUklDRS40NTM2MwEAAAAGYwoCAgAAAAM0LjUACLnjEiIT3ggEweAVIhPeCB9DSVEuT0NHTi5JUV9MQVNUU0FMRVBSSUNFLjQ1MzcxAQAAALfAHBICAAAABDEuMjQACLnjEiIT3ggEweAVIhPeCClDSVEuQkdORS5JUV9QUklDRV9WT0xfSElTVF82TVRILjMvMTQvMjAyNAEAAADg5N0GAwAAAAAACLnjEiIT3ggEweAVIhPeCCNDSVEuTEVHTi5JUV9MQVNUU0FMRVBSSUNFLjMvMTUvMjAyNAEAAABsI/MgAgAAAAU2NC4wMgAIueMSIhPeCATB4BUiE94IH0NJUS5QSFZTLklRX0xBU1RTQUxFUFJJQ0UuNDUzNzMBAAAAcIsEGAIAAAAFMjQuMzUACLnjEiIT3gjgwN4VIhPeCClDSVEuUE1WUC5JUV9QUklDRV9WT0xfSElTVF82TVRILjMvMTgvMjAyNAEAAACX6n0PAgAAAAgxNDMuMzM2NgAIueMSIhPeCODA3hUiE94IH0NJUS5DUk5YLklRX0xBU1RTQUxFUFJJQ0UuNDUzNjkBAAAA/1+5EAIAAAAFMzcuOTMACLnjEiIT3gjgwN4VIhPeCB9DSVEuS1JCUC5JUV9MQVNUU0FMRVBSSUNFLjQ1MzY5AQAAAEC5fycDAAAAAACRSLYSIhPeCODA3hUiE94I</t>
  </si>
  <si>
    <t>H0NJUS5BTElNLklRX0xBU1RTQUxFUFJJQ0UuNDUzNjkBAAAAO+WdAAMAAAAAAJFIthIiE94I4MDeFSIT3ggeQ0lRLlRBSy5JUV9MQVNUU0FMRVBSSUNFLjQ1MzY5AQAAACxYDQACAAAABTE0LjU2AJFIthIiE94IVFLeFSIT3ggfQ0lRLkFMTVMuSVFfTEFTVFNBTEVQUklDRS40NTM3MAEAAABfew8qAwAAAAAAkUi2EiIT3ggqBN4VIhPeCB9DSVEuQk5PWC5JUV9MQVNUU0FMRVBSSUNFLjQ1MzcxBQAAAAAAAAAIAAAAFChJbnZhbGlkIElkZW50aWZpZXIpkUi2EiIT3gjhjt0VIhPeCB9DSVEuQUxQTi5JUV9MQVNUU0FMRVBSSUNFLjQ1MzcxAQAAANmQZgACAAAABDcuNjUAkUi2EiIT3gjDQN0VIhPeCB9DSVEuSVZWRC5JUV9MQVNUU0FMRVBSSUNFLjQ1MzcyAQAAAIKDXigCAAAABDMuMDkAkUi2EiIT3gicpNwVIhPeCB9DSVEuWkxBQi5JUV9MQVNUU0FMRVBSSUNFLjQ1MzcyAQAAAHcCKRACAAAABTE3LjI1AJFIthIiE94I5hvcFSIT3ggfQ0lRLkFUWFMuSVFfTEFTVFNBTEVQUklDRS40NTM3MwEAAAAIIQIGAgAAAAUxNS4xMwCRSLYSIhPeCNaz2RUiE94IH0NJUS5aTEFCLklRX0xBU1RTQUxFUFJJQ0UuNDUzNzMBAAAAdwIpEAIAAAAFMTYuMTgAkUi2EiIT3gjWs9kVIhPeCB9DSVEuQllTSS5JUV9MQVNUU0FMRVBSSUNFLjQ1MzczAQAAAEfPbBgCAAAABDMuMTIAkUi2EiIT3gjWs9kVIhPeCB9DSVEuTktHTi5J</t>
  </si>
  <si>
    <t>UV9MQVNUU0FMRVBSSUNFLjQ1MzczAQAAADxUfyMCAAAABDIuMzIAkUi2EiIT3gjWs9kVIhPeCB9DSVEuUFJBWC5JUV9MQVNUU0FMRVBSSUNFLjQ1Mzc2AQAAACx0ZBgCAAAABDUwLjUAkUi2EiIT3gjWs9kVIhPeCB9DSVEuQ0VSUy5JUV9MQVNUU0FMRVBSSUNFLjQ1Mzc2AQAAAN5mAAACAAAABDEuNzUAkUi2EiIT3gjWs9kVIhPeCB9DSVEuQVROTS5JUV9MQVNUU0FMRVBSSUNFLjQ1Mzc2AQAAAJu3dwACAAAABDguNjcAkUi2EiIT3ggxTNcVIhPeCB9DSVEuQVRBSS5JUV9MQVNUU0FMRVBSSUNFLjQ1Mzc3AQAAAO03VyoCAAAABDEuNzMAkUi2EiIT3ggxTNcVIhPeCB9DSVEuVEZGUC5JUV9MQVNUU0FMRVBSSUNFLjQ1Mzc3AQAAAOo0CwACAAAABTQyLjU1AJFIthIiE94IMUzXFSIT3ggfQ0lRLlJBUkUuSVFfTEFTVFNBTEVQUklDRS40NTM3NwEAAADxegAHAgAAAAU0NS40NgCRSLYSIhPeCDFM1xUiE94IH0NJUS5SVlBILklRX0xBU1RTQUxFUFJJQ0UuNDUzNzcBAAAAlISQBwIAAAAEMy44MwCRSLYSIhPeCDFM1xUiE94IH0NJUS5MUENOLklRX0xBU1RTQUxFUFJJQ0UuNDUzNzgBAAAAGvR6AAIAAAAGNS4xMjg4AKWZrBIiE94IMUzXFSIT3ggfQ0lRLk9DRUEuSVFfTEFTVFNBTEVQUklDRS40NTM3OAEAAAB35eknAgAAAAQ0LjA2AKWZrBIiE94IaePUFSIT3ggfQ0lRLkFQTFQuSVFfTEFTVFNBTEVQUklDRS40</t>
  </si>
  <si>
    <t>NTM3OAEAAAB7jFQhAgAAAAQ2Ljg1AKWZrBIiE94IaePUFSIT3ggfQ0lRLkNOVFguSVFfTEFTVFNBTEVQUklDRS40NTM3OAEAAAAgmVEYAgAAAAUxLjM4MgClmawSIhPeCGnj1BUiE94IH0NJUS5MUURBLklRX0xBU1RTQUxFUFJJQ0UuNDUzODABAAAAi1BbAQIAAAAFMTQuNzUApZmsEiIT3ghp49QVIhPeCB9DSVEuSVJPTi5JUV9MQVNUU0FMRVBSSUNFLjQ1MzgwAQAAAE7fOSYCAAAABTYyLjI2AKWZrBIiE94IaePUFSIT3ggfQ0lRLlJPSVYuSVFfTEFTVFNBTEVQUklDRS40NTM4MwEAAAA5OM8QAgAAAAUxMC40MwClmawSIhPeCGhx0hUiE94IH0NJUS5DUkJQLklRX0xBU1RTQUxFUFJJQ0UuNDUzODMBAAAAJG8kDwIAAAAFMzcuOTkApZmsEiIT3ghocdIVIhPeCB9DSVEuTEVOWi5JUV9MQVNUU0FMRVBSSUNFLjQ1Mzg0AQAAAJTDDxYCAAAABTIxLjAxAKWZrBIiE94IaHHSFSIT3ggfQ0lRLk5CVFguSVFfTEFTVFNBTEVQUklDRS40NTM4NAEAAAC7rj8BAgAAAAM2LjEApZmsEiIT3ghocdIVIhPeCB9DSVEuQURDVC5JUV9MQVNUU0FMRVBSSUNFLjQ1Mzg1AQAAAJqj6QoCAAAABDQuNDMApZmsEiIT3gh+B9AVIhPeCB9DSVEuRUZUUi5JUV9MQVNUU0FMRVBSSUNFLjQ1Mzg1AQAAAP8dVw4CAAAABTE2LjQ3AKWZrBIiE94IfgfQFSIT3ggfQ0lRLkNZVEsuSVFfTEFTVFNBTEVQUklDRS40NTM4NgEAAACzagAAAgAA</t>
  </si>
  <si>
    <t>AAU2OS4xOAClmawSIhPeCH4H0BUiE94IH0NJUS5UU1ZULklRX0xBU1RTQUxFUFJJQ0UuNDUzODYFAAAAAAAAAAgAAAAUKEludmFsaWQgSWRlbnRpZmllcimlmawSIhPeCH4H0BUiE94IH0NJUS5HTFlDLklRX0xBU1RTQUxFUFJJQ0UuNDUzMDEBAAAAOQdXAAMAAAAAAAIZlRMiE94I9bgMFiIT3ggoQ0lRLlZJTkMuSVFfUFJJQ0VfVk9MX0hJU1RfNk1USC4xLzgvMjAyNAEAAADkNSMpAgAAAAc5NS40Mjk2AFJolRMiE94I6HEJFiIT3ggeQ0lRLk5WUy5JUV9MQVNUU0FMRVBSSUNFLjQ1MzA2AQAAAKm16A8CAAAABDQuNTQAH4+VEyIT3ggi+AYWIhPeCCBDSVEuQUxQTVkuSVFfTEFTVFNBTEVQUklDRS40NTMwNwEAAACRWA0AAwAAAAAAM7aVEyIT3ggi+AYWIhPeCB9DSVEuRVlQVC5JUV9MQVNUU0FMRVBSSUNFLjQ1MzAwAQAAAK9gRAACAAAABTIxLjQ3AKPZlRMiE94IMpAEFiIT3ggfQ0lRLkhBTE8uSVFfTEFTVFNBTEVQUklDRS40NTMxNAEAAABGBXkAAgAAAAUzNC43NQB1G4gTIhPeCDKQBBYiE94IH0NJUS5BREFHLklRX0xBU1RTQUxFUFJJQ0UuNDUzMTQBAAAAEAYLBwIAAAAFMy4yNDUAdRuIEyIT3ggykAQWIhPeCB9DSVEuQ05TUC5JUV9MQVNUU0FMRVBSSUNFLjQ1MzA3AQAAAFkkIyECAAAADDIxNjEyLjAyMTYxMgB1G4gTIhPeCK8nAhYiE94IHkNJUS5OVlMuSVFfTEFTVFNBTEVQUklDRS40NTMwOQEA</t>
  </si>
  <si>
    <t>AACptegPAgAAAAM0LjUAdRuIEyIT3givJwIWIhPeCChDSVEuQUlNLklRX1BSSUNFX1ZPTF9ISVNUXzZNVEguMS8yMi8yMDI0AQAAAHOgrigCAAAABzYxLjc5MDkAdRuIEyIT3givJwIWIhPeCB9DSVEuRU5WQi5JUV9MQVNUU0FMRVBSSUNFLjQ1MzAxAQAAAAD7yyYCAAAACDE5LjM0OTk5AAIZlRMiE94I9bgMFiIT3ggfQ0lRLkFCU0kuSVFfTEFTVFNBTEVQUklDRS40NTMwNgEAAADeDNsPAgAAAAQzLjk5AFJolRMiE94I6HEJFiIT3ggoQ0lRLkNZQk4uSVFfUFJJQ0VfVk9MX0hJU1RfNk1USC4xLzgvMjAyNAEAAAD+y74nAgAAAAc5OS42NDM0AB+PlRMiE94IIvgGFiIT3ggoQ0lRLlZDRUwuSVFfUFJJQ0VfVk9MX0hJU1RfNk1USC4xLzkvMjAyNAEAAABZXgAAAgAAAAc0OC40NDE0ADO2lRMiE94IIvgGFiIT3ggfQ0lRLkJQVEguSVFfTEFTVFNBTEVQUklDRS40NTMwMAEAAACyZTwCAgAAAAYxMC42MDIAo9mVEyIT3ggykAQWIhPeCChDSVEuVEFLLklRX1BSSUNFX1ZPTF9ISVNUXzZNVEguMS8xNi8yMDI0AQAAACxYDQACAAAABzE4Ljg5NjIAdRuIEyIT3ggykAQWIhPeCClDSVEuQUNYUC5JUV9QUklDRV9WT0xfSElTVF82TVRILjEvMTcvMjAyNAEAAADOzEIhAgAAAAgxMzIuMDcyNQB1G4gTIhPeCDKQBBYiE94IHkNJUS5QRkUuSVFfTEFTVFNBTEVQUklDRS40NTMwNwEAAADeeQIAAgAAAAUyOC4zMgB1G4gT</t>
  </si>
  <si>
    <t>IhPeCK8nAhYiE94IHkNJUS5OVlMuSVFfTEFTVFNBTEVQUklDRS40NTMxNwEAAACptegPAgAAAAQ0Ljc1AHUbiBMiE94IrycCFiIT3ggeQ0lRLkFJTS5JUV9MQVNUU0FMRVBSSUNFLjQ1MzIwAQAAAHOgrigCAAAABDAuMjgAdRuIEyIT3givJwIWIhPeCB9DSVEuR0lMRC5JUV9MQVNUU0FMRVBSSUNFLjQ1MzEwAQAAAEpxAAACAAAABTg3LjI5AHUbiBMiE94Ii7n/FSIT3ggfQ0lRLlZFUkEuSVFfTEFTVFNBTEVQUklDRS40NTMxNQEAAACdxbooAgAAAAUxNy4wMgBIDIoTIhPeCIu5/xUiE94IKENJUS5HTFlDLklRX1BSSUNFX1ZPTF9ISVNUXzZNVEguMS80LzIwMjQBAAAAOQdXAAMAAAAAAAIZlRMiE94I9bgMFiIT3ggoQ0lRLlZFUlUuSVFfUFJJQ0VfVk9MX0hJU1RfNk1USC4xLzgvMjAyNAEAAAA30wQAAgAAAAc5MC4xODY2AFJolRMiE94I6HEJFiIT3ggoQ0lRLkZBVEUuSVFfUFJJQ0VfVk9MX0hJU1RfNk1USC4xLzgvMjAyNAEAAABoMVcCAgAAAAc4NS40NDk1ADO2lRMiE94IIvgGFiIT3ggfQ0lRLlZDRUwuSVFfTEFTVFNBTEVQUklDRS40NTMwNwEAAABZXgAAAgAAAAQzOS4yAKPZlRMiE94IIvgGFiIT3ggfQ0lRLkJQVEguSVFfTEFTVFNBTEVQUklDRS40NTMwOAEAAACyZTwCAgAAAAU4LjY5NACj2ZUTIhPeCDKQBBYiE94IHkNJUS5UQUsuSVFfTEFTVFNBTEVQUklDRS40NTMxNAEAAAAsWA0AAgAAAAUx</t>
  </si>
  <si>
    <t>NC43MwB1G4gTIhPeCDKQBBYiE94IH0NJUS5BQ1hQLklRX0xBU1RTQUxFUFJJQ0UuNDUzMDcBAAAAzsxCIQIAAAACOTUAdRuIEyIT3ggykAQWIhPeCB9DSVEuQ1JERi5JUV9MQVNUU0FMRVBSSUNFLjQ1MzA3AQAAALw6pwACAAAABDEuNjMAdRuIEyIT3givJwIWIhPeCChDSVEuQVpOLklRX1BSSUNFX1ZPTF9ISVNUXzZNVEguMS8xOS8yMDI0AQAAAIYjBQACAAAABzIxLjkxNjIAdRuIEyIT3givJwIWIhPeCClDSVEuQ0xSQi5JUV9QUklDRV9WT0xfSElTVF82TVRILjEvMjIvMjAyNAEAAADz7j0CAgAAAAc4NS4yMjgxAHUbiBMiE94IrycCFiIT3ggfQ0lRLkNSQlAuSVFfTEFTVFNBTEVQUklDRS40NTMxMwEAAAAkbyQPAgAAAAM3LjYAdRuIEyIT3giLuf8VIhPeCB9DSVEuVkVSQS5JUV9MQVNUU0FMRVBSSUNFLjQ1MzIzAQAAAJ3FuigCAAAAAjM4AEgMihMiE94Ii7n/FSIT3ggeQ0lRLkJNWS5JUV9MQVNUU0FMRVBSSUNFLjQ1MzIzAQAAAMZkAAACAAAABTQ4LjY3AEgMihMiE94Ii7n/FSIT3ggfQ0lRLlNSUFQuSVFfTEFTVFNBTEVQUklDRS40NTMxNwEAAABYiAUAAgAAAAYxMTguNzMASAyKEyIT3ghRHf8VIhPeCB9DSVEuU0NZWC5JUV9MQVNUU0FMRVBSSUNFLjQ1MzIwAQAAAKcwDAACAAAABDEuOTUAJfBQEyIT3gjkC/4VIhPeCB9DSVEuQURDVC5JUV9MQVNUU0FMRVBSSUNFLjQ1MzAyAQAAAJqj6QoCAAAA</t>
  </si>
  <si>
    <t>BDIuMDcARUGVEyIT3gj1uAwWIhPeCChDSVEuQklPUi5JUV9QUklDRV9WT0xfSElTVF82TVRILjEvOC8yMDI0AQAAAA7v/gIDAAAAAABSaJUTIhPeCOhxCRYiE94IH0NJUS5CUE1DLklRX0xBU1RTQUxFUFJJQ0UuNDUyOTYBAAAA+qG8BwMAAAAAADO2lRMiE94IIvgGFiIT3ggoQ0lRLk1EV0QuSVFfUFJJQ0VfVk9MX0hJU1RfNk1USC4xLzkvMjAyNAEAAABB+BcAAgAAAAc1NC4wODQ0AKPZlRMiE94IIvgGFiIT3ggpQ0lRLlNBTkEuSVFfUFJJQ0VfVk9MX0hJU1RfNk1USC4xLzEwLzIwMjQBAAAAMUiaIwIAAAAHOTEuMDUxNQCj2ZUTIhPeCDKQBBYiE94IKUNJUS5DUlNQLklRX1BSSUNFX1ZPTF9ISVNUXzZNVEguMS8xNi8yMDI0AQAAAMgvpg8CAAAABzYzLjcwMjUAdRuIEyIT3ggykAQWIhPeCB9DSVEuRVZHTi5JUV9MQVNUU0FMRVBSSUNFLjQ1MzA3AQAAAPq9oCkCAAAABDIuMzUAdRuIEyIT3ggykAQWIhPeCB9DSVEuQ1JERi5JUV9MQVNUU0FMRVBSSUNFLjQ1MzE1AQAAALw6pwACAAAABTEuNTE1AHUbiBMiE94IrycCFiIT3ggeQ0lRLkFaTi5JUV9MQVNUU0FMRVBSSUNFLjQ1MzE3AQAAAIYjBQACAAAABjEwNS40NgBIDIoTIhPeCK8nAhYiE94IH0NJUS5DTFJCLklRX0xBU1RTQUxFUFJJQ0UuNDUzMTABAAAA8+49AgIAAAAKMTA0LjQwMDEwNAB1G4gTIhPeCK8nAhYiE94IKENJUS5BTERYLklRX1BSSUNF</t>
  </si>
  <si>
    <t>X1ZPTF9ISVNUXzZNVEguMS80LzIwMjQBAAAAt0PTAgIAAAAIMTgwLjMzODQARUGVEyIT3gj1uAwWIhPeCB9DSVEuQ0xSQi5JUV9MQVNUU0FMRVBSSUNFLjQ1MzA2AQAAAPPuPQICAAAACjEwNS4zMDAxMDUAhgSWEyIT3gjocQkWIhPeCB9DSVEuQ1JCUC5JUV9MQVNUU0FMRVBSSUNFLjQ1Mjk5AQAAACRvJA8CAAAABDcuMTYAo9mVEyIT3ggi+AYWIhPeCB9DSVEuU0FOQS5JUV9MQVNUU0FMRVBSSUNFLjQ1MzA4AQAAADFImiMCAAAABDYuMTIAo9mVEyIT3ggykAQWIhPeCB9DSVEuQ1JTUC5JUV9MQVNUU0FMRVBSSUNFLjQ1MzA2AQAAAMgvpg8CAAAABTY0LjI1AHUbiBMiE94IMpAEFiIT3ggeQ0lRLkJNWS5JUV9MQVNUU0FMRVBSSUNFLjQ1MzA3AQAAAMZkAAACAAAAAjUwAHUbiBMiE94IMpAEFiIT3ggpQ0lRLklYSEwuSVFfUFJJQ0VfVk9MX0hJU1RfNk1USC4xLzE3LzIwMjQBAAAAO6RhEwIAAAAIMTU3Ljg1NjIAdRuIEyIT3givJwIWIhPeCClDSVEuVEVWQS5JUV9QUklDRV9WT0xfSElTVF82TVRILjEvMTkvMjAyNAEAAABPswQAAgAAAAczNi45MjQzAHUbiBMiE94IrycCFiIT3ggfQ0lRLlRWUkQuSVFfTEFTVFNBTEVQUklDRS40NTMxMAEAAAC46P0hAwAAAAAAdRuIEyIT3givJwIWIhPeCB9DSVEuQVJUTC5JUV9MQVNUU0FMRVBSSUNFLjQ1MzIxAQAAAM+/VhACAAAACDguMjc5OTk4AHUbiBMiE94Ii7n/</t>
  </si>
  <si>
    <t>FSIT3ggfQ0lRLkNZVEsuSVFfTEFTVFNBTEVQUklDRS40NTMyMwEAAACzagAAAgAAAAU4MS4yNQBIDIoTIhPeCIu5/xUiE94IH0NJUS5DUkJQLklRX0xBU1RTQUxFUFJJQ0UuNDUzMTYBAAAAJG8kDwIAAAAEOC40NABIDIoTIhPeCIu5/xUiE94IHkNJUS5UQUsuSVFfTEFTVFNBTEVQUklDRS40NTMxNwEAAAAsWA0AAgAAAAQxNC42AEgMihMiE94IIs/+FSIT3ggpQ0lRLklUUk0uSVFfUFJJQ0VfVk9MX0hJU1RfNk1USC4xLzMwLzIwMjQBAAAAkLL5EgIAAAAIMTIxLjA5NzgAJfBQEyIT3gjc5P0VIhPeCChDSVEuQkJJTy5JUV9QUklDRV9WT0xfSElTVF82TVRILjIvMi8yMDI0AQAAAGKHnBgCAAAABzUyLjAyNTgAVhdREyIT3ggJI/0VIhPeCChDSVEuUExSWC5JUV9QUklDRV9WT0xfSElTVF82TVRILjIvNS8yMDI0AQAAAG0RbhMCAAAABzU4Ljk4NDQAVhdREyIT3gj2X/wVIhPeCChDSVEuU0dNTy5JUV9QUklDRV9WT0xfSElTVF82TVRILjIvNi8yMDI0AQAAAAJMBgACAAAABzExMS44NDUAVhdREyIT3giFw/sVIhPeCCdDSVEuSENNLklRX1BSSUNFX1ZPTF9ISVNUXzZNVEguMi83LzIwMjQBAAAAu6+WAQIAAAAHNTIuOTQ5MgCSPVETIhPeCL2w+BUiE94IH0NJUS5SR05YLklRX0xBU1RTQUxFUFJJQ0UuNDUzMjgBAAAAVG/JBwIAAAAFMTMuMDUAkj1REyIT3gi9sPgVIhPeCB5DSVEuQUlNLklRX0xBU1RTQUxF</t>
  </si>
  <si>
    <t>UFJJQ0UuNDUzMjkBAAAAc6CuKAIAAAAFMC4yNzUAkj1REyIT3gi9sPgVIhPeCChDSVEuTlJYUC5JUV9QUklDRV9WT0xfSElTVF82TVRILjIvOS8yMDI0AQAAABV6CRMCAAAABzg5Ljc3NTUAkj1REyIT3gi9sPgVIhPeCB9DSVEuQlRBSS5JUV9MQVNUU0FMRVBSSUNFLjQ1MzMxAQAAAA0vZiACAAAABTMzLjc2AJI9URMiE94IvbD4FSIT3ggfQ0lRLlROWFAuSVFfTEFTVFNBTEVQUklDRS40NTM0MQEAAABrHq0GAgAAAAYxMjIwLjgA7WNREyIT3ghdR/YVIhPeCClDSVEuS1JZUy5JUV9QUklDRV9WT0xfSElTVF82TVRILjIvMTMvMjAyNAEAAAAoJ9UfAgAAAAY0OC4yMDEA7WNREyIT3ghdR/YVIhPeCB9DSVEuUk9JVi5JUV9MQVNUU0FMRVBSSUNFLjQ1MzM0AQAAADk4zxACAAAABTEwLjg3AO1jURMiE94IXUf2FSIT3gggQ0lRLklQU0VZLklRX0xBU1RTQUxFUFJJQ0UuNDUzNDIBAAAARhACAAMAAAAAAO1jURMiE94IXUf2FSIT3ggfQ0lRLkFSVk4uSVFfTEFTVFNBTEVQUklDRS40NTMzNQEAAACAgnwOAgAAAAU0Ny43NwBD1SATIhPeCNbX8xUiE94IH0NJUS5SWVRNLklRX0xBU1RTQUxFUFJJQ0UuNDUzMDIBAAAAGMltEgIAAAAFNDEuNTEARUGVEyIT3gj1uAwWIhPeCChDSVEuSVRPUy5JUV9QUklDRV9WT0xfSElTVF82TVRILjEvOC8yMDI0BQAAAAAAAAAIAAAAFChJbnZhbGlkIElkZW50aWZpZXIpH4+VEyIT</t>
  </si>
  <si>
    <t>3gjocQkWIhPeCB9DSVEuQlBNQy5JUV9MQVNUU0FMRVBSSUNFLjQ1MzA2AQAAAPqhvAcDAAAAAAAztpUTIhPeCCL4BhYiE94IHkNJUS5BTEMuSVFfTEFTVFNBTEVQUklDRS40NTI5OQEAAADTbOoKAgAAAAYwLjA2ODUAo9mVEyIT3ggi+AYWIhPeCChDSVEuTVJLLklRX1BSSUNFX1ZPTF9ISVNUXzZNVEguMS8xMi8yMDI0AQAAAPZmBAACAAAABzE3LjQ5NjkAo9mVEyIT3ggykAQWIhPeCB9DSVEuVlJUWC5JUV9MQVNUU0FMRVBSSUNFLjQ1MzA2AQAAAIuNAAACAAAABTQzMy40AHUbiBMiE94IMpAEFiIT3ggeQ0lRLkJNWS5JUV9MQVNUU0FMRVBSSUNFLjQ1MzE1AQAAAMZkAAACAAAABTUwLjI0AEgMihMiE94IMpAEFiIT3ggfQ0lRLklYSEwuSVFfTEFTVFNBTEVQUklDRS40NTMxNQEAAAA7pGETAgAAAAQ0LjAzAHUbiBMiE94IrycCFiIT3ggfQ0lRLlNHTVQuSVFfTEFTVFNBTEVQUklDRS40NTMxMAEAAAAEEQ8CAgAAAAQ2LjgyAHUbiBMiE94IrycCFiIT3ggoQ0lRLkxMWS5JUV9QUklDRV9WT0xfSElTVF82TVRILjEvMjMvMjAyNAEAAAAbWwQAAgAAAAczMi4xMzAzAHUbiBMiE94Ii7n/FSIT3ggpQ0lRLkVYRUwuSVFfUFJJQ0VfVk9MX0hJU1RfNk1USC4xLzI1LzIwMjQBAAAAsm4AAAIAAAAHMjguODY1MwBIDIoTIhPeCIu5/xUiE94IHkNJUS5NUksuSVFfTEFTVFNBTEVQUklDRS40NTMxNgEAAAD2ZgQAAgAA</t>
  </si>
  <si>
    <t>AAYxMjAuMTMASAyKEyIT3giLuf8VIhPeCB5DSVEuVEFLLklRX0xBU1RTQUxFUFJJQ0UuNDUzMjcBAAAALFgNAAIAAAAFMTMuOTIASAyKEyIT3ggiz/4VIhPeCCNDSVEuSVRSTS5JUV9MQVNUU0FMRVBSSUNFLjEvMzAvMjAyNAEAAACQsvkSAgAAAAQxLjU4ACXwUBMiE94I3OT9FSIT3ggiQ0lRLkJCSU8uSVFfTEFTVFNBTEVQUklDRS4yLzIvMjAyNAEAAABih5wYAgAAAAUzMy45MQBWF1ETIhPeCAkj/RUiE94IIkNJUS5QTFJYLklRX0xBU1RTQUxFUFJJQ0UuMi81LzIwMjQBAAAAbRFuEwIAAAAEMTUuOABWF1ETIhPeCPZf/BUiE94IIkNJUS5TR01PLklRX0xBU1RTQUxFUFJJQ0UuMi82LzIwMjQBAAAAAkwGAAIAAAAGMC41MjA3AFYXURMiE94IhcP7FSIT3gghQ0lRLkhDTS5JUV9MQVNUU0FMRVBSSUNFLjIvNy8yMDI0AQAAALuvlgECAAAABDIuMTgAkj1REyIT3gi9sPgVIhPeCB9DSVEuUkdOWC5JUV9MQVNUU0FMRVBSSUNFLjQ1MzM2AQAAAFRvyQcCAAAABTE2Ljc5AJI9URMiE94IvbD4FSIT3ggeQ0lRLkFJTS5JUV9MQVNUU0FMRVBSSUNFLjQ1MzM3AQAAAHOgrigCAAAABTAuMjg1AJI9URMiE94IvbD4FSIT3ggfQ0lRLk5SWFAuSVFfTEFTVFNBTEVQUklDRS40NTMzMAEAAAAVegkTAgAAAAQ0LjY0AJI9URMiE94IvbD4FSIT3ggfQ0lRLkJUQUkuSVFfTEFTVFNBTEVQUklDRS40NTM0MQEAAAANL2YgAgAA</t>
  </si>
  <si>
    <t>AAU1Ni4xNgCSPVETIhPeCF1H9hUiE94IKUNJUS5BTklYLklRX1BSSUNFX1ZPTF9ISVNUXzZNVEguMi8xMi8yMDI0AQAAAHoGBAACAAAABzYyLjU5NDEA7WNREyIT3ghdR/YVIhPeCB9DSVEuS1JZUy5JUV9MQVNUU0FMRVBSSUNFLjQ1MzM0AQAAACgn1R8CAAAABjExNS44OADtY1ETIhPeCF1H9hUiE94IH0NJUS5ST0lWLklRX0xBU1RTQUxFUFJJQ0UuNDUzNDIBAAAAOTjPEAIAAAAFMTEuNTQA7WNREyIT3ghdR/YVIhPeCChDSVEuVEFLLklRX1BSSUNFX1ZPTF9ISVNUXzZNVEguMi8xMy8yMDI0AQAAACxYDQACAAAABzE5LjQ2MzgAQ9UgEyIT3ghdR/YVIhPeCB9DSVEuQVJWTi5JUV9MQVNUU0FMRVBSSUNFLjQ1MzQzAQAAAICCfA4CAAAABDQ3LjcAQ9UgEyIT3gjW1/MVIhPeCClDSVEuSU5LVC5JUV9QUklDRV9WT0xfSElTVF82TVRILjIvMTQvMjAyNAEAAADE0RZkAgAAAAc4Mi4wODAxAJX8IBMiE94I1tfzFSIT3ggpQ0lRLklPTlMuSVFfUFJJQ0VfVk9MX0hJU1RfNk1USC4yLzE1LzIwMjQBAAAAXHYAAAIAAAAHMzcuMzY3MQCV/CATIhPeCNbX8xUiE94IKENJUS5BWk4uSVFfUFJJQ0VfVk9MX0hJU1RfNk1USC4yLzE3LzIwMjQBAAAAhiMFAAIAAAAHMjMuNTc0OADIJSETIhPeCNbX8xUiE94IH0NJUS5JTVJYLklRX0xBU1RTQUxFUFJJQ0UuNDUzNDkBAAAA1Q5hEgIAAAAENi40MwDIJSETIhPeCMti8xUi</t>
  </si>
  <si>
    <t>E94IH0NJUS5TUFJZLklRX0xBU1RTQUxFUFJJQ0UuNDUzNDkBAAAAB6bhIgIAAAAEOC44MgC2SiETIhPeCDvt8hUiE94IH0NJUS5OUlNOLklRX0xBU1RTQUxFUFJJQ0UuNDUzNTABAAAAamXlIAIAAAADMS44ALZKIRMiE94INnjyFSIT3ggfQ0lRLlBIVlMuSVFfTEFTVFNBTEVQUklDRS40NTM0MwEAAABwiwQYAgAAAAUyNy44MQC2SiETIhPeCMop8hUiE94IKENJUS5QUlRHLklRX1BSSUNFX1ZPTF9ISVNUXzZNVEguMS80LzIwMjQFAAAAAAAAAAgAAAAUKEludmFsaWQgSWRlbnRpZmllcilFQZUTIhPeCIbaCxYiE94IJ0NJUS5CTVkuSVFfUFJJQ0VfVk9MX0hJU1RfNk1USC4xLzgvMjAyNAEAAADGZAAAAgAAAAcyMS41OTY4AB+PlRMiE94I6HEJFiIT3ggfQ0lRLklNTVAuSVFfTEFTVFNBTEVQUklDRS40NTMwMgEAAAAVQmYAAgAAAAQyLjU2AEVBlRMiE94IhtoLFiIT3ggfQ0lRLkNMTk4uSVFfTEFTVFNBTEVQUklDRS40NTMwNgEAAABkSTsUAgAAAAU5LjU5NgAfj5UTIhPeCOhxCRYiE94IKENJUS5BUExULklRX1BSSUNFX1ZPTF9ISVNUXzZNVEguMS80LzIwMjQBAAAAe4xUIQIAAAAIMTE1Ljc4MDUARUGVEyIT3giG2gsWIhPeCChDSVEuQUJCVi5JUV9QUklDRV9WT0xfSElTVF82TVRILjEvOC8yMDI0AQAAAAoBdQgCAAAABzE3Ljc2NTcAH4+VEyIT3gjocQkWIhPeCB9DSVEuQk1FQS5JUV9MQVNUU0FMRVBS</t>
  </si>
  <si>
    <t>SUNFLjQ1Mjk2AQAAAMeYcSkCAAAABTE0LjcxADO2lRMiE94IIvgGFiIT3ggeQ0lRLkFMQy5JUV9MQVNUU0FMRVBSSUNFLjQ1MzA3AQAAANNs6goCAAAABTAuMDY1AKPZlRMiE94IIvgGFiIT3ggfQ0lRLkFOSVAuSVFfTEFTVFNBTEVQUklDRS40NTMwNgEAAAD4UxcAAgAAAAU1Ni43NACGBJYTIhPeCDKQBBYiE94IKUNJUS5CR05FLklRX1BSSUNFX1ZPTF9ISVNUXzZNVEguMS8xNi8yMDI0AQAAAODk3QYDAAAAAAB1G4gTIhPeCDKQBBYiE94IKUNJUS5SRUdOLklRX1BSSUNFX1ZPTF9ISVNUXzZNVEguMS8xNy8yMDI0AQAAALODAAACAAAABzE4Ljg2NjEAdRuIEyIT3ggykAQWIhPeCB9DSVEuTVRWQS5JUV9MQVNUU0FMRVBSSUNFLjQ1MzA4AQAAAHOvmCUCAAAABDMuMzgAdRuIEyIT3givJwIWIhPeCB9DSVEuVEVWQS5JUV9MQVNUU0FMRVBSSUNFLjQ1MzE3AQAAAE+zBAACAAAABTExLjkxAHUbiBMiE94IrycCFiIT3ggfQ0lRLkFHRU4uSVFfTEFTVFNBTEVQUklDRS40NTMyMAEAAABkQQYAAgAAAAUxMy44OQB1G4gTIhPeCIu5/xUiE94IH0NJUS5WTkRBLklRX0xBU1RTQUxFUFJJQ0UuNDUzMTMBAAAAI4d2AQIAAAAEMy43OQB1G4gTIhPeCIu5/xUiE94IH0NJUS5TUlJLLklRX0xBU1RTQUxFUFJJQ0UuNDUzMTUBAAAAkC22IAIAAAAFMTQuNzQASAyKEyIT3giLuf8VIhPeCClDSVEuSEFMTy5JUV9QUklDRV9W</t>
  </si>
  <si>
    <t>T0xfSElTVF82TVRILjEvMjcvMjAyNAEAAABGBXkAAgAAAAczOC45MDU1AEgMihMiE94Ic5L/FSIT3ggoQ0lRLklLVC5JUV9QUklDRV9WT0xfSElTVF82TVRILjEvMjkvMjAyNAEAAAD8IMoGAgAAAAgxMzMuNzg4MQBIDIoTIhPeCGOo/hUiE94IH0NJUS5DVkFDLklRX0xBU1RTQUxFUFJJQ0UuNDUzMDMBAAAAfis9AQIAAAAEMy44OABFQZUTIhPeCIbaCxYiE94IKENJUS5PS1lPLklRX1BSSUNFX1ZPTF9ISVNUXzZNVEguMS84LzIwMjQBAAAAS8+2AgIAAAAIMTE2LjYxODUAH4+VEyIT3gjocQkWIhPeCB9DSVEuTlVWQi5JUV9MQVNUU0FMRVBSSUNFLjQ1Mjk2AQAAAD/tFiYCAAAABDEuNDkAM7aVEyIT3ggi+AYWIhPeCClDSVEuTVJTTi5JUV9QUklDRV9WT0xfSElTVF82TVRILjEvMTAvMjAyNAEAAADmxRgAAgAAAAgyMDMuMDcwNACj2ZUTIhPeCCL4BhYiE94IH0NJUS5BTklQLklRX0xBU1RTQUxFUFJJQ0UuNDUzMTQBAAAA+FMXAAIAAAAFNTYuNjIAhgSWEyIT3ggykAQWIhPeCB9DSVEuQkdORS5JUV9MQVNUU0FMRVBSSUNFLjQ1MzE0AQAAAODk3QYDAAAAAAB1G4gTIhPeCDKQBBYiE94IH0NJUS5SRUdOLklRX0xBU1RTQUxFUFJJQ0UuNDUzMDcBAAAAs4MAAAIAAAAGOTM3LjMyAHUbiBMiE94IMpAEFiIT3ggfQ0lRLkNMRFguSVFfTEFTVFNBTEVQUklDRS40NTMwOAEAAABVzJIAAgAAAAUzOS43MQB1G4gT</t>
  </si>
  <si>
    <t>IhPeCK8nAhYiE94IKUNJUS5BTFZPLklRX1BSSUNFX1ZPTF9ISVNUXzZNVEguMS8xOS8yMDI0AQAAAD2JUSkCAAAABzQxLjAxNzkAdRuIEyIT3givJwIWIhPeCClDSVEuSU9OUy5JUV9QUklDRV9WT0xfSElTVF82TVRILjEvMjIvMjAyNAEAAABcdgAAAgAAAAczNi4xNzQ5AHUbiBMiE94Ii7n/FSIT3ggfQ0lRLkhSVFguSVFfTEFTVFNBTEVQUklDRS40NTMxMwEAAAAuXwAAAgAAAAQyLjM0AHUbiBMiE94Ii7n/FSIT3ggfQ0lRLlNSUksuSVFfTEFTVFNBTEVQUklDRS40NTMyMwEAAACQLbYgAgAAAAUxNC45NABIDIoTIhPeCIu5/xUiE94IH0NJUS5IQUxPLklRX0xBU1RTQUxFUFJJQ0UuNDUzMjQBAAAARgV5AAIAAAAFMzMuNjgASAyKEyIT3ghma/8VIhPeCB5DSVEuSUtULklRX0xBU1RTQUxFUFJJQ0UuNDUzMTcBAAAA/CDKBgIAAAAEMi45NgBIDIoTIhPeCGOo/hUiE94IHkNJUS5OVlMuSVFfTEFTVFNBTEVQUklDRS40NTMyMQEAAACptegPAgAAAAM0LjgAJfBQEyIT3gigvf0VIhPeCB9DSVEuRkRNVC5JUV9MQVNUU0FMRVBSSUNFLjQ1MzI0AQAAACXQQxACAAAABTE3LjQ5AFYXURMiE94I7/v8FSIT3ggfQ0lRLlRIQVIuSVFfTEFTVFNBTEVQUklDRS40NTMyNAEAAADPlpEfAgAAAAg2LjU5OTk5NgBWF1ETIhPeCKo4/BUiE94IH0NJUS5HQU5YLklRX0xBU1RTQUxFUFJJQ0UuNDUzMjcBAAAA29AMIQIAAAAE</t>
  </si>
  <si>
    <t>NC4zOQBWF1ETIhPeCFR1+xUiE94IH0NJUS5BTUxYLklRX0xBU1RTQUxFUFJJQ0UuNDUzMzcBAAAABqDnEgIAAAAFMTUuMzgAkj1REyIT3gi9sPgVIhPeCB9DSVEuSVJPTi5JUV9MQVNUU0FMRVBSSUNFLjQ1MzMwAQAAAE7fOSYCAAAABTY2LjczAJI9URMiE94IvbD4FSIT3ggfQ0lRLk5VVkwuSVFfTEFTVFNBTEVQUklDRS40NTM0MQEAAACFbN4pAgAAAAU4Ni4yMQDtY1ETIhPeCF1H9hUiE94IKUNJUS5LVFJBLklRX1BSSUNFX1ZPTF9ISVNUXzZNVEguMi8xMi8yMDI0BQAAAAAAAAAIAAAAFChJbnZhbGlkIElkZW50aWZpZXIp7WNREyIT3ghdR/YVIhPeCB9DSVEuQ0FETC5JUV9MQVNUU0FMRVBSSUNFLjQ1MzM0AQAAAKtaOgICAAAABDEuMzkA7WNREyIT3ghdR/YVIhPeCB9DSVEuUFRJWC5JUV9MQVNUU0FMRVBSSUNFLjQ1MzQyAQAAAHOvbXADAAAAAADtY1ETIhPeCF1H9hUiE94IHkNJUS5PUFQuSVFfTEFTVFNBTEVQUklDRS40NTM0MwEAAADa3yUAAgAAAAQwLjU5AEPVIBMiE94IXUf2FSIT3ggoQ0lRLkFJTS5JUV9QUklDRV9WT0xfSElTVF82TVRILjIvMTQvMjAyNAEAAABzoK4oAgAAAAc1OC4xODEyAJX8IBMiE94I1tfzFSIT3ggpQ0lRLkFNUEUuSVFfUFJJQ0VfVk9MX0hJU1RfNk1USC4yLzE0LzIwMjQBAAAA+akLBQIAAAAIMjA0LjczMDYAlfwgEyIT3gjW1/MVIhPeCChDSVEuTVJTTi5JUV9QUklD</t>
  </si>
  <si>
    <t>RV9WT0xfSElTVF82TVRILjEvNS8yMDI0AQAAAObFGAACAAAACDIwMC4xNzM4AFJolRMiE94IhtoLFiIT3ggeQ0lRLk5WTy5JUV9MQVNUU0FMRVBSSUNFLjQ1Mjk2AQAAAHzvBAACAAAABjEwNS45OAAfj5UTIhPeCOhxCRYiE94IH0NJUS5OVVZCLklRX0xBU1RTQUxFUFJJQ0UuNDUzMDYBAAAAP+0WJgIAAAAEMS41OAAztpUTIhPeCCL4BhYiE94IH0NJUS5GRE1ULklRX0xBU1RTQUxFUFJJQ0UuNDUzMDABAAAAJdBDEAIAAAAFMTkuNDkAo9mVEyIT3ggi+AYWIhPeCClDSVEuQ0xSQi5JUV9QUklDRV9WT0xfSElTVF82TVRILjEvMTYvMjAyNAEAAADz7j0CAgAAAAc4NS4zMzg4AIYElhMiE94IMpAEFiIT3ggoQ0lRLk9OQy5JUV9QUklDRV9WT0xfSElTVF82TVRILjEvMTYvMjAyNAEAAADg5N0GAgAAAAc1MC4yMDQzAHUbiBMiE94IMpAEFiIT3ggfQ0lRLk1BSUEuSVFfTEFTVFNBTEVQUklDRS40NTMwNwEAAAB18p8lAgAAAAQxLjIzAHUbiBMiE94IMpAEFiIT3ggfQ0lRLkNMRFguSVFfTEFTVFNBTEVQUklDRS40NTMxNgEAAABVzJIAAgAAAAUzNy4zNAB1G4gTIhPeCK8nAhYiE94IH0NJUS5JT05TLklRX0xBU1RTQUxFUFJJQ0UuNDUzMTABAAAAXHYAAAIAAAAFNTAuOTgAdRuIEyIT3giLuf8VIhPeCB9DSVEuVVJHTi5JUV9MQVNUU0FMRVBSSUNFLjQ1MzE0AQAAANXSWA4CAAAABTE1LjExAHUbiBMiE94Ii7n/</t>
  </si>
  <si>
    <t>FSIT3ggpQ0lRLlBDU0EuSVFfUFJJQ0VfVk9MX0hJU1RfNk1USC4xLzI1LzIwMjQBAAAAmxynHwIAAAAGMjMyLjgxAEgMihMiE94Ii7n/FSIT3ggoQ0lRLk1SSy5JUV9QUklDRV9WT0xfSElTVF82TVRILjEvMjkvMjAyNAEAAAD2ZgQAAgAAAAcxNi41MjEzAEgMihMiE94IZmv/FSIT3ggfQ0lRLktSQlAuSVFfTEFTVFNBTEVQUklDRS40NTMxNwEAAABAuX8nAwAAAAAASAyKEyIT3ghEgf4VIhPeCB9DSVEuT1RMSy5JUV9MQVNUU0FMRVBSSUNFLjQ1MzIxAQAAAAWksQgCAAAAAzguMwBWF1ETIhPeCOCW/RUiE94IH0NJUS5MQ1RYLklRX0xBU1RTQUxFUFJJQ0UuNDUzMjQBAAAAFmQAAAIAAAAEMC45OABWF1ETIhPeCPzU/BUiE94IH0NJUS5BUkNULklRX0xBU1RTQUxFUFJJQ0UuNDUzMjQBAAAApcMCDgIAAAAFMzQuNzIAVhdREyIT3giqOPwVIhPeCB9DSVEuVlJQWC5JUV9MQVNUU0FMRVBSSUNFLjQ1MzI4AQAAAJLSRyECAAAABTEwMy42AJI9URMiE94IvbD4FSIT3ggfQ0lRLkRFUk0uSVFfTEFTVFNBTEVQUklDRS40NTMwMwEAAAB1j7kQAgAAAAQ0LjgyAFJolRMiE94I6HEJFiIT3ggfQ0lRLlNSUFQuSVFfTEFTVFNBTEVQUklDRS40NTMwNgEAAABYiAUAAgAAAAUxMTYuOAB1G4gTIhPeCDKQBBYiE94IH0NJUS5TR01ULklRX0xBU1RTQUxFUFJJQ0UuNDUzMjABAAAABBEPAgIAAAAEMTAuNgB1G4gTIhPeCK8n</t>
  </si>
  <si>
    <t>AhYiE94IHkNJUS5TTlkuSVFfTEFTVFNBTEVQUklDRS40NTMyMwEAAAAafAoAAgAAAAU0OC40MQBIDIoTIhPeCIu5/xUiE94IH0NJUS5TQ1lYLklRX0xBU1RTQUxFUFJJQ0UuNDUzMjgBAAAApzAMAAIAAAAFMS45OTUAJfBQEyIT3gjkC/4VIhPeCB9DSVEuRVlQVC5JUV9MQVNUU0FMRVBSSUNFLjQ1MzI0AQAAAK9gRAACAAAABDI4LjcAVhdREyIT3ggMrvwVIhPeCChDSVEuQUJFTy5JUV9QUklDRV9WT0xfSElTVF82TVRILjIvNi8yMDI0AQAAAOeBBQACAAAABzYyLjU3NjcAVhdREyIT3ghNTvsVIhPeCB9DSVEuRE5MSS5JUV9MQVNUU0FMRVBSSUNFLjQ1MzM2AQAAAA459RECAAAABTE3Ljg5AJI9URMiE94IvbD4FSIT3ggfQ0lRLk9LWU8uSVFfTEFTVFNBTEVQUklDRS40NTMzMAEAAABLz7YCAgAAAAQxLjQzAJI9URMiE94IvbD4FSIT3ggeQ0lRLlRBSy5JUV9MQVNUU0FMRVBSSUNFLjQ1MzMxAQAAACxYDQACAAAABTE0LjI0AO1jURMiE94IXUf2FSIT3ggfQ0lRLktSWVMuSVFfTEFTVFNBTEVQUklDRS40NTM0MgEAAAAoJ9UfAgAAAAYxMTEuNjQA7WNREyIT3ghdR/YVIhPeCB9DSVEuTUFDSy5JUV9MQVNUU0FMRVBSSUNFLjQ1MzQyAQAAANFrGQADAAAAAADtY1ETIhPeCF1H9hUiE94IHkNJUS5BWk4uSVFfTEFTVFNBTEVQUklDRS40NTM0MwEAAACGIwUAAgAAAAYxMDEuMDIAlfwgEyIT3gjW1/MVIhPeCClD</t>
  </si>
  <si>
    <t>SVEuQVBMVC5JUV9QUklDRV9WT0xfSElTVF82TVRILjIvMTUvMjAyNAEAAAB7jFQhAgAAAAgxNDMuNTM3NACV/CATIhPeCNbX8xUiE94IKUNJUS5FTlNDLklRX1BSSUNFX1ZPTF9ISVNUXzZNVEguMi8xNS8yMDI0AQAAAD9GFgMCAAAACDEyMy44NTg1AMglIRMiE94I1tfzFSIT3ggjQ0lRLkFSVk4uSVFfTEFTVFNBTEVQUklDRS4yLzIwLzIwMjQBAAAAgIJ8DgIAAAAENTAuNgC2SiETIhPeCDYU8xUiE94IKUNJUS5NTlBSLklRX1BSSUNFX1ZPTF9ISVNUXzZNVEguMi8yMi8yMDI0AQAAAEumJBICAAAABzE3MC4wNzIAtkohEyIT3gg2ePIVIhPeCCNDSVEuQVROTS5JUV9MQVNUU0FMRVBSSUNFLjIvMjIvMjAyNAEAAACbt3cAAgAAAAQ2Ljc0ALZKIRMiE94IuwLyFSIT3ggeQ0lRLkdTSy5JUV9MQVNUU0FMRVBSSUNFLjQ1MzQ1AQAAAPIzBAACAAAABjE2LjcyNACIdSETIhPeCCbk8BUiE94IHkNJUS5PTkMuSVFfTEFTVFNBTEVQUklDRS40NTM1NQEAAADg5N0GAgAAAAYxNjcuODYAiHUhEyIT3gglb/AVIhPeCB9DSVEuTkVSVi5JUV9MQVNUU0FMRVBSSUNFLjQ1MzQ4AQAAAAmTkA8CAAAAAzYuOACIdSETIhPeCK/S7xUiE94II0NJUS5QUEJULklRX0xBU1RTQUxFUFJJQ0UuMi8yNy8yMDI0AQAAAC2iNgECAAAABTAuMjczAIh1IRMiE94I2F3vFSIT3ggpQ0lRLlNOU0UuSVFfUFJJQ0VfVk9MX0hJU1RfNk1USC4y</t>
  </si>
  <si>
    <t>LzI4LzIwMjQBAAAA7SwLAAIAAAAHOTIuNTgzNgCIdSETIhPeCAiy7hUiE94IH0NJUS5LQU5ULklRX0xBU1RTQUxFUFJJQ0UuNDUzNTAFAAAAAAAAAAgAAAAUKEludmFsaWQgSWRlbnRpZmllcin7uBUTIhPeCNI87hUiE94IH0NJUS5JTU5OLklRX0xBU1RTQUxFUFJJQ0UuNDUzNTgBAAAALvkDAAIAAAAJMTIuNzgyNjAyAPu4FRMiE94I5dLtFSIT3ggfQ0lRLkNHRU0uSVFfTEFTVFNBTEVQUklDRS40NTM1MQEAAAB/eiYgAgAAAAUxOC40NwD7uBUTIhPeCMo27RUiE94IHkNJUS5KTkouSVFfTEFTVFNBTEVQUklDRS40NTM1MQEAAACdIQIAAgAAAAYxNjEuMzgA+7gVEyIT3gjWwewVIhPeCCdDSVEuTlZTLklRX1BSSUNFX1ZPTF9ISVNUXzZNVEguMy80LzIwMjQBAAAAqbXoDwIAAAAHNTMuODc4OQD7uBUTIhPeCEcl7BUiE94IH0NJUS5NVEVNLklRX0xBU1RTQUxFUFJJQ0UuNDUzNTIBAAAAmZupAQMAAAAAAPu4FRMiE94I1KvrFSIT3ggeQ0lRLlBGRS5JUV9MQVNUU0FMRVBSSUNFLjQ1MzYyAQAAAN55AgACAAAABTI4LjM3APu4FRMiE94IbTbrFSIT3ggoQ0lRLlJHTlguSVFfUFJJQ0VfVk9MX0hJU1RfNk1USC4zLzUvMjAyNAEAAABUb8kHAgAAAAc3NS4yOTg2APu4FRMiE94IRJrqFSIT3ggoQ0lRLk5LVFIuSVFfUFJJQ0VfVk9MX0hJU1RfNk1USC4zLzUvMjAyNAEAAADpdAAAAgAAAAc4OC43MDAzAPu4FRMi</t>
  </si>
  <si>
    <t>E94Ij/nnFSIT3ggfQ0lRLlhPTUEuSVFfTEFTVFNBTEVQUklDRS40NTM1NgEAAAChjwAAAgAAAAUyNC41OQD7uBUTIhPeCI/55xUiE94IH0NJUS5DT1lBLklRX0xBU1RTQUxFUFJJQ0UuNDUzNTYBAAAAq8q8KQIAAAAEOS41NAD7uBUTIhPeCI/55xUiE94IHkNJUS5HU0suSVFfTEFTVFNBTEVQUklDRS40NTM1NgEAAADyMwQAAgAAAAYxNi44MzQA+7gVEyIT3giP+ecVIhPeCB9DSVEuTU5NRC5JUV9MQVNUU0FMRVBSSUNFLjQ1MzU3AQAAAKL8nCUCAAAABDUuOTQA+ikYEyIT3givkeUVIhPeCB9DSVEuVEVMTy5JUV9MQVNUU0FMRVBSSUNFLjQ1MzU3AQAAAMTjLG0CAAAABDguNzYA+ikYEyIT3givkeUVIhPeCB5DSVEuTlZPLklRX0xBU1RTQUxFUFJJQ0UuNDUzNTgBAAAAfO8EAAIAAAAGMTM1LjkyAAi54xIiE94Ir5HlFSIT3ggfQ0lRLkFTTE4uSVFfTEFTVFNBTEVQUklDRS40NTM1OQUAAAAAAAAACAAAABQoSW52YWxpZCBJZGVudGlmaWVyKQi54xIiE94Ir5HlFSIT3ggfQ0lRLlZUWVguSVFfTEFTVFNBTEVQUklDRS40NTM1OQEAAAAEFBYoAgAAAAQ5LjkyAAi54xIiE94IyijjFSIT3ggjQ0lRLkxHTkQuSVFfTEFTVFNBTEVQUklDRS4zLzExLzIwMjQBAAAAZHgAAAIAAAAFNzIuMjUACLnjEiIT3gjKKOMVIhPeCB9DSVEuUFNUVi5JUV9MQVNUU0FMRVBSSUNFLjQ1MzU5AQAAAAEIBAACAAAABDEuNjkACLnj</t>
  </si>
  <si>
    <t>EiIT3gjKKOMVIhPeCCNDSVEuQ1lCTi5JUV9MQVNUU0FMRVBSSUNFLjMvMTMvMjAyNAEAAAD+y74nAgAAAAkxNS45NTk5OTMACLnjEiIT3gjKKOMVIhPeCCNDSVEuWE9NQS5JUV9MQVNUU0FMRVBSSUNFLjMvMTMvMjAyNAEAAAChjwAAAgAAAAUyNS42MQAIueMSIhPeCATB4BUiE94II0NJUS5NSVJNLklRX0xBU1RTQUxFUFJJQ0UuMy8xMy8yMDI0AQAAANpmMyMCAAAABTI3Ljc3AAi54xIiE94IBMHgFSIT3ggjQ0lRLklNUlguSVFfTEFTVFNBTEVQUklDRS4zLzE0LzIwMjQBAAAA1Q5hEgIAAAADMi45AAi54xIiE94IBMHgFSIT3ggjQ0lRLkpTUFIuSVFfTEFTVFNBTEVQUklDRS4zLzE1LzIwMjQBAAAAXpKVJgIAAAAFMjUuMDgACLnjEiIT3ggEweAVIhPeCB5DSVEuQk1ZLklRX0xBU1RTQUxFUFJJQ0UuNDUzNzMBAAAAxmQAAAIAAAAFNTEuOTMACLnjEiIT3gjgwN4VIhPeCCNDSVEuUE1WUC5JUV9MQVNUU0FMRVBSSUNFLjMvMTgvMjAyNAEAAACX6n0PAgAAAAQxLjY3AAi54xIiE94I4MDeFSIT3ggjQ0lRLkRUSUwuSVFfTEFTVFNBTEVQUklDRS4zLzE5LzIwMjQBAAAA6OVxAgIAAAACMTIA5irmEiIT3gjgwN4VIhPeCB9DSVEuSE9USC5JUV9MQVNUU0FMRVBSSUNFLjQ1MzY5AQAAAFBi6xkCAAAABDEuMTUAkUi2EiIT3gjgwN4VIhPeCChDSVEuQ1ZNLklRX1BSSUNFX1ZPTF9ISVNUXzZNVEguMy8xOS8yMDI0</t>
  </si>
  <si>
    <t>AQAAALryAwACAAAACDExNC40NzQ1AJFIthIiE94IVFLeFSIT3ggjQ0lRLkFMTVMuSVFfTEFTVFNBTEVQUklDRS4zLzIwLzIwMjQBAAAAX3sPKgMAAAAAAJFIthIiE94IKgTeFSIT3ggeQ0lRLk1SSy5JUV9MQVNUU0FMRVBSSUNFLjQ1MzcxAQAAAPZmBAACAAAABjEyMy44NQCRSLYSIhPeCOGO3RUiE94IH0NJUS5BQkJWLklRX0xBU1RTQUxFUFJJQ0UuNDUzODABAAAACgF1CAIAAAAFMTgyLjEAkUi2EiIT3gi68twVIhPeCCNDSVEuU0xSWC5JUV9MQVNUU0FMRVBSSUNFLjMvMjIvMjAyNAEAAADQ36sTAgAAAAk3NC4zOTk5NjIAkUi2EiIT3gjmG9wVIhPeCClDSVEuQVBHRS5JUV9QUklDRV9WT0xfSElTVF82TVRILjMvMjUvMjAyNAEAAACV+0ZsAgAAAAY4My41NDkAkUi2EiIT3gjWs9kVIhPeCB9DSVEuQVJXUi5JUV9MQVNUU0FMRVBSSUNFLjQ1MzgzAQAAAIYZAwACAAAABTI4LjI0AJFIthIiE94I1rPZFSIT3ggjQ0lRLk1UTkIuSVFfTEFTVFNBTEVQUklDRS4zLzI1LzIwMjQBAAAA2tKFDgIAAAAFMTQuNTEAkUi2EiIT3gjWs9kVIhPeCB9DSVEuQ0VSUy5JUV9MQVNUU0FMRVBSSUNFLjQ1Mzg0AQAAAN5mAAACAAAABDEuNzYAkUi2EiIT3gjWs9kVIhPeCChDSVEuTk9WTi5JUV9QUklDRV9WT0xfSElTVF82TVRILjEvNS8yMDI0AQAAAFnWBQACAAAABzE3LjkyNTQAUmiVEyIT3gjocQkWIhPeCB9DSVEuU1JQ</t>
  </si>
  <si>
    <t>VC5JUV9MQVNUU0FMRVBSSUNFLjQ1MzE0AQAAAFiIBQACAAAABjEyMS4xMwB1G4gTIhPeCDKQBBYiE94IKUNJUS5BR0VOLklRX1BSSUNFX1ZPTF9ISVNUXzZNVEguMS8yMi8yMDI0AQAAAGRBBgACAAAABzgyLjYxNjEAdRuIEyIT3givJwIWIhPeCChDSVEuQk1ZLklRX1BSSUNFX1ZPTF9ISVNUXzZNVEguMS8yNS8yMDI0AQAAAMZkAAACAAAABzIxLjI1MzcASAyKEyIT3giLuf8VIhPeCB9DSVEuSVRSTS5JUV9MQVNUU0FMRVBSSUNFLjQ1MzI4AQAAAJCy+RICAAAABDEuNTgAJfBQEyIT3gjc5P0VIhPeCCBDSVEuS1lLT0YuSVFfTEFTVFNBTEVQUklDRS40NTMyNAEAAADLdQoAAwAAAAAAVhdREyIT3gjPhvwVIhPeCB9DSVEuUkFSRS5JUV9MQVNUU0FMRVBSSUNFLjQ1MzI3AQAAAPF6AAcCAAAABTQ0Ljc2AFYXURMiE94ITU77FSIT3ggfQ0lRLkROTEkuSVFfTEFTVFNBTEVQUklDRS40NTMyOAEAAAAOOfURAgAAAAUxNi42MwCSPVETIhPeCL2w+BUiE94IH0NJUS5PS1lPLklRX0xBU1RTQUxFUFJJQ0UuNDUzMzgBAAAAS8+2AgIAAAAEMS40MQCSPVETIhPeCL2w+BUiE94IIkNJUS5UQUsuSVFfTEFTVFNBTEVQUklDRS4yLzEyLzIwMjQBAAAALFgNAAIAAAAFMTQuMzEA7WNREyIT3ghdR/YVIhPeCB9DSVEuS0FMVi5JUV9MQVNUU0FMRVBSSUNFLjQ1MzM0AQAAABCOJQgCAAAABTE2LjA0AO1jURMiE94IXUf2FSIT</t>
  </si>
  <si>
    <t>3ggqQ0lRLklQU0VZLklRX1BSSUNFX1ZPTF9ISVNUXzZNVEguMi8xMy8yMDI0AQAAAEYQAgADAAAAAADtY1ETIhPeCF1H9hUiE94IHkNJUS5BSU0uSVFfTEFTVFNBTEVQUklDRS40NTMzNQEAAABzoK4oAgAAAAQwLjI5AJX8IBMiE94I1tfzFSIT3ggfQ0lRLkFQTFQuSVFfTEFTVFNBTEVQUklDRS40NTMzNgEAAAB7jFQhAgAAAAQyLjY4AJX8IBMiE94I1tfzFSIT3ggfQ0lRLkVOU0MuSVFfTEFTVFNBTEVQUklDRS40NTMzNgEAAAA/RhYDAgAAAAkxMy40OTk5OTMAyCUhEyIT3gjW1/MVIhPeCB5DSVEuQVpOLklRX0xBU1RTQUxFUFJJQ0UuNDUzNDgBAAAAhiMFAAIAAAAGMTAyLjU0AMglIRMiE94Ij7DzFSIT3ggfQ0lRLkFSVk4uSVFfTEFTVFNBTEVQUklDRS40NTM0OQEAAACAgnwOAgAAAAU0OC4wMQC2SiETIhPeCDYU8xUiE94IH0NJUS5NTlBSLklRX0xBU1RTQUxFUFJJQ0UuNDUzNDMBAAAAS6YkEgIAAAAEMi44NQC2SiETIhPeCDZ48hUiE94IH0NJUS5BVE5NLklRX0xBU1RTQUxFUFJJQ0UuNDUzNTEBAAAAm7d3AAIAAAAEOC41MwCIdSETIhPeCLsC8hUiE94IIkNJUS5HU0suSVFfTEFTVFNBTEVQUklDRS4yLzI2LzIwMjQBAAAA8jMEAAIAAAAGMTYuNzQ2AIh1IRMiE94IJuTwFSIT3ggpQ0lRLlRDUlguSVFfUFJJQ0VfVk9MX0hJU1RfNk1USC4yLzI2LzIwMjQBAAAAqsDAIgIAAAAIMTAyLjE3NDgAiHUh</t>
  </si>
  <si>
    <t>EyIT3gjqR/AVIhPeCCNDSVEuTkVSVi5JUV9MQVNUU0FMRVBSSUNFLjIvMjcvMjAyNAEAAAAJk5APAgAAAAMyLjgAiHUhEyIT3giv0u8VIhPeCB9DSVEuR0FOWC5JUV9MQVNUU0FMRVBSSUNFLjQ1MzU2AQAAANvQDCECAAAABDQuNjYAiHUhEyIT3ghsJ+8VIhPeCB9DSVEuU05TRS5JUV9MQVNUU0FMRVBSSUNFLjQ1MzQ5AQAAAO0sCwACAAAABDE1LjQAiHUhEyIT3ggIsu4VIhPeCCNDSVEuS0FOVC5JUV9MQVNUU0FMRVBSSUNFLjIvMjkvMjAyNAUAAAAAAAAACAAAABQoSW52YWxpZCBJZGVudGlmaWVyKfu4FRMiE94IBmTuFSIT3ggoQ0lRLkNVRS5JUV9QUklDRV9WT0xfSElTVF82TVRILjIvMjkvMjAyNAEAAACmZugYAgAAAAc3Ny45ODk3APu4FRMiE94IyqvtFSIT3ggiQ0lRLkNHRU0uSVFfTEFTVFNBTEVQUklDRS4zLzEvMjAyNAEAAAB/eiYgAgAAAAUxOC41MQD7uBUTIhPeCAFe7RUiE94IHkNJUS5KTkouSVFfTEFTVFNBTEVQUklDRS40NTM1OQEAAACdIQIAAgAAAAYxNTkuNTIA+7gVEyIT3gjWwewVIhPeCB5DSVEuTlZTLklRX0xBU1RTQUxFUFJJQ0UuNDUzNTIBAAAAqbXoDwIAAAAENC4wNQD7uBUTIhPeCEcl7BUiE94IIkNJUS5NVEVNLklRX0xBU1RTQUxFUFJJQ0UuMy80LzIwMjQBAAAAmZupAQMAAAAAAPu4FRMiE94I1KvrFSIT3ggoQ0lRLkFQR0UuSVFfUFJJQ0VfVk9MX0hJU1RfNk1USC4zLzUv</t>
  </si>
  <si>
    <t>MjAyNAEAAACV+0ZsAgAAAAc4My43OTA5APu4FRMiE94IbTbrFSIT3ggfQ0lRLlJHTlguSVFfTEFTVFNBTEVQUklDRS40NTM1NQEAAABUb8kHAgAAAAUyMS4zNgD7uBUTIhPeCESa6hUiE94IH0NJUS5OS1RSLklRX0xBU1RTQUxFUFJJQ0UuNDUzNTUBAAAA6XQAAAIAAAAJMTMuNDk5OTkzAPu4FRMiE94Ij/nnFSIT3ggiQ0lRLkdJTEQuSVFfTEFTVFNBTEVQUklDRS4zLzUvMjAyNAEAAABKcQAAAgAAAAU3Mi45OQD7uBUTIhPeCI/55xUiE94IIkNJUS5YT01BLklRX0xBU1RTQUxFUFJJQ0UuMy82LzIwMjQBAAAAoY8AAAIAAAACMjUA+7gVEyIT3giP+ecVIhPeCB5DSVEuQkhDLklRX0xBU1RTQUxFUFJJQ0UuNDUzNTYBAAAAs0YFAAIAAAAEOS41NgD7uBUTIhPeCI/55xUiE94IIUNJUS5HU0suSVFfTEFTVFNBTEVQUklDRS4zLzYvMjAyNAEAAADyMwQAAgAAAAYxNi43MzIA+7gVEyIT3giP+ecVIhPeCCJDSVEuTU5NRC5JUV9MQVNUU0FMRVBSSUNFLjMvNy8yMDI0AQAAAKL8nCUCAAAAATkA+ikYEyIT3givkeUVIhPeCCJDSVEuVEVMTy5JUV9MQVNUU0FMRVBSSUNFLjMvNy8yMDI0AQAAAMTjLG0CAAAAAzguNwD6KRgTIhPeCK+R5RUiE94IHkNJUS5OVk8uSVFfTEFTVFNBTEVQUklDRS40NTM2NgEAAAB87wQAAgAAAAYxMzIuMzcACLnjEiIT3givkeUVIhPeCCNDSVEuQVJRVC5JUV9MQVNUU0FMRVBSSUNFLjMv</t>
  </si>
  <si>
    <t>MTAvMjAyNAEAAAAoYbkgAgAAAAUxMS4xNQAIueMSIhPeCK+R5RUiE94II0NJUS5BU0xOLklRX0xBU1RTQUxFUFJJQ0UuMy8xMS8yMDI0BQAAAAAAAAAIAAAAFChJbnZhbGlkIElkZW50aWZpZXIpCLnjEiIT3givkeUVIhPeCB9DSVEuVlRZWC5JUV9MQVNUU0FMRVBSSUNFLjQ1MzY5AQAAAAQUFigCAAAABDcuOTgACLnjEiIT3gjKKOMVIhPeCCNDSVEuQUxNUy5JUV9MQVNUU0FMRVBSSUNFLjMvMTEvMjAyNAEAAABfew8qAwAAAAAACLnjEiIT3gjKKOMVIhPeCB9DSVEuUFNUVi5JUV9MQVNUU0FMRVBSSUNFLjQ1MzY5AQAAAAEIBAACAAAABDEuNzIACLnjEiIT3gjKKOMVIhPeCB9DSVEuQ1lCTi5JUV9MQVNUU0FMRVBSSUNFLjQ1MzcxAQAAAP7LvicCAAAACTE1Ljk1OTk5MwAIueMSIhPeCMoo4xUiE94IH0NJUS5YT01BLklRX0xBU1RTQUxFUFJJQ0UuNDUzNzEBAAAAoY8AAAIAAAAFMjQuNjIACLnjEiIT3ggEweAVIhPeCB9DSVEuQ0FMQy5JUV9MQVNUU0FMRVBSSUNFLjQ1MzcxAQAAAAZjCgICAAAABDMuNDYACLnjEiIT3ggEweAVIhPeCB9DSVEuSU1SWC5JUV9MQVNUU0FMRVBSSUNFLjQ1MzcyAQAAANUOYRICAAAABDIuNzMACLnjEiIT3ggEweAVIhPeCB9DSVEuSlNQUi5JUV9MQVNUU0FMRVBSSUNFLjQ1MzczAQAAAF6SlSYCAAAABTI5LjIzAAi54xIiE94IBMHgFSIT3ggpQ0lRLlBIVlMuSVFfUFJJQ0Vf</t>
  </si>
  <si>
    <t>Vk9MX0hJU1RfNk1USC4zLzE1LzIwMjQBAAAAcIsEGAIAAAAHNzUuMzEyOAAIueMSIhPeCODA3hUiE94IH0NJUS5QTVZQLklRX0xBU1RTQUxFUFJJQ0UuNDUzNzYBAAAAl+p9DwIAAAADMS43AAi54xIiE94I4MDeFSIT3ggfQ0lRLkRUSUwuSVFfTEFTVFNBTEVQUklDRS40NTM3NwEAAADo5XECAgAAAAUxMi43NQDmKuYSIhPeCODA3hUiE94II0NJUS5IT1RILklRX0xBU1RTQUxFUFJJQ0UuMy8xOS8yMDI0AQAAAFBi6xkCAAAABDEuMzUAkUi2EiIT3gjgwN4VIhPeCB5DSVEuQ1ZNLklRX0xBU1RTQUxFUFJJQ0UuNDUzNjkBAAAAuvIDAAIAAAAINjEuNTA2MTUAkUi2EiIT3ghUUt4VIhPeCB9DSVEuQUxNUy5JUV9MQVNUU0FMRVBSSUNFLjQ1Mzc4AQAAAF97DyoDAAAAAACRSLYSIhPeCCoE3hUiE94IIkNJUS5NUksuSVFfTEFTVFNBTEVQUklDRS4zLzIxLzIwMjQBAAAA9mYEAAIAAAAGMTIzLjYyAJFIthIiE94I4Y7dFSIT3ggpQ0lRLklWVkQuSVFfUFJJQ0VfVk9MX0hJU1RfNk1USC4zLzIyLzIwMjQBAAAAgoNeKAIAAAAIMTM4LjM1NDQAkUi2EiIT3gh3fdwVIhPeCCNDSVEuWkxBQi5JUV9MQVNUU0FMRVBSSUNFLjMvMjIvMjAyNAEAAAB3AikQAgAAAAUxNi4xOACRSLYSIhPeCOYb3BUiE94IH0NJUS5BUEdFLklRX0xBU1RTQUxFUFJJQ0UuNDUzNzMBAAAAlftGbAIAAAAFNjguNDMAkUi2EiIT3gjWs9kVIhPe</t>
  </si>
  <si>
    <t>CClDSVEuUllUTS5JUV9QUklDRV9WT0xfSElTVF82TVRILjMvMjUvMjAyNAEAAAAYyW0SAgAAAAc2MS42MzQ0AJFIthIiE94I1rPZFSIT3ggfQ0lRLk1UTkIuSVFfTEFTVFNBTEVQUklDRS40NTM4MwEAAADa0oUOAgAAAAUxOC40OQCRSLYSIhPeCNaz2RUiE94IKUNJUS5MSVRTLklRX1BSSUNFX1ZPTF9ISVNUXzZNVEguMy8yNi8yMDI0AQAAAD3JIQACAAAABzU5LjYwNzQAkUi2EiIT3gjWs9kVIhPeCB9DSVEuWlZSQS5JUV9MQVNUU0FMRVBSSUNFLjQ1Mzg0AQAAAI674AMCAAAABTUuMTE1AJFIthIiE94IMUzXFSIT3ggjQ0lRLk5WQ1IuSVFfTEFTVFNBTEVQUklDRS4zLzI3LzIwMjQBAAAA6HwfBAIAAAAFMTQuNjQAkUi2EiIT3ggxTNcVIhPeCB9DSVEuQVZUWC5JUV9MQVNUU0FMRVBSSUNFLjQ1Mzc3AQAAAAhNqQgCAAAABjQuNjI0MgCRSLYSIhPeCDFM1xUiE94IH0NJUS5SQVJFLklRX0xBU1RTQUxFUFJJQ0UuNDUzODUBAAAA8XoABwIAAAAFNDcuMDgAkUi2EiIT3ggxTNcVIhPeCCNDSVEuUFRJWC5JUV9MQVNUU0FMRVBSSUNFLjMvMjcvMjAyNAEAAABzr21wAwAAAAAAkUi2EiIT3ggxTNcVIhPeCB5DSVEuWExPLklRX0xBU1RTQUxFUFJJQ0UuNDUzNzgBAAAAPIzGFQIAAAAFMC42MzkApZmsEiIT3ghp49QVIhPeCCNDSVEuQ05UWC5JUV9MQVNUU0FMRVBSSUNFLjMvMjgvMjAyNAEAAAAgmVEYAgAAAAQx</t>
  </si>
  <si>
    <t>LjM4AKWZrBIiE94IaePUFSIT3ggeQ0lRLkFaTi5JUV9MQVNUU0FMRVBSSUNFLjQ1MzgwAQAAAIYjBQACAAAABjEwNi43OAClmawSIhPeCGnj1BUiE94IKENJUS5TUlpOLklRX1BSSUNFX1ZPTF9ISVNUXzZNVEguNC8xLzIwMjQBAAAAFz71FwIAAAAIMTA5LjMyMTUApZmsEiIT3ghp49QVIhPeCB5DSVEuTExZLklRX0xBU1RTQUxFUFJJQ0UuNDUzOTEBAAAAG1sEAAIAAAAGNzU3LjI0AKWZrBIiE94IaePUFSIT3ggoQ0lRLkdOUFguSVFfUFJJQ0VfVk9MX0hJU1RfNk1USC40LzIvMjAyNAEAAACqvHENAgAAAAcxMjUuMDc2AKWZrBIiE94IaHHSFSIT3ggfQ0lRLlNHSFQuSVFfTEFTVFNBTEVQUklDRS40NTM5MQEAAABrYGgIAgAAAAQ2LjA3AKWZrBIiE94IaHHSFSIT3ggjQ0lRLkRTTktZLklRX0xBU1RTQUxFUFJJQ0UuNC8zLzIwMjQBAAAAOZlpAQMAAAAAAKWZrBIiE94IaHHSFSIT3ggfQ0lRLk1HTlguSVFfTEFTVFNBTEVQUklDRS40NTM4NAEAAABPKwkAAgAAAAUxMy4zMQClmawSIhPeCGhx0hUiE94IIkNJUS5BRENULklRX0xBU1RTQUxFUFJJQ0UuNC80LzIwMjQBAAAAmqPpCgIAAAAENC43MQClmawSIhPeCH4H0BUiE94IKENJUS5HT1ZYLklRX1BSSUNFX1ZPTF9ISVNUXzZNVEguNC80LzIwMjQBAAAAr/i3AAIAAAAHNjkuOTQxNwClmawSIhPeCH4H0BUiE94IKENJUS5JR1hULklRX1BSSUNFX1ZPTF9I</t>
  </si>
  <si>
    <t>SVNUXzZNVEguNC81LzIwMjQBAAAABKjLAQMAAAAAAKWZrBIiE94IfgfQFSIT3ggoQ0lRLkxFR04uSVFfUFJJQ0VfVk9MX0hJU1RfNk1USC40LzUvMjAyNAEAAABsI/MgAgAAAAczOC40MTUzACQHrxIiE94I/nLPFSIT3ggiQ0lRLlJFUEwuSVFfTEFTVFNBTEVQUklDRS40LzcvMjAyNAEAAABE6BIiAgAAAAQ3LjM2AMU5bBIiE94I/nLPFSIT3ggoQ0lRLklUT1MuSVFfUFJJQ0VfVk9MX0hJU1RfNk1USC40LzcvMjAyNAUAAAAAAAAACAAAABQoSW52YWxpZCBJZGVudGlmaWVyKcU5bBIiE94ILqTNFSIT3ggfQ0lRLlpZTUUuSVFfTEFTVFNBTEVQUklDRS40NTM4NwEAAABnZJQCAgAAAAQ5LjY1AMU5bBIiE94ILqTNFSIT3ggfQ0lRLktBTlQuSVFfTEFTVFNBTEVQUklDRS40NTM4NwUAAAAAAAAACAAAABQoSW52YWxpZCBJZGVudGlmaWVyKcU5bBIiE94ILqTNFSIT3ggfQ0lRLk1SVVMuSVFfTEFTVFNBTEVQUklDRS40NTM4NwEAAAAQZHwBAgAAAAQ0NC43AMU5bBIiE94ILqTNFSIT3ggfQ0lRLkNPR1QuSVFfTEFTVFNBTEVQUklDRS40NTM4NwEAAABp1EQoAgAAAAQ2LjcxAMU5bBIiE94IFH3NFSIT3ggfQ0lRLlBZWFMuSVFfTEFTVFNBTEVQUklDRS40NTM4NwEAAADx4IElAgAAAAQ1LjQ2AMU5bBIiE94IsS7NFSIT3ggfQ0lRLlNVUE4uSVFfTEFTVFNBTEVQUklDRS40NTM4NwEAAACwcwYAAgAAAAUzMy41NQDF</t>
  </si>
  <si>
    <t>OWwSIhPeCLTczBUiE94IH0NJUS5DSFJTLklRX0xBU1RTQUxFUFJJQ0UuNDUzODcBAAAAx3pVDAIAAAAEMi40MwDFOWwSIhPeCD1nzBUiE94IH0NJUS5JTk1CLklRX0xBU1RTQUxFUFJJQ0UuNDUzODcBAAAAl0ucHwIAAAAFMTAuMzQAxTlsEiIT3gghGcwVIhPeCB9DSVEuTlhUQy5JUV9MQVNUU0FMRVBSSUNFLjQ1Mzg3AQAAAFUaKRMCAAAACDI2LjE2MDAxAMU5bBIiE94IWaTLFSIT3ggeQ0lRLkxMWS5JUV9MQVNUU0FMRVBSSUNFLjQ1MzkwAQAAABtbBAACAAAABjc3Ny4yOQDFOWwSIhPeCFsqyxUiE94IH0NJUS5OUklYLklRX0xBU1RTQUxFUFJJQ0UuNDUzOTABAAAATCpVDAIAAAAEMTMuOADFOWwSIhPeCBHcyhUiE94IH0NJUS5NQ1JCLklRX0xBU1RTQUxFUFJJQ0UuNDUzOTABAAAA02JBDQIAAAAGMTQuNjQ4AMU5bBIiE94ITrfJFSIT3ggfQ0lRLklQSEEuSVFfTEFTVFNBTEVQUklDRS40NTM5MAEAAACZgAYAAgAAAAMyLjYAxTlsEiIT3ggNackVIhPeCB9DSVEuR0lMRC5JUV9MQVNUU0FMRVBSSUNFLjQ1MzkwAQAAAEpxAAACAAAABTY5LjQyAMU5bBIiE94IztbIFSIT3ggfQ0lRLk1OTUQuSVFfTEFTVFNBTEVQUklDRS40NTMwNgEAAACi/JwlAgAAAAQzLjk2AB+PlRMiE94I6HEJFiIT3ggeQ0lRLk9OQy5JUV9MQVNUU0FMRVBSSUNFLjQ1MzA2AQAAAODk3QYCAAAABjE3NS4yMQB1G4gTIhPeCDKQBBYi</t>
  </si>
  <si>
    <t>E94IH0NJUS5TRUVMLklRX0xBU1RTQUxFUFJJQ0UuNDUzMTABAAAA7DT9FwMAAAAAAHUbiBMiE94Ii7n/FSIT3ggpQ0lRLkNSQlAuSVFfUFJJQ0VfVk9MX0hJU1RfNk1USC4xLzI2LzIwMjQBAAAAJG8kDwIAAAAIMjAyLjk4OTgASAyKEyIT3giLuf8VIhPeCClDSVEuVlJUWC5JUV9QUklDRV9WT0xfSElTVF82TVRILjEvMzAvMjAyNAEAAACLjQAAAgAAAAcyNi41NzQyACXwUBMiE94I3OT9FSIT3gggQ0lRLktZS09GLklRX0xBU1RTQUxFUFJJQ0UuNDUzMzQBAAAAy3UKAAMAAAAAAFYXURMiE94Iz4b8FSIT3ggfQ0lRLklOS1QuSVFfTEFTVFNBTEVQUklDRS40NTMyNwEAAADE0RZkAgAAAAU4LjUyNgCSPVETIhPeCB4Z+xUiE94IIkNJUS5OUlhQLklRX0xBU1RTQUxFUFJJQ0UuMi85LzIwMjQBAAAAFXoJEwIAAAAENS4xMgCSPVETIhPeCL2w+BUiE94IH0NJUS5KQUdYLklRX0xBU1RTQUxFUFJJQ0UuNDUzNDEBAAAAjLnDAAIAAAAKMTE3LjE0OTc2NQDtY1ETIhPeCF1H9hUiE94IKUNJUS5DQURMLklRX1BSSUNFX1ZPTF9ISVNUXzZNVEguMi8xMy8yMDI0AQAAAKtaOgICAAAABzExMC43NDMA7WNREyIT3ghdR/YVIhPeCCBDSVEuSVBTRVkuSVFfTEFTVFNBTEVQUklDRS40NTMzNAEAAABGEAIAAwAAAAAA7WNREyIT3ghdR/YVIhPeCCJDSVEuQUlNLklRX0xBU1RTQUxFUFJJQ0UuMi8xNC8yMDI0AQAAAHOgrigC</t>
  </si>
  <si>
    <t>AAAABTAuMjg1AJX8IBMiE94I1tfzFSIT3ggjQ0lRLkFQTFQuSVFfTEFTVFNBTEVQUklDRS4yLzE1LzIwMjQBAAAAe4xUIQIAAAAEMy43NQCV/CATIhPeCNbX8xUiE94IH0NJUS5FTlNDLklRX0xBU1RTQUxFUFJJQ0UuNDUzNDQBAAAAP0YWAwIAAAAJMTMuNDI0OTc4AMglIRMiE94I1tfzFSIT3ggpQ0lRLlNQUlkuSVFfUFJJQ0VfVk9MX0hJU1RfNk1USC4yLzIwLzIwMjQBAAAAB6bhIgIAAAAIMTMxLjQ5MDcAtkohEyIT3gg2FPMVIhPeCCNDSVEuTU5QUi5JUV9MQVNUU0FMRVBSSUNFLjIvMjIvMjAyNAEAAABLpiQSAgAAAAM1LjYAtkohEyIT3gg2ePIVIhPeCClDSVEuR01EQS5JUV9QUklDRV9WT0xfSElTVF82TVRILjIvMjIvMjAyNAEAAABAfQgAAwAAAAAAiHUhEyIT3gjX2/EVIhPeCB9DSVEuVENSWC5JUV9MQVNUU0FMRVBSSUNFLjQ1MzQ1AQAAAKrAwCICAAAABDYuNzYAiHUhEyIT3gjqR/AVIhPeCB9DSVEuTkVSVi5JUV9MQVNUU0FMRVBSSUNFLjQ1MzU2AQAAAAmTkA8CAAAAAzIuNgCIdSETIhPeCK/S7xUiE94IKENJUS5QVE4uSVFfUFJJQ0VfVk9MX0hJU1RfNk1USC4yLzI4LzIwMjQBAAAACC/cDAIAAAAHNjkuNzE4NwCIdSETIhPeCGwn7xUiE94II0NJUS5TTlNFLklRX0xBU1RTQUxFUFJJQ0UuMi8yOC8yMDI0AQAAAO0sCwACAAAABDE2LjgAiHUhEyIT3ggC2e4VIhPeCB9DSVEuS0FOVC5JUV9M</t>
  </si>
  <si>
    <t>QVNUU0FMRVBSSUNFLjQ1MzU4BQAAAAAAAAAIAAAAFChJbnZhbGlkIElkZW50aWZpZXIp+7gVEyIT3gjSPO4VIhPeCB5DSVEuQ1VFLklRX0xBU1RTQUxFUFJJQ0UuNDUzNTABAAAApmboGAIAAAAEMi4xMgD7uBUTIhPeCOXS7RUiE94IIkNJUS5CSVZJLklRX0xBU1RTQUxFUFJJQ0UuMy8xLzIwMjQBAAAAA4tyDgIAAAADMTg5APu4FRMiE94IyjbtFSIT3ggoQ0lRLldIV0suSVFfUFJJQ0VfVk9MX0hJU1RfNk1USC4zLzEvMjAyNAEAAABft6QZAgAAAAgxMzMuMjc1OAD7uBUTIhPeCIia7BUiE94IIUNJUS5OVlMuSVFfTEFTVFNBTEVQUklDRS4zLzQvMjAyNAEAAACptegPAgAAAAM0LjIA+7gVEyIT3ghHJewVIhPeCB9DSVEuTVRFTS5JUV9MQVNUU0FMRVBSSUNFLjQ1MzYyAQAAAJmbqQEDAAAAAAD7uBUTIhPeCNSr6xUiE94IH0NJUS5BUEdFLklRX0xBU1RTQUxFUFJJQ0UuNDUzNTUBAAAAlftGbAIAAAAFNDEuNzQA+7gVEyIT3ghtNusVIhPeCCJDSVEuUkdOWC5JUV9MQVNUU0FMRVBSSUNFLjMvNS8yMDI0AQAAAFRvyQcCAAAABTI0LjYxAPu4FRMiE94IRJrqFSIT3ggfQ0lRLk5LVFIuSVFfTEFTVFNBTEVQUklDRS40NTM2MwEAAADpdAAAAgAAAAkxMy4zNDk5OTMA+7gVEyIT3giP+ecVIhPeCB9DSVEuR0lMRC5JUV9MQVNUU0FMRVBSSUNFLjQ1MzYzAQAAAEpxAAACAAAABTc1LjA4APu4FRMiE94Ij/nnFSIT</t>
  </si>
  <si>
    <t>3ggfQ0lRLlhPTUEuSVFfTEFTVFNBTEVQUklDRS40NTM2NAEAAAChjwAAAgAAAAUyNS42MQD7uBUTIhPeCI/55xUiE94IHkNJUS5CSEMuSVFfTEFTVFNBTEVQUklDRS40NTM2NAEAAACzRgUAAgAAAAQ5LjI4APu4FRMiE94Ij/nnFSIT3ggeQ0lRLkdTSy5JUV9MQVNUU0FMRVBSSUNFLjQ1MzY0AQAAAPIzBAACAAAABjE2Ljk1MgD7uBUTIhPeCI/55xUiE94IH0NJUS5NTk1ELklRX0xBU1RTQUxFUFJJQ0UuNDUzNjUBAAAAovycJQIAAAAEOC4xNAD6KRgTIhPeCK+R5RUiE94IH0NJUS5URUxPLklRX0xBU1RTQUxFUFJJQ0UuNDUzNjUBAAAAxOMsbQIAAAAENi41MQD6KRgTIhPeCK+R5RUiE94IH0NJUS5BQk9TLklRX0xBU1RTQUxFUFJJQ0UuNDUzNjYBAAAAgU2CAAIAAAAENC4xOAAIueMSIhPeCK+R5RUiE94IH0NJUS5BU0xOLklRX0xBU1RTQUxFUFJJQ0UuNDUzNjkFAAAAAAAAAAgAAAAUKEludmFsaWQgSWRlbnRpZmllcikIueMSIhPeCK+R5RUiE94IKENJUS5KTkouSVFfUFJJQ0VfVk9MX0hJU1RfNk1USC4zLzExLzIwMjQBAAAAnSECAAIAAAAHMTMuMDIyMwAIueMSIhPeCMoo4xUiE94IH0NJUS5BTE1TLklRX0xBU1RTQUxFUFJJQ0UuNDUzNjkBAAAAX3sPKgMAAAAAAAi54xIiE94IyijjFSIT3ggoQ0lRLk5WUy5JUV9QUklDRV9WT0xfSElTVF82TVRILjMvMTIvMjAyNAEAAACptegPAgAAAAc1NC4wMTQ5</t>
  </si>
  <si>
    <t>AAi54xIiE94IyijjFSIT3ggoQ0lRLlNMTi5JUV9QUklDRV9WT0xfSElTVF82TVRILjMvMTMvMjAyNAEAAADwywIAAgAAAAc3MS4zNTIxAAi54xIiE94IyijjFSIT3ggoQ0lRLlRBSy5JUV9QUklDRV9WT0xfSElTVF82TVRILjMvMTMvMjAyNAEAAAAsWA0AAgAAAAcxOS44Mjc1AAi54xIiE94IBMHgFSIT3ggpQ0lRLklNTk4uSVFfUFJJQ0VfVk9MX0hJU1RfNk1USC4zLzEzLzIwMjQBAAAALvkDAAIAAAAHODkuODk4OAAIueMSIhPeCATB4BUiE94IKUNJUS5OVkNULklRX1BSSUNFX1ZPTF9ISVNUXzZNVEguMy8xNC8yMDI0AQAAAKKJGWQCAAAABzc4LjAxMDIACLnjEiIT3ggEweAVIhPeCChDSVEuQk1ZLklRX1BSSUNFX1ZPTF9ISVNUXzZNVEguMy8xNC8yMDI0AQAAAMZkAAACAAAABzIxLjkwNjcACLnjEiIT3ggEweAVIhPeCChDSVEuSk5KLklRX1BSSUNFX1ZPTF9ISVNUXzZNVEguMy8xNS8yMDI0AQAAAJ0hAgACAAAABzEzLjEyMzUACLnjEiIT3ggEweAVIhPeCClDSVEuV0hXSy5JUV9QUklDRV9WT0xfSElTVF82TVRILjMvMTgvMjAyNAEAAABft6QZAgAAAAgxMzkuMjAwMwAIueMSIhPeCODA3hUiE94IKENJUS5NUksuSVFfUFJJQ0VfVk9MX0hJU1RfNk1USC4zLzE4LzIwMjQBAAAA9mYEAAIAAAAHMTYuMDU0OQAIueMSIhPeCODA3hUiE94IKUNJUS5BWFNNLklRX1BSSUNFX1ZPTF9ISVNUXzZNVEguMy8x</t>
  </si>
  <si>
    <t>OS8yMDI0AQAAAGs3aw4CAAAABzUwLjY3NzEA5irmEiIT3gjgwN4VIhPeCB9DSVEuSE9USC5JUV9MQVNUU0FMRVBSSUNFLjQ1Mzc3AQAAAFBi6xkCAAAABDEuNDkAkUi2EiIT3gjgwN4VIhPeCCJDSVEuQ1ZNLklRX0xBU1RTQUxFUFJJQ0UuMy8xOS8yMDI0AQAAALryAwACAAAACDYwLjkwNjA5AJFIthIiE94IVFLeFSIT3ggpQ0lRLkVOVFguSVFfUFJJQ0VfVk9MX0hJU1RfNk1USC4zLzIwLzIwMjQBAAAALqZgBgIAAAAIMTA1LjA1ODgAkUi2EiIT3ggqBN4VIhPeCB5DSVEuTVJLLklRX0xBU1RTQUxFUFJJQ0UuNDUzNzkBAAAA9mYEAAIAAAAGMTMxLjk1AJFIthIiE94IF2jdFSIT3ggfQ0lRLlpMQUIuSVFfTEFTVFNBTEVQUklDRS40NTM4MAEAAAB3AikQAgAAAAUxNi4wMgCRSLYSIhPeCOYb3BUiE94II0NJUS5BUEdFLklRX0xBU1RTQUxFUFJJQ0UuMy8yNS8yMDI0AQAAAJX7RmwCAAAAAjY1AJFIthIiE94I1rPZFSIT3ggfQ0lRLlJZVE0uSVFfTEFTVFNBTEVQUklDRS40NTM3MwEAAAAYyW0SAgAAAAU0MC41NQCRSLYSIhPeCNaz2RUiE94IKUNJUS5TVE9LLklRX1BSSUNFX1ZPTF9ISVNUXzZNVEguMy8yNS8yMDI0AQAAAB6IAQ8CAAAABzg4LjU1NjQAkUi2EiIT3gjWs9kVIhPeCCNDSVEuUFJBWC5JUV9MQVNUU0FMRVBSSUNFLjMvMjYvMjAyNAEAAAAsdGQYAgAAAAU2Mi4xOACRSLYSIhPeCNaz2RUiE94I</t>
  </si>
  <si>
    <t>H0NJUS5MSVRTLklRX0xBU1RTQUxFUFJJQ0UuNDUzNzYBAAAAPckhAAIAAAAFMy44NzIAkUi2EiIT3gjWs9kVIhPeCChDSVEuTVJLLklRX1BSSUNFX1ZPTF9ISVNUXzZNVEguMy8yNi8yMDI0AQAAAPZmBAACAAAABzE2LjEzNzEAkUi2EiIT3ggxTNcVIhPeCB9DSVEuTlZDUi5JUV9MQVNUU0FMRVBSSUNFLjQ1Mzg1AQAAAOh8HwQCAAAABTE0LjQyAJFIthIiE94IMUzXFSIT3ggjQ0lRLkFWVFguSVFfTEFTVFNBTEVQUklDRS4zLzI3LzIwMjQBAAAACE2pCAIAAAAENC43NQCRSLYSIhPeCDFM1xUiE94IKUNJUS5NUkVPLklRX1BSSUNFX1ZPTF9ISVNUXzZNVEguMy8yNy8yMDI0AQAAAKpBWxICAAAABzcyLjMyNDUAkUi2EiIT3ggxTNcVIhPeCB9DSVEuUFRJWC5JUV9MQVNUU0FMRVBSSUNFLjQ1Mzg1AQAAAHOvbXADAAAAAACRSLYSIhPeCDFM1xUiE94IIkNJUS5YTE8uSVFfTEFTVFNBTEVQUklDRS4zLzI4LzIwMjQBAAAAPIzGFQIAAAAEMS4wOAClmawSIhPeCGnj1BUiE94IH0NJUS5DTlRYLklRX0xBU1RTQUxFUFJJQ0UuNDUzODYBAAAAIJlRGAIAAAAEMS4yOAClmawSIhPeCGnj1BUiE94IIUNJUS5BWk4uSVFfTEFTVFNBTEVQUklDRS40LzEvMjAyNAEAAACGIwUAAgAAAAYxMDYuNzgApZmsEiIT3ghp49QVIhPeCB9DSVEuR05QWC5JUV9MQVNUU0FMRVBSSUNFLjQ1MzgzAQAAAKq8cQ0CAAAABTE0OC41AKWZ</t>
  </si>
  <si>
    <t>rBIiE94IaHHSFSIT3ggoQ0lRLlZOREEuSVFfUFJJQ0VfVk9MX0hJU1RfNk1USC40LzIvMjAyNAEAAAAjh3YBAgAAAAc2MC4xNjcxAKWZrBIiE94IaHHSFSIT3gggQ0lRLkRTTktZLklRX0xBU1RTQUxFUFJJQ0UuNDUzOTIBAAAAOZlpAQMAAAAAAKWZrBIiE94IaHHSFSIT3ggiQ0lRLk1HTlguSVFfTEFTVFNBTEVQUklDRS40LzMvMjAyNAEAAABPKwkAAgAAAAUxMy42NwClmawSIhPeCGhx0hUiE94IH0NJUS5BRENULklRX0xBU1RTQUxFUFJJQ0UuNDUzOTMBAAAAmqPpCgIAAAAENC42OAClmawSIhPeCH4H0BUiE94IH0NJUS5HT1ZYLklRX0xBU1RTQUxFUFJJQ0UuNDUzODUBAAAAr/i3AAIAAAAEMS45NAClmawSIhPeCH4H0BUiE94IH0NJUS5JR1hULklRX0xBU1RTQUxFUFJJQ0UuNDUzODYBAAAABKjLAQMAAAAAAKWZrBIiE94IfgfQFSIT3ggfQ0lRLkNEVFguSVFfTEFTVFNBTEVQUklDRS40NTM5NAEAAADo394PAgAAAAQxNi4yAKWZrBIiE94IfgfQFSIT3ggfQ0lRLkxFR04uSVFfTEFTVFNBTEVQUklDRS40NTM4NgEAAABsI/MgAgAAAAU1NS4xNAAkB68SIhPeCP5yzxUiE94IKENJUS5BTE5ZLklRX1BSSUNFX1ZPTF9ISVNUXzZNVEguNC83LzIwMjQBAAAAc6wqAAIAAAAHMzUuMjQ5OQDFOWwSIhPeCP5yzxUiE94IH0NJUS5JVE9TLklRX0xBU1RTQUxFUFJJQ0UuNDUzODcFAAAAAAAAAAgAAAAUKEludmFs</t>
  </si>
  <si>
    <t>aWQgSWRlbnRpZmllcinFOWwSIhPeCC6kzRUiE94IIkNJUS5aWU1FLklRX0xBU1RTQUxFUFJJQ0UuNC84LzIwMjQBAAAAZ2SUAgIAAAAEOS42MgDFOWwSIhPeCC6kzRUiE94IIkNJUS5LQU5ULklRX0xBU1RTQUxFUFJJQ0UuNC84LzIwMjQFAAAAAAAAAAgAAAAUKEludmFsaWQgSWRlbnRpZmllcinFOWwSIhPeCC6kzRUiE94IIkNJUS5NUlVTLklRX0xBU1RTQUxFUFJJQ0UuNC84LzIwMjQBAAAAEGR8AQIAAAAFNDQuMDEAxTlsEiIT3ggupM0VIhPeCCJDSVEuQ09HVC5JUV9MQVNUU0FMRVBSSUNFLjQvOC8yMDI0AQAAAGnURCgCAAAABDYuNTIAxTlsEiIT3ggUfc0VIhPeCCJDSVEuUFlYUy5JUV9MQVNUU0FMRVBSSUNFLjQvOC8yMDI0AQAAAPHggSUCAAAABDUuNTgAxTlsEiIT3gixLs0VIhPeCCJDSVEuU1VQTi5JUV9MQVNUU0FMRVBSSUNFLjQvOC8yMDI0AQAAALBzBgACAAAABTMxLjQzAMU5bBIiE94ItNzMFSIT3ggiQ0lRLkNIUlMuSVFfTEFTVFNBTEVQUklDRS40LzgvMjAyNAEAAADHelUMAgAAAAQyLjUxAMU5bBIiE94IPWfMFSIT3ggiQ0lRLklOTUIuSVFfTEFTVFNBTEVQUklDRS40LzgvMjAyNAEAAACXS5wfAgAAAAUxMC4zNgDFOWwSIhPeCCEZzBUiE94IIkNJUS5OWFRDLklRX0xBU1RTQUxFUFJJQ0UuNC84LzIwMjQBAAAAVRopEwIAAAAJMjQuNjAwMDA5AMU5bBIiE94IWaTLFSIT3gghQ0lRLkxM</t>
  </si>
  <si>
    <t>WS5JUV9MQVNUU0FMRVBSSUNFLjQvOS8yMDI0AQAAABtbBAACAAAABjc1Ny4yNADFOWwSIhPeCFsqyxUiE94IIkNJUS5OUklYLklRX0xBU1RTQUxFUFJJQ0UuNC85LzIwMjQBAAAATCpVDAIAAAAFMTcuNDgAxTlsEiIT3ggR3MoVIhPeCCJDSVEuTUNSQi5JUV9MQVNUU0FMRVBSSUNFLjQvOS8yMDI0AQAAANNiQQ0CAAAABjE0LjE4OADFOWwSIhPeCE63yRUiE94IIkNJUS5JUEhBLklRX0xBU1RTQUxFUFJJQ0UuNC85LzIwMjQBAAAAmYAGAAIAAAADMi42AMU5bBIiE94IDWnJFSIT3ggiQ0lRLkdJTEQuSVFfTEFTVFNBTEVQUklDRS40LzkvMjAyNAEAAABKcQAAAgAAAAU2OS45NADFOWwSIhPeCM7WyBUiE94IKENJUS5OUklYLklRX1BSSUNFX1ZPTF9ISVNUXzZNVEguMS84LzIwMjQBAAAATCpVDAIAAAAHNzcuMTY1OQAfj5UTIhPeCOhxCRYiE94IH0NJUS5MUFRYLklRX0xBU1RTQUxFUFJJQ0UuNDUzMDYBAAAADDYJBwIAAAAEMy41MQB1G4gTIhPeCDKQBBYiE94IH0NJUS5TUFJCLklRX0xBU1RTQUxFUFJJQ0UuNDUzMTABAAAA8RLmGAIAAAAKMTc5LjI1MDQ0OAB1G4gTIhPeCIu5/xUiE94IHkNJUS5CTVkuSVFfTEFTVFNBTEVQUklDRS40NTMxNwEAAADGZAAAAgAAAAQ0OS43AEgMihMiE94IrycCFiIT3ggfQ0lRLlZSVFguSVFfTEFTVFNBTEVQUklDRS40NTMyMAEAAACLjQAAAgAAAAY0MzUuODIAJfBQEyIT</t>
  </si>
  <si>
    <t>3gjc5P0VIhPeCB9DSVEuUExSWC5JUV9MQVNUU0FMRVBSSUNFLjQ1MzM0AQAAAG0RbhMCAAAABTE3LjI3AFYXURMiE94I9l/8FSIT3ggfQ0lRLlJFR04uSVFfTEFTVFNBTEVQUklDRS40NTMyNwEAAACzgwAAAgAAAAY5MzYuMzMAkj1REyIT3ggeGfsVIhPeCB9DSVEuQUxFQy5JUV9MQVNUU0FMRVBSSUNFLjQ1MzI5AQAAAGtA2w4CAAAAAzYuNACSPVETIhPeCL2w+BUiE94IH0NJUS5OUlhQLklRX0xBU1RTQUxFUFJJQ0UuNDUzMzgBAAAAFXoJEwIAAAAFNC43MDgAkj1REyIT3gi9sPgVIhPeCB9DSVEuU0dNTy5JUV9MQVNUU0FMRVBSSUNFLjQ1MzMxAQAAAAJMBgACAAAABjAuNTc0NADtY1ETIhPeCF1H9hUiE94IH0NJUS5DQURMLklRX0xBU1RTQUxFUFJJQ0UuNDUzNDIBAAAAq1o6AgIAAAAEMS43MgDtY1ETIhPeCF1H9hUiE94IJENJUS5JUFNFWS5JUV9MQVNUU0FMRVBSSUNFLjIvMTMvMjAyNAEAAABGEAIAAwAAAAAA7WNREyIT3ghdR/YVIhPeCB5DSVEuQUlNLklRX0xBU1RTQUxFUFJJQ0UuNDUzNDMBAAAAc6CuKAIAAAAFMC4yNzUAlfwgEyIT3gjW1/MVIhPeCB9DSVEuQVBMVC5JUV9MQVNUU0FMRVBSSUNFLjQ1MzQ0AQAAAHuMVCECAAAAAzUuNgCV/CATIhPeCNbX8xUiE94IKUNJUS5GQklPLklRX1BSSUNFX1ZPTF9ISVNUXzZNVEguMi8xNi8yMDI0AQAAAAnyrQMCAAAACDE1MS43OTcyAMglIRMiE94I</t>
  </si>
  <si>
    <t>1tfzFSIT3ggjQ0lRLlJBUFQuSVFfTEFTVFNBTEVQUklDRS4yLzIwLzIwMjQBAAAA0CBWEAIAAAAFNTQuOTYAyCUhEyIT3giPsPMVIhPeCB9DSVEuU1BSWS5JUV9MQVNUU0FMRVBSSUNFLjQ1MzQxAQAAAAem4SICAAAABDcuMTcAtkohEyIT3gg2FPMVIhPeCB9DSVEuTU5QUi5JUV9MQVNUU0FMRVBSSUNFLjQ1MzUxAQAAAEumJBICAAAABDQuMTUAtkohEyIT3gg2ePIVIhPeCB9DSVEuVlRZWC5JUV9MQVNUU0FMRVBSSUNFLjQ1MzQzAQAAAAQUFigCAAAABDUuMDQAiHUhEyIT3gjX2/EVIhPeCClDSVEuQUxMSy5JUV9QUklDRV9WT0xfSElTVF82TVRILjIvMjYvMjAyNAEAAAA5/m0NAwAAAAAAiHUhEyIT3ggOvfAVIhPeCB9DSVEuVENSWC5JUV9MQVNUU0FMRVBSSUNFLjQ1MzU1AQAAAKrAwCICAAAABDcuMTIAiHUhEyIT3gjqR/AVIhPeCClDSVEuVktUWC5JUV9QUklDRV9WT0xfSElTVF82TVRILjIvMjcvMjAyNAEAAADyvLUOAgAAAAgxMzMuNzAxMQCIdSETIhPeCK/S7xUiE94IHkNJUS5QVE4uSVFfTEFTVFNBTEVQUklDRS40NTM0OQEAAAAIL9wMAgAAAAUwLjA1OQCIdSETIhPeCGwn7xUiE94IH0NJUS5TTlNFLklRX0xBU1RTQUxFUFJJQ0UuNDUzNTcBAAAA7SwLAAIAAAAGMTguNjQyAIh1IRMiE94ICLLuFSIT3ggpQ0lRLklNVVguSVFfUFJJQ0VfVk9MX0hJU1RfNk1USC4yLzI5LzIwMjQBAAAAZX4FGAIA</t>
  </si>
  <si>
    <t>AAAHNzguNDU2MQD7uBUTIhPeCNI87hUiE94IHkNJUS5DVUUuSVFfTEFTVFNBTEVQUklDRS40NTM1OAEAAACmZugYAgAAAAQxLjk3APu4FRMiE94IyqvtFSIT3ggfQ0lRLkJJVkkuSVFfTEFTVFNBTEVQUklDRS40NTM1OQEAAAADi3IOAgAAAAQ3MS44APu4FRMiE94IyjbtFSIT3ggfQ0lRLldIV0suSVFfTEFTVFNBTEVQUklDRS40NTM1MQEAAABft6QZAgAAAAQxLjk3APu4FRMiE94IiJrsFSIT3ggeQ0lRLk5WUy5JUV9MQVNUU0FMRVBSSUNFLjQ1MzYyAQAAAKm16A8CAAAAAzQuMQD7uBUTIhPeCEcl7BUiE94IKENJUS5OUlhQLklRX1BSSUNFX1ZPTF9ISVNUXzZNVEguMy80LzIwMjQBAAAAFXoJEwIAAAAIMTA3LjY1NjYA+7gVEyIT3gjUq+sVIhPeCCFDSVEuR1NLLklRX0xBU1RTQUxFUFJJQ0UuMy81LzIwMjQBAAAA8jMEAAIAAAAGMTYuODM0APu4FRMiE94IUA/rFSIT3ggfQ0lRLlJHTlguSVFfTEFTVFNBTEVQUklDRS40NTM2MwEAAABUb8kHAgAAAAUyMS45OAD7uBUTIhPeCESa6hUiE94IKENJUS5PTkNZLklRX1BSSUNFX1ZPTF9ISVNUXzZNVEguMy81LzIwMjQBAAAAV3UUAAIAAAAGODEuNTYzAPu4FRMiE94Ij/nnFSIT3ggnQ0lRLk5WUy5JUV9QUklDRV9WT0xfSElTVF82TVRILjMvNS8yMDI0AQAAAKm16A8CAAAABzUzLjg3ODkA+7gVEyIT3giP+ecVIhPeCChDSVEuUlpMVC5JUV9QUklDRV9WT0xf</t>
  </si>
  <si>
    <t>SElTVF82TVRILjMvNi8yMDI0AQAAACEJmwoCAAAABzg5LjAzNzEA+7gVEyIT3giP+ecVIhPeCChDSVEuUkVHTi5JUV9QUklDRV9WT0xfSElTVF82TVRILjMvNi8yMDI0AQAAALODAAACAAAABzE3LjI4NjYA+7gVEyIT3giP+ecVIhPeCChDSVEuWkxBQi5JUV9QUklDRV9WT0xfSElTVF82TVRILjMvNi8yMDI0AQAAAHcCKRACAAAABzU3LjE3MDgA+ikYEyIT3giP+ecVIhPeCChDSVEuRkJJTy5JUV9QUklDRV9WT0xfSElTVF82TVRILjMvNy8yMDI0AQAAAAnyrQMCAAAABzE1MS44ODEA+ikYEyIT3givkeUVIhPeCChDSVEuQVBWTy5JUV9QUklDRV9WT0xfSElTVF82TVRILjMvNy8yMDI0AQAAAJTuvhMCAAAABzkxLjA2ODkA+ikYEyIT3givkeUVIhPeCChDSVEuTU5LRC5JUV9QUklDRV9WT0xfSElTVF82TVRILjMvOC8yMDI0AQAAAGaljQACAAAABzU3LjI0MzYACLnjEiIT3givkeUVIhPeCClDSVEuTFhSWC5JUV9QUklDRV9WT0xfSElTVF82TVRILjMvMTEvMjAyNAEAAAA9eAAAAgAAAAgxMDcuNTAzMgAIueMSIhPeCK+R5RUiE94IKUNJUS5OUklYLklRX1BSSUNFX1ZPTF9ISVNUXzZNVEguMy8xMS8yMDI0AQAAAEwqVQwCAAAABzg1LjcwODgACLnjEiIT3givkeUVIhPeCClDSVEuVlRSUy5JUV9QUklDRV9WT0xfSElTVF82TVRILjMvMTEvMjAyNAEAAACbbQQAAgAAAAcyOS4xODYyAAi54xIiE94IyijjFSIT</t>
  </si>
  <si>
    <t>3ggeQ0lRLlNMTi5JUV9MQVNUU0FMRVBSSUNFLjQ1MzYzAQAAAPDLAgACAAAABDI1LjkACLnjEiIT3gjKKOMVIhPeCB5DSVEuVEFLLklRX0xBU1RTQUxFUFJJQ0UuNDUzNjMBAAAALFgNAAIAAAAFMTQuMzcACLnjEiIT3ggEweAVIhPeCB9DSVEuSU1OTi5JUV9MQVNUU0FMRVBSSUNFLjQ1MzYzAQAAAC75AwACAAAACTEyLjEzMDQyOAAIueMSIhPeCATB4BUiE94IH0NJUS5OVkNULklRX0xBU1RTQUxFUFJJQ0UuNDUzNjQBAAAAookZZAIAAAAEOS42NAAIueMSIhPeCATB4BUiE94IHkNJUS5KTkouSVFfTEFTVFNBTEVQUklDRS40NTM2NQEAAACdIQIAAgAAAAYxNTkuMjEACLnjEiIT3ggEweAVIhPeCB9DSVEuV0hXSy5JUV9MQVNUU0FMRVBSSUNFLjQ1MzY2AQAAAF+3pBkCAAAABDIuMTcACLnjEiIT3gjgwN4VIhPeCB5DSVEuTVJLLklRX0xBU1RTQUxFUFJJQ0UuNDUzNjYBAAAA9mYEAAIAAAAGMTIxLjUyAAi54xIiE94I4MDeFSIT3ggfQ0lRLkFYU00uSVFfTEFTVFNBTEVQUklDRS40NTM2OQEAAABrN2sOAgAAAAU3Mi41NADmKuYSIhPeCODA3hUiE94IKUNJUS5KU1BSLklRX1BSSUNFX1ZPTF9ISVNUXzZNVEguMy8xOS8yMDI0AQAAAF6SlSYCAAAABzk5LjU3MzgAkUi2EiIT3gjgwN4VIhPeCCJDSVEuVEFLLklRX0xBU1RTQUxFUFJJQ0UuMy8xOS8yMDI0AQAAACxYDQACAAAABTE0LjQxAJFIthIiE94IVFLe</t>
  </si>
  <si>
    <t>FSIT3ggfQ0lRLkVOVFguSVFfTEFTVFNBTEVQUklDRS40NTM3MAEAAAAupmAGAgAAAAYxLjQxMDIAkUi2EiIT3ggqBN4VIhPeCClDSVEuUEhJTy5JUV9QUklDRV9WT0xfSElTVF82TVRILjMvMjEvMjAyNAEAAAA5BmcIAgAAAAcxNjQuNzkxAJFIthIiE94IF2jdFSIT3ggjQ0lRLklWVkQuSVFfTEFTVFNBTEVQUklDRS4zLzIyLzIwMjQBAAAAgoNeKAIAAAAENC4zNgCRSLYSIhPeCJyk3BUiE94IKUNJUS5BWFNNLklRX1BSSUNFX1ZPTF9ISVNUXzZNVEguMy8yNS8yMDI0AQAAAGs3aw4CAAAABTUwLjg3AJFIthIiE94I1rPZFSIT3ggfQ0lRLkFQR0UuSVFfTEFTVFNBTEVQUklDRS40NTM4MwEAAACV+0ZsAgAAAAU2NS4wNQCRSLYSIhPeCNaz2RUiE94II0NJUS5SWVRNLklRX0xBU1RTQUxFUFJJQ0UuMy8yNS8yMDI0AQAAABjJbRICAAAABTM5LjY1AJFIthIiE94I1rPZFSIT3ggfQ0lRLlNUT0suSVFfTEFTVFNBTEVQUklDRS40NTM3MwEAAAAeiAEPAgAAAAM2LjMAkUi2EiIT3gjWs9kVIhPeCB9DSVEuUFJBWC5JUV9MQVNUU0FMRVBSSUNFLjQ1Mzg0AQAAACx0ZBgCAAAABTU1LjU3AJFIthIiE94I1rPZFSIT3ggjQ0lRLkxJVFMuSVFfTEFTVFNBTEVQUklDRS4zLzI2LzIwMjQBAAAAPckhAAIAAAAEMy44NgCRSLYSIhPeCNaz2RUiE94IKUNJUS5aTEFCLklRX1BSSUNFX1ZPTF9ISVNUXzZNVEguMy8yNy8yMDI0</t>
  </si>
  <si>
    <t>AQAAAHcCKRACAAAABzU4Ljc5MTUAkUi2EiIT3ggxTNcVIhPeCCNDSVEuVEZGUC5JUV9MQVNUU0FMRVBSSUNFLjMvMjcvMjAyNAEAAADqNAsAAgAAAAU0Mi41NQCRSLYSIhPeCDFM1xUiE94IH0NJUS5NUkVPLklRX0xBU1RTQUxFUFJJQ0UuNDUzNzcBAAAAqkFbEgIAAAAEMi45NQCRSLYSIhPeCDFM1xUiE94IKUNJUS5NSVNULklRX1BSSUNFX1ZPTF9ISVNUXzZNVEguMy8yOC8yMDI0AQAAADPtJwICAAAACDEwMi4xMjg5AJFIthIiE94IMUzXFSIT3ggeQ0lRLlhMTy5JUV9MQVNUU0FMRVBSSUNFLjQ1Mzg2AQAAADyMxhUCAAAABDEuMjEApZmsEiIT3ghp49QVIhPeCChDSVEuU01NVC5JUV9QUklDRV9WT0xfSElTVF82TVRILjEvOC8yMDI0AQAAAMMtsQACAAAABzgxLjQ3NDUAM7aVEyIT3ggi+AYWIhPeCClDSVEuS0FOVC5JUV9QUklDRV9WT0xfSElTVF82TVRILjEvMTcvMjAyNAUAAAAAAAAACAAAABQoSW52YWxpZCBJZGVudGlmaWVyKXUbiBMiE94IMpAEFiIT3ggpQ0lRLkdJTEQuSVFfUFJJQ0VfVk9MX0hJU1RfNk1USC4xLzIyLzIwMjQBAAAASnEAAAIAAAAHMjUuNjA5NwB1G4gTIhPeCIu5/xUiE94IHkNJUS5CTVkuSVFfTEFTVFNBTEVQUklDRS40NTMyNAEAAADGZAAAAgAAAAU0OC43MQBIDIoTIhPeCHOS/xUiE94IH0NJUS5PVExLLklRX0xBU1RTQUxFUFJJQ0UuNDUzMjkBAAAABaSxCAIAAAAFOC40</t>
  </si>
  <si>
    <t>MTYAVhdREyIT3gjglv0VIhPeCChDSVEuUkFOSS5JUV9QUklDRV9WT0xfSElTVF82TVRILjIvNS8yMDI0AQAAABsgcw4CAAAABzg0LjUzMDgAVhdREyIT3gj2X/wVIhPeCB9DSVEuUkVHTi5JUV9MQVNUU0FMRVBSSUNFLjQ1MzM1AQAAALODAAACAAAABjk0MC40OACSPVETIhPeCL2w+BUiE94IKENJUS5BRFZNLklRX1BSSUNFX1ZPTF9ISVNUXzZNVEguMi84LzIwMjQBAAAAl7VXDAIAAAAIMTE0LjA4NzEAkj1REyIT3gi9sPgVIhPeCChDSVEuSVJPTi5JUV9QUklDRV9WT0xfSElTVF82TVRILjIvOS8yMDI0AQAAAE7fOSYCAAAABzQ4LjE5OTQAkj1REyIT3gi9sPgVIhPeCClDSVEuVE5YUC5JUV9QUklDRV9WT0xfSElTVF82TVRILjIvMTIvMjAyNAEAAABrHq0GAgAAAAgxMDguMzgzOQDtY1ETIhPeCF1H9hUiE94IKUNJUS5MQ1RYLklRX1BSSUNFX1ZPTF9ISVNUXzZNVEguMi8xMy8yMDI0AQAAABZkAAACAAAABzY3LjYyMjEA7WNREyIT3ghdR/YVIhPeCB5DSVEuVEFLLklRX0xBU1RTQUxFUFJJQ0UuNDUzMzQBAAAALFgNAAIAAAAFMTQuMzEAQ9UgEyIT3ghdR/YVIhPeCB9DSVEuQU5WUy5JUV9MQVNUU0FMRVBSSUNFLjQ1MzM1AQAAAC/RHSUCAAAABTEwLjA1AJX8IBMiE94I1tfzFSIT3ggfQ0lRLklPTlMuSVFfTEFTVFNBTEVQUklDRS40NTMzNgEAAABcdgAAAgAAAAU0OS4wNwCV/CATIhPeCNbX8xUiE94I</t>
  </si>
  <si>
    <t>H0NJUS5GQklPLklRX0xBU1RTQUxFUFJJQ0UuNDUzMzcBAAAACfKtAwIAAAAEMS44OADIJSETIhPeCNbX8xUiE94IH0NJUS5SQVBULklRX0xBU1RTQUxFUFJJQ0UuNDUzNDkBAAAA0CBWEAIAAAAFNzEuOTIAyCUhEyIT3giPsPMVIhPeCB5DSVEuSk5KLklRX0xBU1RTQUxFUFJJQ0UuNDUzNDEBAAAAnSECAAIAAAAGMTU2LjU1ALZKIRMiE94IO+3yFSIT3ggpQ0lRLkVMRVYuSVFfUFJJQ0VfVk9MX0hJU1RfNk1USC4yLzIyLzIwMjQBAAAATNvvAgMAAAAAALZKIRMiE94I/lDyFSIT3ggfQ0lRLlZUWVguSVFfTEFTVFNBTEVQUklDRS40NTM1MQEAAAAEFBYoAgAAAAQ3LjA4AIh1IRMiE94I19vxFSIT3ggpQ0lRLlRFVkEuSVFfUFJJQ0VfVk9MX0hJU1RfNk1USC4yLzIzLzIwMjQBAAAAT7MEAAIAAAAHMzUuMjg0NwCIdSETIhPeCEIy8RUiE94IH0NJUS5BTExLLklRX0xBU1RTQUxFUFJJQ0UuNDUzNDUBAAAAOf5tDQMAAAAAAIh1IRMiE94IDr3wFSIT3ggpQ0lRLk1UTkIuSVFfUFJJQ0VfVk9MX0hJU1RfNk1USC4yLzI2LzIwMjQBAAAA2tKFDgIAAAAIMjY3LjU0NDUAiHUhEyIT3gjqR/AVIhPeCClDSVEuVEFSUy5JUV9QUklDRV9WT0xfSElTVF82TVRILjIvMjcvMjAyNAEAAAAxEcQmAgAAAAc2My45NjgxAIh1IRMiE94ImavvFSIT3ggeQ0lRLlBUTi5JUV9MQVNUU0FMRVBSSUNFLjQ1MzU3AQAAAAgv3AwCAAAA</t>
  </si>
  <si>
    <t>BTAuMDY2AIh1IRMiE94IbCfvFSIT3ggpQ0lRLlJFR04uSVFfUFJJQ0VfVk9MX0hJU1RfNk1USC4yLzI4LzIwMjQBAAAAs4MAAAIAAAAHMTYuODEwNwD7uBUTIhPeCAiy7hUiE94IH0NJUS5JTVVYLklRX0xBU1RTQUxFUFJJQ0UuNDUzNTABAAAAZX4FGAIAAAADMS40APu4FRMiE94I0jzuFSIT3ggpQ0lRLkNSREYuSVFfUFJJQ0VfVk9MX0hJU1RfNk1USC4yLzI5LzIwMjQBAAAAvDqnAAIAAAAHNzguMjA5NQD7uBUTIhPeCMqr7RUiE94IKENJUS5CSVZJLklRX1BSSUNFX1ZPTF9ISVNUXzZNVEguMy8xLzIwMjQBAAAAA4tyDgIAAAAIMTgxLjUzNTMA+7gVEyIT3gjKNu0VIhPeCB9DSVEuV0hXSy5JUV9MQVNUU0FMRVBSSUNFLjQ1MzU5AQAAAF+3pBkCAAAABDIuMTQA+7gVEyIT3giImuwVIhPeCChDSVEuSU5EUC5JUV9QUklDRV9WT0xfSElTVF82TVRILjMvNC8yMDI0AQAAAP1MlRACAAAABzc2Ljc0ODUA+7gVEyIT3ghHJewVIhPeCB9DSVEuTlJYUC5JUV9MQVNUU0FMRVBSSUNFLjQ1MzUyAQAAABV6CRMCAAAABTQuMzgxAPu4FRMiE94I1KvrFSIT3ggeQ0lRLkdTSy5JUV9MQVNUU0FMRVBSSUNFLjQ1MzYzAQAAAPIzBAACAAAABjE2Ljg1MgD7uBUTIhPeCFAP6xUiE94IKENJUS5DUlZPLklRX1BSSUNFX1ZPTF9ISVNUXzZNVEguMy81LzIwMjQBAAAA9ZK5EAIAAAAIMTAyLjUzMzcA+7gVEyIT3gj8buoVIhPe</t>
  </si>
  <si>
    <t>CB9DSVEuT05DWS5JUV9MQVNUU0FMRVBSSUNFLjQ1MzU1AQAAAFd1FAACAAAABDAuOTIA+7gVEyIT3giP+ecVIhPeCB5DSVEuTlZTLklRX0xBU1RTQUxFUFJJQ0UuNDUzNTUBAAAAqbXoDwIAAAADNC4yAPu4FRMiE94Ij/nnFSIT3ggoQ0lRLktVUkEuSVFfUFJJQ0VfVk9MX0hJU1RfNk1USC4zLzYvMjAyNAEAAAC4y9oQAgAAAAc3Ny41MjAxAPu4FRMiE94Ij/nnFSIT3ggfQ0lRLlJFR04uSVFfTEFTVFNBTEVQUklDRS40NTM1NgEAAACzgwAAAgAAAAY5NjUuMjEA+7gVEyIT3giP+ecVIhPeCB9DSVEuWkxBQi5JUV9MQVNUU0FMRVBSSUNFLjQ1MzU2AQAAAHcCKRACAAAABTE4LjkxAPopGBMiE94Ij/nnFSIT3ggfQ0lRLkZCSU8uSVFfTEFTVFNBTEVQUklDRS40NTM1NwEAAAAJ8q0DAgAAAAUyLjIxNQD6KRgTIhPeCK+R5RUiE94IH0NJUS5BUFZPLklRX0xBU1RTQUxFUFJJQ0UuNDUzNTcBAAAAlO6+EwIAAAALNDczNi4wMDQ3MzYA+ikYEyIT3givkeUVIhPeCB9DSVEuTU5LRC5JUV9MQVNUU0FMRVBSSUNFLjQ1MzU4AQAAAGaljQACAAAABDUuMTUACLnjEiIT3givkeUVIhPeCB9DSVEuTFhSWC5JUV9MQVNUU0FMRVBSSUNFLjQ1MzU5AQAAAD14AAACAAAABDIuMTcACLnjEiIT3givkeUVIhPeCB9DSVEuTlJJWC5JUV9MQVNUU0FMRVBSSUNFLjQ1MzU5AQAAAEwqVQwCAAAABTE0Ljg1AAi54xIiE94Ir5HlFSIT</t>
  </si>
  <si>
    <t>3ggfQ0lRLlZUUlMuSVFfTEFTVFNBTEVQUklDRS40NTM1OQEAAACbbQQAAgAAAAUxMi4yNgAIueMSIhPeCMoo4xUiE94IIkNJUS5OVlMuSVFfTEFTVFNBTEVQUklDRS4zLzEyLzIwMjQBAAAAqbXoDwIAAAAENC4wMwAIueMSIhPeCMoo4xUiE94IIkNJUS5TTE4uSVFfTEFTVFNBTEVQUklDRS4zLzEzLzIwMjQBAAAA8MsCAAIAAAAFMjUuNjEACLnjEiIT3gjKKOMVIhPeCB9DSVEuUEhJTy5JUV9MQVNUU0FMRVBSSUNFLjQ1MzYzAQAAADkGZwgCAAAABDguODIACLnjEiIT3ggEweAVIhPeCCNDSVEuSU1OTi5JUV9MQVNUU0FMRVBSSUNFLjMvMTMvMjAyNAEAAAAu+QMAAgAAAAkxMS4zNjA4NjMACLnjEiIT3ggEweAVIhPeCCNDSVEuTlZDVC5JUV9MQVNUU0FMRVBSSUNFLjMvMTQvMjAyNAEAAACiiRlkAgAAAAQ5LjE1AAi54xIiE94IBMHgFSIT3ggiQ0lRLkJNWS5JUV9MQVNUU0FMRVBSSUNFLjMvMTQvMjAyNAEAAADGZAAAAgAAAAU1Mi40OQAIueMSIhPeCATB4BUiE94IHkNJUS5KTkouSVFfTEFTVFNBTEVQUklDRS40NTM3MwEAAACdIQIAAgAAAAYxNTUuMjMACLnjEiIT3ggEweAVIhPeCCNDSVEuV0hXSy5JUV9MQVNUU0FMRVBSSUNFLjMvMTgvMjAyNAEAAABft6QZAgAAAAQyLjEyAAi54xIiE94I4MDeFSIT3ggiQ0lRLk1SSy5JUV9MQVNUU0FMRVBSSUNFLjMvMTgvMjAyNAEAAAD2ZgQAAgAAAAYxMjEuNDQA</t>
  </si>
  <si>
    <t>CLnjEiIT3gjgwN4VIhPeCCNDSVEuQVhTTS5JUV9MQVNUU0FMRVBSSUNFLjMvMTkvMjAyNAEAAABrN2sOAgAAAAU3Ni44NwDmKuYSIhPeCODA3hUiE94IH0NJUS5KU1BSLklRX0xBU1RTQUxFUFJJQ0UuNDUzNjkBAAAAXpKVJgIAAAAFMjQuODYAkUi2EiIT3gjgwN4VIhPeCB5DSVEuVEFLLklRX0xBU1RTQUxFUFJJQ0UuNDUzNzcBAAAALFgNAAIAAAAFMTQuMzkAkUi2EiIT3ghUUt4VIhPeCCNDSVEuRU5UWC5JUV9MQVNUU0FMRVBSSUNFLjMvMjAvMjAyNAEAAAAupmAGAgAAAAQxLjUyAJFIthIiE94IKgTeFSIT3ggpQ0lRLk9LWU8uSVFfUFJJQ0VfVk9MX0hJU1RfNk1USC4zLzIyLzIwMjQBAAAAS8+2AgIAAAAHODguMzIyNACRSLYSIhPeCLry3BUiE94IH0NJUS5BWFNNLklRX0xBU1RTQUxFUFJJQ0UuNDUzNzMBAAAAazdrDgIAAAAFODAuNjYAkUi2EiIT3gjWs9kVIhPeCClDSVEuTUJSWC5JUV9QUklDRV9WT0xfSElTVF82TVRILjMvMjUvMjAyNAEAAACGbBQTAgAAAAgxMDUuODg4OQCRSLYSIhPeCNaz2RUiE94IH0NJUS5SWVRNLklRX0xBU1RTQUxFUFJJQ0UuNDUzODMBAAAAGMltEgIAAAAFNDIuNjgAkUi2EiIT3gjWs9kVIhPeCCNDSVEuU1RPSy5JUV9MQVNUU0FMRVBSSUNFLjMvMjUvMjAyNAEAAAAeiAEPAgAAAAM2LjUAkUi2EiIT3gjWs9kVIhPeCChDSVEuU0xTLklRX1BSSUNFX1ZPTF9ISVNUXzZN</t>
  </si>
  <si>
    <t>VEguMy8yNi8yMDI0AQAAACpXoQ8CAAAACDEyNS40Njk3AJFIthIiE94I1rPZFSIT3ggfQ0lRLkxJVFMuSVFfTEFTVFNBTEVQUklDRS40NTM4NAEAAAA9ySEAAgAAAAE0AJFIthIiE94I1rPZFSIT3ggiQ0lRLk1SSy5JUV9MQVNUU0FMRVBSSUNFLjMvMjYvMjAyNAEAAAD2ZgQAAgAAAAYxMjUuNTIAkUi2EiIT3ggxTNcVIhPeCB9DSVEuWkxBQi5JUV9MQVNUU0FMRVBSSUNFLjQ1Mzc3AQAAAHcCKRACAAAABTE1Ljk1AJFIthIiE94IMUzXFSIT3ggjQ0lRLk1SRU8uSVFfTEFTVFNBTEVQUklDRS4zLzI3LzIwMjQBAAAAqkFbEgIAAAABMwCRSLYSIhPeCDFM1xUiE94IH0NJUS5NSVNULklRX0xBU1RTQUxFUFJJQ0UuNDUzNzgBAAAAM+0nAgIAAAADMS44AJFIthIiE94IMUzXFSIT3ggpQ0lRLlNORFguSVFfUFJJQ0VfVk9MX0hJU1RfNk1USC4zLzI4LzIwMjQBAAAAyqafAQIAAAAFNTQuMzIApZmsEiIT3ghp49QVIhPeCCNDSVEuQVBMVC5JUV9MQVNUU0FMRVBSSUNFLjMvMjgvMjAyNAEAAAB7jFQhAgAAAAM2LjgApZmsEiIT3ghp49QVIhPeCB1DSVEuRVEuSVFfTEFTVFNBTEVQUklDRS40NTM4MAEAAAADu04iAgAAAAQyLjMxAKWZrBIiE94IaePUFSIT3ggoQ0lRLkFYU00uSVFfUFJJQ0VfVk9MX0hJU1RfNk1USC40LzEvMjAyNAEAAABrN2sOAgAAAAc1MC42MDc1AKWZrBIiE94IaePUFSIT3ggfQ0lRLkdOUFgu</t>
  </si>
  <si>
    <t>SVFfTEFTVFNBTEVQUklDRS40NTM5MQEAAACqvHENAgAAAAUxNTMuNQClmawSIhPeCGhx0hUiE94IIkNJUS5WTkRBLklRX0xBU1RTQUxFUFJJQ0UuNC8yLzIwMjQBAAAAI4d2AQIAAAAEMy45MQClmawSIhPeCGhx0hUiE94IH0NJUS5QUkZYLklRX0xBU1RTQUxFUFJJQ0UuNDUzODQBAAAAJUA7AwIAAAAJNDEuNTE5OTkxAKWZrBIiE94IaHHSFSIT3ggfQ0lRLkdPVlguSVFfTEFTVFNBTEVQUklDRS40NTM5MwEAAACv+LcAAgAAAAQxLjgzAKWZrBIiE94IfgfQFSIT3ggfQ0lRLklHWFQuSVFfTEFTVFNBTEVQUklDRS40NTM5NAEAAAAEqMsBAwAAAAAApZmsEiIT3gh+B9AVIhPeCCdDSVEuQVpOLklRX1BSSUNFX1ZPTF9ISVNUXzZNVEguNC81LzIwMjQBAAAAhiMFAAIAAAAHMjMuODUzMQAkB68SIhPeCH4H0BUiE94IIkNJUS5BTE5ZLklRX0xBU1RTQUxFUFJJQ0UuNC83LzIwMjQBAAAAc6wqAAIAAAAGMTUzLjU2AMU5bBIiE94I/nLPFSIT3ggfQ0lRLklUT1MuSVFfTEFTVFNBTEVQUklDRS40NTM5NAUAAAAAAAAACAAAABQoSW52YWxpZCBJZGVudGlmaWVyKcU5bBIiE94ILqTNFSIT3ggoQ0lRLlZJTkMuSVFfUFJJQ0VfVk9MX0hJU1RfNk1USC40LzgvMjAyNAEAAADkNSMpAgAAAAgxNTIuNDc1NQDFOWwSIhPeCC6kzRUiE94IKENJUS5HTUFCLklRX1BSSUNFX1ZPTF9ISVNUXzZNVEguNC84LzIwMjQBAAAAaCgK</t>
  </si>
  <si>
    <t>AAIAAAAHMzYuOTQxNwDFOWwSIhPeCC6kzRUiE94IKENJUS5BR0VOLklRX1BSSUNFX1ZPTF9ISVNUXzZNVEguNC84LzIwMjQBAAAAZEEGAAIAAAAIMTA2LjgwNzUAxTlsEiIT3ggUfc0VIhPeCChDSVEuT1JJQy5JUV9QUklDRV9WT0xfSElTVF82TVRILjEvOC8yMDI0AQAAAFRLGhICAAAABjY1Ljk3MwAztpUTIhPeCCL4BhYiE94IH0NJUS5LQU5ULklRX0xBU1RTQUxFUFJJQ0UuNDUzMTUFAAAAAAAAAAgAAAAUKEludmFsaWQgSWRlbnRpZmllcil1G4gTIhPeCDKQBBYiE94IH0NJUS5BUlRMLklRX0xBU1RTQUxFUFJJQ0UuNDUzMTMBAAAAz79WEAIAAAAIOC4zMzk5OTgAdRuIEyIT3giLuf8VIhPeCB5DSVEuTVJLLklRX0xBU1RTQUxFUFJJQ0UuNDUzMTcBAAAA9mYEAAIAAAAGMTIwLjgyAEgMihMiE94IZmv/FSIT3ggoQ0lRLk5WTy5JUV9QUklDRV9WT0xfSElTVF82TVRILjEvMzEvMjAyNAEAAAB87wQAAgAAAAczNC45NDc5AFYXURMiE94I4Jb9FSIT3ggfQ0lRLlJBTkkuSVFfTEFTVFNBTEVQUklDRS40NTMyNAEAAAAbIHMOAgAAAAQzLjQ5AFYXURMiE94I9l/8FSIT3ggeQ0lRLkhDTS5JUV9MQVNUU0FMRVBSSUNFLjQ1MzM2AQAAALuvlgECAAAABTIuMTg1AJI9URMiE94IvbD4FSIT3ggiQ0lRLkFEVk0uSVFfTEFTVFNBTEVQUklDRS4yLzgvMjAyNAEAAACXtVcMAgAAAAQxOS43AJI9URMiE94IvbD4FSIT</t>
  </si>
  <si>
    <t>3ggfQ0lRLklST04uSVFfTEFTVFNBTEVQUklDRS40NTMzOAEAAABO3zkmAgAAAAU2NS45MgCSPVETIhPeCL2w+BUiE94IH0NJUS5UTlhQLklRX0xBU1RTQUxFUFJJQ0UuNDUzMzEBAAAAax6tBgIAAAAEMTA1NgDtY1ETIhPeCF1H9hUiE94IH0NJUS5MQ1RYLklRX0xBU1RTQUxFUFJJQ0UuNDUzMzQBAAAAFmQAAAIAAAAEMS4wOADtY1ETIhPeCF1H9hUiE94IHkNJUS5UQUsuSVFfTEFTVFNBTEVQUklDRS40NTM0MgEAAAAsWA0AAgAAAAUxNC44MgBD1SATIhPeCF1H9hUiE94IH0NJUS5BTlZTLklRX0xBU1RTQUxFUFJJQ0UuNDUzNDMBAAAAL9EdJQIAAAAFMTAuMTgAlfwgEyIT3gjW1/MVIhPeCB9DSVEuSU9OUy5JUV9MQVNUU0FMRVBSSUNFLjQ1MzQ0AQAAAFx2AAACAAAABTQzLjk4AJX8IBMiE94I1tfzFSIT3ggjQ0lRLkZCSU8uSVFfTEFTVFNBTEVQUklDRS4yLzE2LzIwMjQBAAAACfKtAwIAAAAEMS44NgDIJSETIhPeCNbX8xUiE94IKUNJUS5JTVJYLklRX1BSSUNFX1ZPTF9ISVNUXzZNVEguMi8yMC8yMDI0AQAAANUOYRICAAAABzk3LjQ1NTEAyCUhEyIT3gi3ifMVIhPeCB5DSVEuSk5KLklRX0xBU1RTQUxFUFJJQ0UuNDUzNDkBAAAAnSECAAIAAAAGMTYwLjk4ALZKIRMiE94IO+3yFSIT3ggfQ0lRLkVMRVYuSVFfTEFTVFNBTEVQUklDRS40NTM0MwEAAABM2+8CAwAAAAAAtkohEyIT3gj+UPIVIhPeCClD</t>
  </si>
  <si>
    <t>SVEuUkVHTi5JUV9QUklDRV9WT0xfSElTVF82TVRILjIvMjMvMjAyNAEAAACzgwAAAgAAAAYxNi44NDcAiHUhEyIT3gjBtPEVIhPeCB9DSVEuVEVWQS5JUV9MQVNUU0FMRVBSSUNFLjQ1MzQ0AQAAAE+zBAACAAAABTEzLjA1AIh1IRMiE94InVnxFSIT3ggfQ0lRLkFMTEsuSVFfTEFTVFNBTEVQUklDRS40NTM1NQEAAAA5/m0NAwAAAAAAiHUhEyIT3ggOvfAVIhPeCB9DSVEuTVROQi5JUV9MQVNUU0FMRVBSSUNFLjQ1MzQ1AQAAANrShQ4CAAAABTExLjk3AIh1IRMiE94I6kfwFSIT3ggfQ0lRLlRBUlMuSVFfTEFTVFNBTEVQUklDRS40NTM0OAEAAAAxEcQmAgAAAAUzMy4xNgCIdSETIhPeCJmr7xUiE94IKUNJUS5JWEhMLklRX1BSSUNFX1ZPTF9ISVNUXzZNVEguMi8yOC8yMDI0AQAAADukYRMCAAAACDE4My4yOTY3AIh1IRMiE94IbCfvFSIT3ggfQ0lRLlJFR04uSVFfTEFTVFNBTEVQUklDRS40NTM0OQEAAACzgwAAAgAAAAY5OTMuMzUA+7gVEyIT3ggIsu4VIhPeCB9DSVEuSU1VWC5JUV9MQVNUU0FMRVBSSUNFLjQ1MzU4AQAAAGV+BRgCAAAABDEuNDYA+7gVEyIT3gjSPO4VIhPeCClDSVEuVEdUWC5JUV9QUklDRV9WT0xfSElTVF82TVRILjIvMjkvMjAyNAEAAABalI8IAgAAAAc4NS4xNTM4APu4FRMiE94IpITtFSIT3ggnQ0lRLlJOQS5JUV9QUklDRV9WT0xfSElTVF82TVRILjMvNC8yMDI0AQAAAB7LUg8C</t>
  </si>
  <si>
    <t>AAAABzg0LjU5MjUA+7gVEyIT3giImuwVIhPeCB9DSVEuSU5EUC5JUV9MQVNUU0FMRVBSSUNFLjQ1MzUyAQAAAP1MlRACAAAACTU4LjUxOTk3NgD7uBUTIhPeCEcl7BUiE94IH0NJUS5OUlhQLklRX0xBU1RTQUxFUFJJQ0UuNDUzNjIBAAAAFXoJEwIAAAAENi42OQD7uBUTIhPeCF+E6xUiE94IJ0NJUS5OVk8uSVFfUFJJQ0VfVk9MX0hJU1RfNk1USC4zLzUvMjAyNAEAAAB87wQAAgAAAAcyOC4wNDc4APu4FRMiE94IaujqFSIT3ggfQ0lRLkNSVk8uSVFfTEFTVFNBTEVQUklDRS40NTM1NQEAAAD1krkQAgAAAAQxMi43APu4FRMiE94I/G7qFSIT3ggiQ0lRLk9OQ1kuSVFfTEFTVFNBTEVQUklDRS4zLzUvMjAyNAEAAABXdRQAAgAAAAQxLjAzAPu4FRMiE94Ij/nnFSIT3gghQ0lRLk5WUy5JUV9MQVNUU0FMRVBSSUNFLjMvNS8yMDI0AQAAAKm16A8CAAAAAzQuMgD7uBUTIhPeCI/55xUiE94IH0NJUS5LVVJBLklRX0xBU1RTQUxFUFJJQ0UuNDUzNTYBAAAAuMvaEAIAAAAFMjEuMDQA+7gVEyIT3giP+ecVIhPeCCJDSVEuUkVHTi5JUV9MQVNUU0FMRVBSSUNFLjMvNi8yMDI0AQAAALODAAACAAAABTk3Mi4xAPu4FRMiE94Ij/nnFSIT3ggiQ0lRLlpMQUIuSVFfTEFTVFNBTEVQUklDRS4zLzYvMjAyNAEAAAB3AikQAgAAAAQxOS44APopGBMiE94Ij/nnFSIT3ggiQ0lRLkZCSU8uSVFfTEFTVFNBTEVQUklDRS4zLzcv</t>
  </si>
  <si>
    <t>MjAyNAEAAAAJ8q0DAgAAAAQyLjA3APopGBMiE94Ir5HlFSIT3ggiQ0lRLkFUSEEuSVFfTEFTVFNBTEVQUklDRS4zLzgvMjAyNAEAAAAcEdsPAgAAAAQzNS44APopGBMiE94Ir5HlFSIT3ggiQ0lRLk1OS0QuSVFfTEFTVFNBTEVQUklDRS4zLzgvMjAyNAEAAABmpY0AAgAAAAQ1LjI3AAi54xIiE94Ir5HlFSIT3ggjQ0lRLkxYUlguSVFfTEFTVFNBTEVQUklDRS4zLzExLzIwMjQBAAAAPXgAAAIAAAAEMi44MQAIueMSIhPeCK+R5RUiE94IH0NJUS5OUklYLklRX0xBU1RTQUxFUFJJQ0UuNDUzNjkBAAAATCpVDAIAAAAFMTIuODQACLnjEiIT3givkeUVIhPeCChDSVEuQUZNRC5JUV9QUklDRV9WT0xfSElTVF82TVRILjEvOC8yMDI0AQAAANv3DAADAAAAAAAztpUTIhPeCCL4BhYiE94IH0NJUS5MU1RBLklRX0xBU1RTQUxFUFJJQ0UuNDUzMDcBAAAAYCkFAAIAAAAEMy4wMgB1G4gTIhPeCK8nAhYiE94IHkNJUS5MTFkuSVFfTEFTVFNBTEVQUklDRS40NTMyMQEAAAAbWwQAAgAAAAY2NDQuOTgAdRuIEyIT3giLuf8VIhPeCB9DSVEuTk5WQy5JUV9MQVNUU0FMRVBSSUNFLjQ1MzE3AQAAAI/CWAECAAAABDEuMDcASAyKEyIT3ghdRP8VIhPeCCBDSVEuUkhIQlkuSVFfTEFTVFNBTEVQUklDRS40NTMyMgEAAAAkfAoAAwAAAAAAVhdREyIT3gjlYf0VIhPeCB9DSVEuQVJDVC5JUV9MQVNUU0FMRVBSSUNFLjQ1MzM0AQAA</t>
  </si>
  <si>
    <t>AKXDAg4CAAAABTQxLjYyAFYXURMiE94IjxH8FSIT3ggoQ0lRLlJHTlguSVFfUFJJQ0VfVk9MX0hJU1RfNk1USC4yLzcvMjAyNAEAAABUb8kHAgAAAAc1Ny4yMzU2AJI9URMiE94IvbD4FSIT3ggfQ0lRLkFEVk0uSVFfTEFTVFNBTEVQUklDRS40NTMzNwEAAACXtVcMAgAAAAIyMACSPVETIhPeCL2w+BUiE94IH0NJUS5BTlRYLklRX0xBU1RTQUxFUFJJQ0UuNDUzMzEBAAAA27FzJgIAAAACMjAAkj1REyIT3gi9sPgVIhPeCB9DSVEuQU5JWC5JUV9MQVNUU0FMRVBSSUNFLjQ1MzMxAQAAAHoGBAACAAAABDQuNTEA7WNREyIT3ghdR/YVIhPeCB9DSVEuUkNLVC5JUV9MQVNUU0FMRVBSSUNFLjQ1MzM0AQAAAEBWgRkCAAAABTI5Ljk5AO1jURMiE94IXUf2FSIT3ggeQ0lRLk9QVC5JUV9MQVNUU0FMRVBSSUNFLjQ1MzM1AQAAANrfJQACAAAABDAuNTcAQ9UgEyIT3ghdR/YVIhPeCClDSVEuU0lMTy5JUV9QUklDRV9WT0xfSElTVF82TVRILjIvMTQvMjAyNAEAAAAaL7QHAgAAAAc2NS45NTg4AJX8IBMiE94I1tfzFSIT3ggfQ0lRLkNSREwuSVFfTEFTVFNBTEVQUklDRS40NTMzNgEAAABdc3whAgAAAAUwLjA0NQCV/CATIhPeCNbX8xUiE94IH0NJUS5GQklPLklRX0xBU1RTQUxFUFJJQ0UuNDUzNDUBAAAACfKtAwIAAAAEMS43NADIJSETIhPeCNbX8xUiE94IH0NJUS5JTVJYLklRX0xBU1RTQUxFUFJJQ0UuNDUzNDEB</t>
  </si>
  <si>
    <t>AAAA1Q5hEgIAAAADNi42AMglIRMiE94It4nzFSIT3ggoQ0lRLkdTSy5JUV9QUklDRV9WT0xfSElTVF82TVRILjIvMjEvMjAyNAEAAADyMwQAAgAAAAcxOC4wMDkyALZKIRMiE94IFMbyFSIT3ggjQ0lRLkVMRVYuSVFfTEFTVFNBTEVQUklDRS4yLzIyLzIwMjQBAAAATNvvAgMAAAAAALZKIRMiE94INnjyFSIT3ggfQ0lRLlJFR04uSVFfTEFTVFNBTEVQUklDRS40NTM0NAEAAACzgwAAAgAAAAY5NjQuODkAiHUhEyIT3gjBtPEVIhPeCCNDSVEuVEVWQS5JUV9MQVNUU0FMRVBSSUNFLjIvMjMvMjAyNAEAAABPswQAAgAAAAUxMi44OQCIdSETIhPeCJ1Z8RUiE94IKUNJUS5LUllTLklRX1BSSUNFX1ZPTF9ISVNUXzZNVEguMi8yNi8yMDI0AQAAACgn1R8CAAAABzY4LjQ5ODEAiHUhEyIT3ggOvfAVIhPeCCNDSVEuTVROQi5JUV9MQVNUU0FMRVBSSUNFLjIvMjYvMjAyNAEAAADa0oUOAgAAAAUxMy40NQCIdSETIhPeCOpH8BUiE94IH0NJUS5UQVJTLklRX0xBU1RTQUxFUFJJQ0UuNDUzNTYBAAAAMRHEJgIAAAAFMzUuNzcAiHUhEyIT3giZq+8VIhPeCB9DSVEuSVhITC5JUV9MQVNUU0FMRVBSSUNFLjQ1MzQ5AQAAADukYRMCAAAABDQuMjIAiHUhEyIT3ghsJ+8VIhPeCCNDSVEuUkVHTi5JUV9MQVNUU0FMRVBSSUNFLjIvMjgvMjAyNAEAAACzgwAAAgAAAAY5ODcuNjEA+7gVEyIT3ggIsu4VIhPeCB9DSVEuVEdUWC5J</t>
  </si>
  <si>
    <t>UV9MQVNUU0FMRVBSSUNFLjQ1MzUwAQAAAFqUjwgCAAAABTE3LjYzAPu4FRMiE94IpITtFSIT3ggeQ0lRLlJOQS5JUV9MQVNUU0FMRVBSSUNFLjQ1MzUyAQAAAB7LUg8CAAAABTIwLjExAPu4FRMiE94IiJrsFSIT3ggiQ0lRLklORFAuSVFfTEFTVFNBTEVQUklDRS4zLzQvMjAyNAEAAAD9TJUQAgAAAAk2Ni4wNzk5NzMA+7gVEyIT3ghHJewVIhPeCChDSVEuQkNEQS5JUV9QUklDRV9WT0xfSElTVF82TVRILjMvNC8yMDI0AQAAAGculQACAAAACDE3OS40NDY2APu4FRMiE94IQ/7rFSIT3ggeQ0lRLk5WTy5JUV9MQVNUU0FMRVBSSUNFLjQ1MzU1AQAAAHzvBAACAAAABjEyNy45NQD7uBUTIhPeCGro6hUiE94IH0NJUS5DUlZPLklRX0xBU1RTQUxFUFJJQ0UuNDUzNjMBAAAA9ZK5EAIAAAAFMTcuNTcA+7gVEyIT3gj8buoVIhPeCB9DSVEuT05DWS5JUV9MQVNUU0FMRVBSSUNFLjQ1MzYzAQAAAFd1FAACAAAABDEuMDYA+7gVEyIT3giP+ecVIhPeCB5DSVEuTlZTLklRX0xBU1RTQUxFUFJJQ0UuNDUzNjMBAAAAqbXoDwIAAAAENC4wMwD7uBUTIhPeCI/55xUiE94IH0NJUS5LVVJBLklRX0xBU1RTQUxFUFJJQ0UuNDUzNjQBAAAAuMvaEAIAAAAFMjIuODMA+7gVEyIT3giP+ecVIhPeCB9DSVEuUkVHTi5JUV9MQVNUU0FMRVBSSUNFLjQ1MzY0AQAAALODAAACAAAABjk2NS40NwD7uBUTIhPeCI/55xUiE94IH0NJUS5a</t>
  </si>
  <si>
    <t>TEFCLklRX0xBU1RTQUxFUFJJQ0UuNDUzNjQBAAAAdwIpEAIAAAAFMjAuMTYA+ikYEyIT3giP+ecVIhPeCB9DSVEuRkJJTy5JUV9MQVNUU0FMRVBSSUNFLjQ1MzY1AQAAAAnyrQMCAAAABDEuNjgA+ikYEyIT3givkeUVIhPeCB9DSVEuQVRIQS5JUV9MQVNUU0FMRVBSSUNFLjQ1MzY2AQAAABwR2w8CAAAABDI2LjIA+ikYEyIT3givkeUVIhPeCB9DSVEuTU5LRC5JUV9MQVNUU0FMRVBSSUNFLjQ1MzY2AQAAAGaljQACAAAABDQuNDcACLnjEiIT3givkeUVIhPeCB9DSVEuTFhSWC5JUV9MQVNUU0FMRVBSSUNFLjQ1MzY5AQAAAD14AAACAAAABDIuNTIACLnjEiIT3givkeUVIhPeCClDSVEuU09OTi5JUV9QUklDRV9WT0xfSElTVF82TVRILjMvMTEvMjAyNAEAAACa33UYAgAAAAc5Ny43ODU1AAi54xIiE94Ir5HlFSIT3ggpQ0lRLkFDQUQuSVFfUFJJQ0VfVk9MX0hJU1RfNk1USC4zLzExLzIwMjQBAAAAwW4KAAIAAAAHNjMuOTQ0NAAIueMSIhPeCMoo4xUiE94IKENJUS5QRkUuSVFfUFJJQ0VfVk9MX0hJU1RfNk1USC4zLzEyLzIwMjQBAAAA3nkCAAIAAAAHMjcuNzA3OQAIueMSIhPeCMoo4xUiE94IKUNJUS5QUlRDLklRX1BSSUNFX1ZPTF9ISVNUXzZNVEguMy8xMy8yMDI0AQAAABYAjQACAAAABzUzLjE1NDcACLnjEiIT3gjKKOMVIhPeCClDSVEuSU9OUy5JUV9QUklDRV9WT0xfSElTVF82TVRILjMvMTMvMjAy</t>
  </si>
  <si>
    <t>NAEAAABcdgAAAgAAAAczNy41NzI2AAi54xIiE94IBMHgFSIT3ggpQ0lRLkdFUk4uSVFfUFJJQ0VfVk9MX0hJU1RfNk1USC4zLzE0LzIwMjQBAAAAOEsDAAIAAAAHNzEuOTIyOAAIueMSIhPeCATB4BUiE94IKUNJUS5PUFROLklRX1BSSUNFX1ZPTF9ISVNUXzZNVEguMy8xNS8yMDI0BQAAAAAAAAAIAAAAFChJbnZhbGlkIElkZW50aWZpZXIpCLnjEiIT3gjgwN4VIhPeCChDSVEuQVpOLklRX1BSSUNFX1ZPTF9ISVNUXzZNVEguMy8xOC8yMDI0AQAAAIYjBQACAAAABzIzLjY1MjMACLnjEiIT3gjgwN4VIhPeCChDSVEuUEJNLklRX1BSSUNFX1ZPTF9ISVNUXzZNVEguMy8xOC8yMDI0AQAAADxFoikCAAAACDI3My45MTk3AAi54xIiE94I4MDeFSIT3ggpQ0lRLkNFUlMuSVFfUFJJQ0VfVk9MX0hJU1RfNk1USC4zLzE5LzIwMjQBAAAA3mYAAAIAAAAHODMuOTE0MgDmKuYSIhPeCODA3hUiE94II0NJUS5BTElNLklRX0xBU1RTQUxFUFJJQ0UuMy8xOS8yMDI0AQAAADvlnQADAAAAAACRSLYSIhPeCODA3hUiE94IH0NJUS5UU0hBLklRX0xBU1RTQUxFUFJJQ0UuNDUzNjkBAAAAo5GxJwIAAAAEMi4xMwCRSLYSIhPeCFRS3hUiE94IKENJUS5PUEsuSVFfUFJJQ0VfVk9MX0hJU1RfNk1USC4zLzIwLzIwMjQBAAAAj7n9AQIAAAAHODYuODM3NwCRSLYSIhPeCCLd3RUiE94IH0NJUS5QSElPLklRX0xBU1RTQUxFUFJJQ0Uu</t>
  </si>
  <si>
    <t>NDUzNzkBAAAAOQZnCAIAAAAENi4xMgCRSLYSIhPeCBdo3RUiE94II0NJUS5PS1lPLklRX0xBU1RTQUxFUFJJQ0UuMy8yMi8yMDI0AQAAAEvPtgICAAAABTEuNTM1AJFIthIiE94IuvLcFSIT3ggpQ0lRLkVTUFIuSVFfUFJJQ0VfVk9MX0hJU1RfNk1USC4zLzIyLzIwMjQBAAAATG4AAAIAAAAIMTAyLjEwNjgAkUi2EiIT3gg7UtwVIhPeCB9DSVEuQVhTTS5JUV9MQVNUU0FMRVBSSUNFLjQ1MzgzAQAAAGs3aw4CAAAABTc2Ljk5AJFIthIiE94I1rPZFSIT3ggjQ0lRLk1CUlguSVFfTEFTVFNBTEVQUklDRS4zLzI1LzIwMjQBAAAAhmwUEwIAAAAENS4yNQCRSLYSIhPeCNaz2RUiE94IHkNJUS5NUksuSVFfTEFTVFNBTEVQUklDRS40NTM3MwEAAAD2ZgQAAgAAAAYxMjMuODUAkUi2EiIT3gjWs9kVIhPeCB9DSVEuTktHTi5JUV9MQVNUU0FMRVBSSUNFLjQ1MzgzAQAAADxUfyMCAAAABDEuOTUAkUi2EiIT3gjWs9kVIhPeCCJDSVEuU0xTLklRX0xBU1RTQUxFUFJJQ0UuMy8yNi8yMDI0AQAAACpXoQ8CAAAABDEuMDYAkUi2EiIT3gjWs9kVIhPeCB9DSVEuTUVJUC5JUV9MQVNUU0FMRVBSSUNFLjQ1Mzc2AQAAAD3JIQADAAAAAACRSLYSIhPeCNaz2RUiE94IKUNJUS5BUkdYLklRX1BSSUNFX1ZPTF9ISVNUXzZNVEguMy8yNy8yMDI0AQAAAL3iswMCAAAABzU3Ljg2OTcAkUi2EiIT3ggxTNcVIhPeCCNDSVEuQVRBSS5J</t>
  </si>
  <si>
    <t>UV9MQVNUU0FMRVBSSUNFLjMvMjcvMjAyNAEAAADtN1cqAgAAAAQxLjc5AJFIthIiE94IMUzXFSIT3ggpQ0lRLkFLQkEuSVFfUFJJQ0VfVk9MX0hJU1RfNk1USC4zLzI3LzIwMjQBAAAAdygvAgIAAAAHNzkuOTgxOQCRSLYSIhPeCDFM1xUiE94IH0NJUS5NSVNULklRX0xBU1RTQUxFUFJJQ0UuNDUzODYBAAAAM+0nAgIAAAAEMS43NQCRSLYSIhPeCDFM1xUiE94II0NJUS5TTkRYLklRX0xBU1RTQUxFUFJJQ0UuMy8yOC8yMDI0AQAAAMqmnwECAAAABDIzLjgApZmsEiIT3ghp49QVIhPeCClDSVEuTkJJWC5JUV9QUklDRV9WT0xfSElTVF82TVRILjMvMjgvMjAyNAEAAABJfQAAAgAAAAcyNS45NTc2AKWZrBIiE94IaePUFSIT3ggfQ0lRLkFGTUQuSVFfTEFTVFNBTEVQUklDRS40NTMwNgEAAADb9wwAAwAAAAAAM7aVEyIT3ggi+AYWIhPeCB9DSVEuTFNUQS5JUV9MQVNUU0FMRVBSSUNFLjQ1MzE1AQAAAGApBQACAAAABDIuNzUAdRuIEyIT3givJwIWIhPeCClDSVEuVk5EQS5JUV9QUklDRV9WT0xfSElTVF82TVRILjEvMjMvMjAyNAEAAAAjh3YBAgAAAAc1OC4yNzkyAHUbiBMiE94Ii7n/FSIT3ggfQ0lRLkFDWFAuSVFfTEFTVFNBTEVQUklDRS40NTMyNwEAAADOzEIhAgAAAAQ2Mi44AEgMihMiE94IUR3/FSIT3ggfQ0lRLkVEQVAuSVFfTEFTVFNBTEVQUklDRS40NTMyMgEAAAD0bAAAAgAAAAQ2LjY1AFYXURMi</t>
  </si>
  <si>
    <t>E94I5WH9FSIT3ggpQ0lRLkNTTExZLklRX1BSSUNFX1ZPTF9ISVNUXzZNVEguMi81LzIwMjQBAAAAX3MNAAMAAAAAAFYXURMiE94IjxH8FSIT3ggnQ0lRLkFJTS5JUV9QUklDRV9WT0xfSElTVF82TVRILjIvOC8yMDI0AQAAAHOgrigCAAAABzU3LjI2MDkAkj1REyIT3gi9sPgVIhPeCCpDSVEuQ1NMTFkuSVFfUFJJQ0VfVk9MX0hJU1RfNk1USC4yLzEyLzIwMjQBAAAAX3MNAAMAAAAAAJI9URMiE94IvbD4FSIT3ggjQ0lRLkFOSVguSVFfTEFTVFNBTEVQUklDRS4yLzEyLzIwMjQBAAAAegYEAAIAAAAENC40NgDtY1ETIhPeCF1H9hUiE94IH0NJUS5SQ0tULklRX0xBU1RTQUxFUFJJQ0UuNDUzNDIBAAAAQFaBGQIAAAAFMjguNjQA7WNREyIT3ghdR/YVIhPeCClDSVEuS1JCUC5JUV9QUklDRV9WT0xfSElTVF82TVRILjIvMTQvMjAyNAEAAABAuX8nAwAAAAAAQ9UgEyIT3gjW1/MVIhPeCB9DSVEuU0lMTy5JUV9MQVNUU0FMRVBSSUNFLjQ1MzM1AQAAABovtAcCAAAAAzEuNgCV/CATIhPeCNbX8xUiE94IH0NJUS5DUkRMLklRX0xBU1RTQUxFUFJJQ0UuNDUzNDQBAAAAXXN8IQIAAAAGMC4wNDM1AJX8IBMiE94I1tfzFSIT3gggQ0lRLlJISEJZLklRX0xBU1RTQUxFUFJJQ0UuNDUzMzcBAAAAJHwKAAMAAAAAAMglIRMiE94I1tfzFSIT3ggjQ0lRLklNUlguSVFfTEFTVFNBTEVQUklDRS4yLzIwLzIwMjQBAAAA1Q5h</t>
  </si>
  <si>
    <t>EgIAAAAENi43NgDIJSETIhPeCLeJ8xUiE94IHkNJUS5HU0suSVFfTEFTVFNBTEVQUklDRS40NTM0MgEAAADyMwQAAgAAAAYxNi43NzgAtkohEyIT3ggUxvIVIhPeCB9DSVEuVEFSUy5JUV9MQVNUU0FMRVBSSUNFLjQ1MzUxAQAAADERxCYCAAAABTM4LjIyALZKIRMiE94I/lDyFSIT3ggjQ0lRLlJFR04uSVFfTEFTVFNBTEVQUklDRS4yLzIzLzIwMjQBAAAAs4MAAAIAAAAFOTgxLjIAiHUhEyIT3gjBtPEVIhPeCB9DSVEuVEVWQS5JUV9MQVNUU0FMRVBSSUNFLjQ1MzUyAQAAAE+zBAACAAAABDEzLjUAiHUhEyIT3ghCMvEVIhPeCB9DSVEuS1JZUy5JUV9MQVNUU0FMRVBSSUNFLjQ1MzQ1AQAAACgn1R8CAAAABjExMS4zMwCIdSETIhPeCA698BUiE94II0NJUS5KQU5YLklRX0xBU1RTQUxFUFJJQ0UuMi8yNi8yMDI0AQAAAI2rWSgCAAAABDE1LjEAiHUhEyIT3gjDIPAVIhPeCClDSVEuQUNYUC5JUV9QUklDRV9WT0xfSElTVF82TVRILjIvMjcvMjAyNAEAAADOzEIhAgAAAAcxMzIuMjg2AIh1IRMiE94ImavvFSIT3ggjQ0lRLklYSEwuSVFfTEFTVFNBTEVQUklDRS4yLzI4LzIwMjQBAAAAO6RhEwIAAAAENi4yNwCIdSETIhPeCGwn7xUiE94IH0NJUS5SRUdOLklRX0xBU1RTQUxFUFJJQ0UuNDUzNTcBAAAAs4MAAAIAAAAFOTcyLjEA+7gVEyIT3ggIsu4VIhPeCCNDSVEuVEdUWC5JUV9MQVNUU0FMRVBSSUNFLjIv</t>
  </si>
  <si>
    <t>MjkvMjAyNAEAAABalI8IAgAAAAUxNy4yMgD7uBUTIhPeCKSE7RUiE94IKENJUS5LUkJQLklRX1BSSUNFX1ZPTF9ISVNUXzZNVEguMy8xLzIwMjQBAAAAQLl/JwMAAAAAAPu4FRMiE94ItA/tFSIT3gghQ0lRLlJOQS5JUV9MQVNUU0FMRVBSSUNFLjMvNC8yMDI0AQAAAB7LUg8CAAAABTE4Ljg2APu4FRMiE94IiJrsFSIT3ggfQ0lRLklORFAuSVFfTEFTVFNBTEVQUklDRS40NTM2MgEAAAD9TJUQAgAAAAk1Ni41NTk5NzcA+7gVEyIT3ghD/usVIhPeCB9DSVEuQkNEQS5JUV9MQVNUU0FMRVBSSUNFLjQ1MzUyAQAAAGculQACAAAACDguNjk2OTk1APu4FRMiE94IQ/7rFSIT3gghQ0lRLk5WTy5JUV9MQVNUU0FMRVBSSUNFLjMvNS8yMDI0AQAAAHzvBAACAAAABjEyNC42NQD7uBUTIhPeCGro6hUiE94IKENJUS5HQU5YLklRX1BSSUNFX1ZPTF9ISVNUXzZNVEguMy81LzIwMjQBAAAA29AMIQIAAAAHNzUuMjg1OQD7uBUTIhPeCPxu6hUiE94IKENJUS5MSVBPLklRX1BSSUNFX1ZPTF9ISVNUXzZNVEguMy81LzIwMjQBAAAAh+YjAgIAAAAIMTI5Ljk3MjgA+7gVEyIT3giP+ecVIhPeCB9DSVEuQlRBSS5JUV9MQVNUU0FMRVBSSUNFLjQ1MzY0AQAAAA0vZiACAAAABTQ1LjkyAPu4FRMiE94Ij/nnFSIT3ggnQ0lRLkJNWS5JUV9QUklDRV9WT0xfSElTVF82TVRILjMvNi8yMDI0AQAAAMZkAAACAAAABzIxLjUxNDYA+7gV</t>
  </si>
  <si>
    <t>EyIT3giP+ecVIhPeCChDSVEuTUFJQS5JUV9QUklDRV9WT0xfSElTVF82TVRILjMvNi8yMDI0AQAAAHXynyUCAAAACDEyMy4wNjE2APu4FRMiE94Ij/nnFSIT3ggoQ0lRLk1CSU8uSVFfUFJJQ0VfVk9MX0hJU1RfNk1USC4zLzcvMjAyNAEAAAAw2XcTAgAAAAc1OS45MDc4APopGBMiE94Ir5HlFSIT3ggoQ0lRLkFNTFguSVFfUFJJQ0VfVk9MX0hJU1RfNk1USC4zLzgvMjAyNAEAAAAGoOcSAgAAAAgyNTYuNTM5OAD6KRgTIhPeCK+R5RUiE94IKENJUS5UTFNBLklRX1BSSUNFX1ZPTF9ISVNUXzZNVEguMy84LzIwMjQBAAAAFR6SDwIAAAAHNTcuNDM2NAAIueMSIhPeCK+R5RUiE94IKUNJUS5BTUdOLklRX1BSSUNFX1ZPTF9ISVNUXzZNVEguMy8xMS8yMDI0AQAAAPBgAAACAAAABjIyLjc1MQAIueMSIhPeCK+R5RUiE94IH0NJUS5TT05OLklRX0xBU1RTQUxFUFJJQ0UuNDUzNTkBAAAAmt91GAIAAAAEMTQuOAAIueMSIhPeCK+R5RUiE94IKUNJUS5OVkNSLklRX1BSSUNFX1ZPTF9ISVNUXzZNVEguMy8xMS8yMDI0AQAAAOh8HwQCAAAABzY4LjExMDcACLnjEiIT3gjKKOMVIhPeCB9DSVEuQUNBRC5JUV9MQVNUU0FMRVBSSUNFLjQ1MzU5AQAAAMFuCgACAAAABTIzLjQ0AAi54xIiE94IyijjFSIT3ggpQ0lRLlNHTU8uSVFfUFJJQ0VfVk9MX0hJU1RfNk1USC4zLzEzLzIwMjQBAAAAAkwGAAIAAAAIMTQyLjA3OTYA</t>
  </si>
  <si>
    <t>CLnjEiIT3ggEweAVIhPeCB9DSVEuSU9OUy5JUV9MQVNUU0FMRVBSSUNFLjQ1MzYzAQAAAFx2AAACAAAABTQzLjE3AAi54xIiE94IBMHgFSIT3ggfQ0lRLkdFUk4uSVFfTEFTVFNBTEVQUklDRS40NTM2NAEAAAA4SwMAAgAAAAQxLjc1AAi54xIiE94IBMHgFSIT3ggfQ0lRLk9QVE4uSVFfTEFTVFNBTEVQUklDRS40NTM2NQUAAAAAAAAACAAAABQoSW52YWxpZCBJZGVudGlmaWVyKQi54xIiE94I4MDeFSIT3ggeQ0lRLkFaTi5JUV9MQVNUU0FMRVBSSUNFLjQ1MzY2AQAAAIYjBQACAAAABjEwMi45NAAIueMSIhPeCODA3hUiE94IHkNJUS5QQk0uSVFfTEFTVFNBTEVQUklDRS40NTM2NgEAAAA8RaIpAgAAAAo3NzEuMDk5NTI0AAi54xIiE94I4MDeFSIT3ggfQ0lRLkNFUlMuSVFfTEFTVFNBTEVQUklDRS40NTM2OQEAAADeZgAAAgAAAAQxLjg2AOYq5hIiE94I4MDeFSIT3ggfQ0lRLkFMSU0uSVFfTEFTVFNBTEVQUklDRS40NTM3NwEAAAA75Z0AAwAAAAAAkUi2EiIT3gjgwN4VIhPeCCNDSVEuVFNIQS5JUV9MQVNUU0FMRVBSSUNFLjMvMTkvMjAyNAEAAACjkbEnAgAAAAQyLjI1AJFIthIiE94IVFLeFSIT3ggeQ0lRLk9QSy5JUV9MQVNUU0FMRVBSSUNFLjQ1MzcwAQAAAI+5/QECAAAABjAuODcwMwCRSLYSIhPeCCLd3RUiE94IKUNJUS5WUlRYLklRX1BSSUNFX1ZPTF9ISVNUXzZNVEguMy8yMS8yMDI0AQAAAIuN</t>
  </si>
  <si>
    <t>AAACAAAABzI3LjIzMzUAkUi2EiIT3gjDQN0VIhPeCB9DSVEuRVNQUi5JUV9MQVNUU0FMRVBSSUNFLjQ1MzcyAQAAAExuAAACAAAABDIuMTEAkUi2EiIT3gg7UtwVIhPeCB9DSVEuTUJSWC5JUV9MQVNUU0FMRVBSSUNFLjQ1MzgzAQAAAIZsFBMCAAAABDUuNjcAkUi2EiIT3gjWs9kVIhPeCCJDSVEuTVJLLklRX0xBU1RTQUxFUFJJQ0UuMy8yNS8yMDI0AQAAAPZmBAACAAAABjEyNS4zMQCRSLYSIhPeCNaz2RUiE94IKUNJUS5BTVJYLklRX1BSSUNFX1ZPTF9ISVNUXzZNVEguMy8yNS8yMDI0AQAAAFecSgICAAAABzU2LjQ3MDQAkUi2EiIT3gjWs9kVIhPeCB5DSVEuU0xTLklRX0xBU1RTQUxFUFJJQ0UuNDUzODQBAAAAKlehDwIAAAAEMS4xOACRSLYSIhPeCNaz2RUiE94II0NJUS5NRUlQLklRX0xBU1RTQUxFUFJJQ0UuMy8yNi8yMDI0AQAAAD3JIQADAAAAAACRSLYSIhPeCNaz2RUiE94IH0NJUS5BUkdYLklRX0xBU1RTQUxFUFJJQ0UuNDUzNzcBAAAAveKzAwIAAAADMzY2AJFIthIiE94IMUzXFSIT3ggfQ0lRLkFUQUkuSVFfTEFTVFNBTEVQUklDRS40NTM4NQEAAADtN1cqAgAAAAQyLjM5AJFIthIiE94IMUzXFSIT3ggfQ0lRLkFLQkEuSVFfTEFTVFNBTEVQUklDRS40NTM3NwEAAAB3KC8CAgAAAAEyAJFIthIiE94IMUzXFSIT3ggpQ0lRLklSV0QuSVFfUFJJQ0VfVk9MX0hJU1RfNk1USC4zLzI4LzIwMjQB</t>
  </si>
  <si>
    <t>AAAACnsAAAIAAAAHNzguNjQxMQCRSLYSIhPeCDFM1xUiE94II0NJUS5PQ0VBLklRX0xBU1RTQUxFUFJJQ0UuMy8yOC8yMDI0AQAAAHfl6ScCAAAABTMuNzg1AKWZrBIiE94IaePUFSIT3ggfQ0lRLk5CSVguSVFfTEFTVFNBTEVQUklDRS40NTM3OAEAAABJfQAAAgAAAAYxMzcuODMApZmsEiIT3ghp49QVIhPeCChDSVEuR1JUUy5JUV9QUklDRV9WT0xfSElTVF82TVRILjQvMS8yMDI0BQAAAAAAAAAIAAAAFChJbnZhbGlkIElkZW50aWZpZXIppZmsEiIT3ghp49QVIhPeCB9DSVEuQVhTTS5JUV9MQVNUU0FMRVBSSUNFLjQ1MzkwAQAAAGs3aw4CAAAABTcyLjExAKWZrBIiE94IaePUFSIT3ggiQ0lRLktOU0EuSVFfTEFTVFNBTEVQUklDRS40LzIvMjAyNAEAAAC1okUhAgAAAAUxOC43MwClmawSIhPeCGhx0hUiE94IH0NJUS5GR0VOLklRX0xBU1RTQUxFUFJJQ0UuNDUzODQBAAAARG8AAAIAAAACNTQApZmsEiIT3ghocdIVIhPeCB9DSVEuTkJUWC5JUV9MQVNUU0FMRVBSSUNFLjQ1MzkyAQAAALuuPwECAAAAAzYuNAClmawSIhPeCGhx0hUiE94IIkNJUS5EVElMLklRX0xBU1RTQUxFUFJJQ0UuNC80LzIwMjQBAAAA6OVxAgIAAAAFMTQuMzQApZmsEiIT3gh+B9AVIhPeCCJDSVEuVEFSQS5JUV9MQVNUU0FMRVBSSUNFLjQvNS8yMDI0AQAAAPihiSACAAAABDMuNjMApZmsEiIT3gh+B9AVIhPeCChDSVEuQU1STi5J</t>
  </si>
  <si>
    <t>UV9QUklDRV9WT0xfSElTVF82TVRILjQvNi8yMDI0AQAAADc5BgACAAAABzg4LjIyMTIAJAevEiIT3gj+cs8VIhPeCB9DSVEuQVJXUi5JUV9MQVNUU0FMRVBSSUNFLjQ1Mzg3AQAAAIYZAwACAAAABTI1Ljc4AMU5bBIiE94ILqTNFSIT3gghQ0lRLklOTy5JUV9MQVNUU0FMRVBSSUNFLjQvNy8yMDI0AQAAAPpwAAACAAAABjExLjc5NQDFOWwSIhPeCC6kzRUiE94IH0NJUS5CTVJOLklRX0xBU1RTQUxFUFJJQ0UuNDUzOTcBAAAABWQAAAIAAAAFOTEuNTEAxTlsEiIT3ggupM0VIhPeCB9DSVEuVklOQy5JUV9MQVNUU0FMRVBSSUNFLjQ1Mzk3AQAAAOQ1IykCAAAABDE3LjQAxTlsEiIT3ggupM0VIhPeCB9DSVEuR01BQi5JUV9MQVNUU0FMRVBSSUNFLjQ1Mzk3AQAAAGgoCgACAAAABDIwNTgAxTlsEiIT3ggupM0VIhPeCB9DSVEuQUdFTi5JUV9MQVNUU0FMRVBSSUNFLjQ1Mzk3AQAAAGRBBgACAAAAAzYuNQDFOWwSIhPeCMNVzRUiE94IH0NJUS5FTFRYLklRX0xBU1RTQUxFUFJJQ0UuNDUzOTcBAAAAQKrPDAIAAAAEOS4yMwDFOWwSIhPeCHgDzRUiE94IH0NJUS5PUklDLklRX0xBU1RTQUxFUFJJQ0UuNDUzOTcBAAAAVEsaEgIAAAAEOS41NADFOWwSIhPeCGy1zBUiE94IH0NJUS5OVkNULklRX0xBU1RTQUxFUFJJQ0UuNDUzOTcBAAAAookZZAIAAAAENi40MQDFOWwSIhPeCAdAzBUiE94IHkNJUS5PQ1MuSVFfTEFT</t>
  </si>
  <si>
    <t>VFNBTEVQUklDRS40NTM5NwEAAAA39B0jAgAAAAUxMi4wMwDFOWwSIhPeCH1uyxUiE94IH0NJUS5JTVJYLklRX0xBU1RTQUxFUFJJQ0UuNDUzOTgBAAAA1Q5hEgIAAAAEMS44NADFOWwSIhPeCFsqyxUiE94IH0NJUS5JT0JULklRX0xBU1RTQUxFUFJJQ0UuNDUzOTgBAAAA4Hd0ZAIAAAAEMS41MQDFOWwSIhPeCPGXyhUiE94IKUNJUS5QQkxBLklRX1BSSUNFX1ZPTF9ISVNUXzZNVEguMS8xOC8yMDI0AQAAADb12AoCAAAACDE4Ni4xNjk2AHUbiBMiE94IrycCFiIT3ggfQ0lRLlVSR04uSVFfTEFTVFNBTEVQUklDRS40NTMyMgEAAADV0lgOAgAAAAQxNS43AHUbiBMiE94Ii7n/FSIT3ggpQ0lRLlNSUFQuSVFfUFJJQ0VfVk9MX0hJU1RfNk1USC4xLzI5LzIwMjQBAAAAWIgFAAIAAAAHNzkuODEyNwBIDIoTIhPeCDD2/hUiE94IHkNJUS5BWk4uSVFfTEFTVFNBTEVQUklDRS40NTMyMwEAAACGIwUAAgAAAAUxMDQuMwBWF1ETIhPeCAkj/RUiE94IH0NJUS5BSU1ELklRX0xBU1RTQUxFUFJJQ0UuNDUzMjQBAAAAJ5MFAAIAAAAENS4xNQBWF1ETIhPeCJzq+xUiE94IH0NJUS5CQ1RYLklRX0xBU1RTQUxFUFJJQ0UuNDUzMjgBAAAA9tyhDwIAAAAKNjIwLjk5OTY4OQCSPVETIhPeCL2w+BUiE94IH0NJUS5CRFJYLklRX0xBU1RTQUxFUFJJQ0UuNDUzMjkBAAAAzn+WEAIAAAAFMzM3LjUAkj1REyIT3gi9sPgVIhPeCB9D</t>
  </si>
  <si>
    <t>SVEuTFJNUi5JUV9MQVNUU0FMRVBSSUNFLjQ1MzMxAQAAABdgHSICAAAABDcuNzYAkj1REyIT3gi9sPgVIhPeCB9DSVEuQU5JWC5JUV9MQVNUU0FMRVBSSUNFLjQ1MzQxAQAAAHoGBAACAAAABDQuMDUA7WNREyIT3ghdR/YVIhPeCB9DSVEuQ0FMQy5JUV9MQVNUU0FMRVBSSUNFLjQ1MzM0AQAAAAZjCgICAAAABjUuNjk3NwDtY1ETIhPeCF1H9hUiE94IH0NJUS5LUkJQLklRX0xBU1RTQUxFUFJJQ0UuNDUzMzUBAAAAQLl/JwMAAAAAAEPVIBMiE94I1tfzFSIT3ggfQ0lRLlNJTE8uSVFfTEFTVFNBTEVQUklDRS40NTM0MwEAAAAaL7QHAgAAAAQxLjU2AJX8IBMiE94I1tfzFSIT3ggpQ0lRLk9OQ1kuSVFfUFJJQ0VfVk9MX0hJU1RfNk1USC4yLzE1LzIwMjQBAAAAV3UUAAIAAAAHNzUuMjc5NgCV/CATIhPeCNbX8xUiE94IIENJUS5SSEhCWS5JUV9MQVNUU0FMRVBSSUNFLjQ1MzQ1AQAAACR8CgADAAAAAADIJSETIhPeCNbX8xUiE94IKUNJUS5JUk9OLklRX1BSSUNFX1ZPTF9ISVNUXzZNVEguMi8yMC8yMDI0AQAAAE7fOSYCAAAABzQ3Ljk0MTcAyCUhEyIT3gjLYvMVIhPeCCJDSVEuR1NLLklRX0xBU1RTQUxFUFJJQ0UuMi8yMS8yMDI0AQAAAPIzBAACAAAABTE2LjYxALZKIRMiE94IO+3yFSIT3ggpQ0lRLkFUWEkuSVFfUFJJQ0VfVk9MX0hJU1RfNk1USC4yLzIyLzIwMjQBAAAA0qqGEgIAAAAIMTY5LjI2MDkA</t>
  </si>
  <si>
    <t>tkohEyIT3gjKKfIVIhPeCB9DSVEuUkVHTi5JUV9MQVNUU0FMRVBSSUNFLjQ1MzUyAQAAALODAAACAAAABjk4Mi44MgCIdSETIhPeCMG08RUiE94IKUNJUS5BTFZPLklRX1BSSUNFX1ZPTF9ISVNUXzZNVEguMi8yMy8yMDI0AQAAAD2JUSkCAAAABzM5LjcwODcAiHUhEyIT3ghCMvEVIhPeCB9DSVEuS1JZUy5JUV9MQVNUU0FMRVBSSUNFLjQ1MzU1AQAAACgn1R8CAAAABjE1OS45NQCIdSETIhPeCA698BUiE94IH0NJUS5BQ1hQLklRX0xBU1RTQUxFUFJJQ0UuNDUzNDgBAAAAzsxCIQIAAAACNjUAiHUhEyIT3giZq+8VIhPeCB9DSVEuSVhITC5JUV9MQVNUU0FMRVBSSUNFLjQ1MzU3AQAAADukYRMCAAAABDQuMjMAiHUhEyIT3ghsJ+8VIhPeCClDSVEuVkFOSS5JUV9QUklDRV9WT0xfSElTVF82TVRILjIvMjgvMjAyNAEAAABSc4wPAgAAAAgxOTIuNzQyNAD7uBUTIhPeCNWK7hUiE94II0NJUS5JUldELklRX0xBU1RTQUxFUFJJQ0UuMi8yOS8yMDI0AQAAAAp7AAACAAAABDkuNDMA+7gVEyIT3giKEe4VIhPeCB9DSVEuVEdUWC5JUV9MQVNUU0FMRVBSSUNFLjQ1MzU4AQAAAFqUjwgCAAAAAjE4APu4FRMiE94IpITtFSIT3ggfQ0lRLktSQlAuSVFfTEFTVFNBTEVQUklDRS40NTM1MQEAAABAuX8nAwAAAAAA+7gVEyIT3gi0D+0VIhPeCB5DSVEuUk5BLklRX0xBU1RTQUxFUFJJQ0UuNDUzNjIBAAAAHstSDwIAAAAF</t>
  </si>
  <si>
    <t>MjEuMDIA+7gVEyIT3ghTc+wVIhPeCCJDSVEuQkNEQS5JUV9MQVNUU0FMRVBSSUNFLjMvNC8yMDI0AQAAAGculQACAAAACDYuODI2NDk2APu4FRMiE94IQ/7rFSIT3ggeQ0lRLk5WTy5JUV9MQVNUU0FMRVBSSUNFLjQ1MzYzAQAAAHzvBAACAAAABjEzNS4xMQD7uBUTIhPeCGro6hUiE94IH0NJUS5HQU5YLklRX0xBU1RTQUxFUFJJQ0UuNDUzNTUBAAAA29AMIQIAAAAENC43MgD7uBUTIhPeCPxu6hUiE94IH0NJUS5MSVBPLklRX0xBU1RTQUxFUFJJQ0UuNDUzNTUBAAAAh+YjAgIAAAAEOC4yNAD7uBUTIhPeCI/55xUiE94IKENJUS5WTkRBLklRX1BSSUNFX1ZPTF9ISVNUXzZNVEguMy82LzIwMjQBAAAAI4d2AQIAAAAHNjAuODg0OQD7uBUTIhPeCI/55xUiE94IHkNJUS5CTVkuSVFfTEFTVFNBTEVQUklDRS40NTM1NgEAAADGZAAAAgAAAAU1MS44MgD7uBUTIhPeCI/55xUiE94IH0NJUS5NQUlBLklRX0xBU1RTQUxFUFJJQ0UuNDUzNTYBAAAAdfKfJQIAAAAEMS40OAD7uBUTIhPeCI/55xUiE94IHkNJUS5HU0suSVFfTEFTVFNBTEVQUklDRS40NTM1NwEAAADyMwQAAgAAAAYxNi43MzIA+ikYEyIT3givkeUVIhPeCB9DSVEuQU1MWC5JUV9MQVNUU0FMRVBSSUNFLjQ1MzU4AQAAAAag5xICAAAABTE4Ljk3APopGBMiE94Ir5HlFSIT3ggfQ0lRLlRMU0EuSVFfTEFTVFNBTEVQUklDRS40NTM1OAEAAAAVHpIPAgAA</t>
  </si>
  <si>
    <t>AAYwLjUxODcACLnjEiIT3givkeUVIhPeCB9DSVEuQU1HTi5JUV9MQVNUU0FMRVBSSUNFLjQ1MzU5AQAAAPBgAAACAAAABjI3My43NQAIueMSIhPeCK+R5RUiE94II0NJUS5TT05OLklRX0xBU1RTQUxFUFJJQ0UuMy8xMS8yMDI0AQAAAJrfdRgCAAAABTE2LjU2AAi54xIiE94Ir5HlFSIT3ggfQ0lRLk5WQ1IuSVFfTEFTVFNBTEVQUklDRS40NTM1OQEAAADofB8EAgAAAAUxNi41NAAIueMSIhPeCMoo4xUiE94II0NJUS5BQ0FELklRX0xBU1RTQUxFUFJJQ0UuMy8xMS8yMDI0AQAAAMFuCgACAAAABTI0LjEzAAi54xIiE94IyijjFSIT3ggiQ0lRLlBGRS5JUV9MQVNUU0FMRVBSSUNFLjMvMTIvMjAyNAEAAADeeQIAAgAAAAUyOC4wMQAIueMSIhPeCMoo4xUiE94IH0NJUS5TR01PLklRX0xBU1RTQUxFUFJJQ0UuNDUzNjMBAAAAAkwGAAIAAAAGMC44NjExAAi54xIiE94IyijjFSIT3ggoQ0lRLklOQ1kuSVFfUFJJQ0VfVk9MX0hJU1RfNk1USC4xLzIvMjAyNAEAAACaFAUAAgAAAAcyNi4yMTIxAO8PxxMiE94IEGUPFiIT3ggoQ0lRLkFUWEkuSVFfUFJJQ0VfVk9MX0hJU1RfNk1USC4xLzIvMjAyNAEAAADSqoYSAgAAAAgxMDYuNDEzOADvD8cTIhPeCMbvDhYiE94IKENJUS5BR0lPLklRX1BSSUNFX1ZPTF9ISVNUXzZNVEguMS8zLzIwMjQBAAAACyTGAgIAAAAHMzUuNTUzNQDvD8cTIhPeCMl6DhYiE94IJ0NJUS5E</t>
  </si>
  <si>
    <t>WU4uSVFfUFJJQ0VfVk9MX0hJU1RfNk1USC4xLzMvMjAyNAEAAAACBkgkAgAAAAc4My40MDAzAAIZlRMiE94IGkQOFiIT3ggoQ0lRLkNNTUIuSVFfUFJJQ0VfVk9MX0hJU1RfNk1USC4xLzMvMjAyNAEAAACy00gTAgAAAAc4Mi42NjA0AAIZlRMiE94I9bgMFiIT3ggoQ0lRLklGUlguSVFfUFJJQ0VfVk9MX0hJU1RfNk1USC4xLzQvMjAyNAEAAADQfYcCAgAAAAc4MS4yMDI1AAIZlRMiE94I9bgMFiIT3ggoQ0lRLlNOR1guSVFfUFJJQ0VfVk9MX0hJU1RfNk1USC4xLzQvMjAyNAEAAACrbQAAAgAAAAgxNDUuMDI2OABFQZUTIhPeCIbaCxYiE94IJ0NJUS5HU0suSVFfUFJJQ0VfVk9MX0hJU1RfNk1USC4xLzUvMjAyNAEAAADyMwQAAgAAAAcxNy41NzkxAEVBlRMiE94IhtoLFiIT3ggfQ0lRLklOQ1kuSVFfTEFTVFNBTEVQUklDRS40NTI5MgEAAACaFAUAAgAAAAU2Mi43OQDvD8cTIhPeCBBlDxYiE94IH0NJUS5BVFhJLklRX0xBU1RTQUxFUFJJQ0UuNDUyOTIBAAAA0qqGEgIAAAAIMTIuMDc1MDMA7w/HEyIT3gjG7w4WIhPeCB9DSVEuQUdJTy5JUV9MQVNUU0FMRVBSSUNFLjQ1MjkzAQAAAAskxgICAAAABTIyLjgzAO8PxxMiE94I16EOFiIT3ggeQ0lRLkRZTi5JUV9MQVNUU0FMRVBSSUNFLjQ1MjkzAQAAAAIGSCQCAAAABTEzLjA2AAIZlRMiE94IGkQOFiIT3ggfQ0lRLkNNTUIuSVFfTEFTVFNBTEVQUklDRS40</t>
  </si>
  <si>
    <t>NTI5MwEAAACy00gTAgAAAAYyLjE1MTIAAhmVEyIT3gj1uAwWIhPeCB9DSVEuSUZSWC5JUV9MQVNUU0FMRVBSSUNFLjQ1Mjk0AQAAANB9hwICAAAAAzEuNgACGZUTIhPeCPW4DBYiE94IH0NJUS5BTERYLklRX0xBU1RTQUxFUFJJQ0UuNDUyOTQBAAAAt0PTAgIAAAAEMy4zNQBFQZUTIhPeCPW4DBYiE94IH0NJUS5TTkdYLklRX0xBU1RTQUxFUFJJQ0UuNDUyOTQBAAAAq20AAAIAAAAFMTQuNjgARUGVEyIT3gj1uAwWIhPeCB9DSVEuQVBMVC5JUV9MQVNUU0FMRVBSSUNFLjQ1Mjk0AQAAAHuMVCECAAAABDMuNTkARUGVEyIT3giG2gsWIhPeCB5DSVEuR1NLLklRX0xBU1RTQUxFUFJJQ0UuNDUyOTUBAAAA8jMEAAIAAAAGMTUuMzk4AEVBlRMiE94IhtoLFiIT3ggfQ0lRLk5PVk4uSVFfTEFTVFNBTEVQUklDRS40NTI5NQEAAABZ1gUAAgAAAAU4OS44NABSaJUTIhPeCOhxCRYiE94IH0NJUS5WSU5DLklRX0xBU1RTQUxFUFJJQ0UuNDUyOTYBAAAA5DUjKQIAAAAEMjMuNgBSaJUTIhPeCOhxCRYiE94IH0NJUS5WRVJVLklRX0xBU1RTQUxFUFJJQ0UuNDUyOTYBAAAAN9MEAAIAAAAENS44NgBSaJUTIhPeCOhxCRYiE94IH0NJUS5JVE9TLklRX0xBU1RTQUxFUFJJQ0UuNDUyOTYFAAAAAAAAAAgAAAAUKEludmFsaWQgSWRlbnRpZmllcikfj5UTIhPeCOhxCRYiE94IH0NJUS5BQkJWLklRX0xBU1RTQUxFUFJJQ0UuNDUy</t>
  </si>
  <si>
    <t>OTYBAAAACgF1CAIAAAAGMTYyLjE0AB+PlRMiE94I6HEJFiIT3ggfQ0lRLk5SSVguSVFfTEFTVFNBTEVQUklDRS40NTI5NgEAAABMKlUMAgAAAAQ5Ljg3AB+PlRMiE94I6HEJFiIT3ggfQ0lRLkNZQk4uSVFfTEFTVFNBTEVQUklDRS40NTI5NgEAAAD+y74nAgAAAAkxNS4zODk5OTMAM7aVEyIT3ggi+AYWIhPeCB9DSVEuU01NVC5JUV9MQVNUU0FMRVBSSUNFLjQ1Mjk2AQAAAMMtsQACAAAABDIuNTUAM7aVEyIT3ggi+AYWIhPeCB9DSVEuQUZNRC5JUV9MQVNUU0FMRVBSSUNFLjQ1Mjk2AQAAANv3DAADAAAAAAAztpUTIhPeCCL4BhYiE94IH0NJUS5WQ0VMLklRX0xBU1RTQUxFUFJJQ0UuNDUyOTkBAAAAWV4AAAIAAAAFMzQuNzkAo9mVEyIT3ggi+AYWIhPeCB9DSVEuQUNSUy5JUV9MQVNUU0FMRVBSSUNFLjQ1MzAwAQAAAMtS7QwCAAAABDEuMjgAo9mVEyIT3ggi+AYWIhPeCB9DSVEuU0FOQS5JUV9MQVNUU0FMRVBSSUNFLjQ1MzAwAQAAADFImiMCAAAABTUuMTU1AKPZlRMiE94IMpAEFiIT3ggeQ0lRLlRBSy5JUV9MQVNUU0FMRVBSSUNFLjQ1MzA2AQAAACxYDQACAAAABTE1LjA0AHUbiBMiE94IMpAEFiIT3ggfQ0lRLkJHTkUuSVFfTEFTVFNBTEVQUklDRS40NTMwNgEAAADg5N0GAwAAAAAAdRuIEyIT3ggykAQWIhPeCB9DSVEuQURBRy5JUV9MQVNUU0FMRVBSSUNFLjQ1MzA2AQAAABAGCwcCAAAABDMuMTcA</t>
  </si>
  <si>
    <t>dRuIEyIT3ggykAQWIhPeCB9DSVEuS0FOVC5JUV9MQVNUU0FMRVBSSUNFLjQ1MzA3BQAAAAAAAAAIAAAAFChJbnZhbGlkIElkZW50aWZpZXIpdRuIEyIT3ggykAQWIhPeCB9DSVEuQ0FUWC5JUV9MQVNUU0FMRVBSSUNFLjQ1MzA3AQAAAOqVlwACAAAABTQuNTIxAHUbiBMiE94IrycCFiIT3ggfQ0lRLklYSEwuSVFfTEFTVFNBTEVQUklDRS40NTMwNwEAAAA7pGETAgAAAAQ0LjQ1AHUbiBMiE94IrycCFiIT3ggfQ0lRLkNIUlMuSVFfTEFTVFNBTEVQUklDRS40NTMwOAEAAADHelUMAgAAAAQyLjQ2AHUbiBMiE94IrycCFiIT3ggeQ0lRLkFaTi5JUV9MQVNUU0FMRVBSSUNFLjQ1MzA5AQAAAIYjBQACAAAABjEwNC4zMgB1G4gTIhPeCK8nAhYiE94IHkNJUS5BSU0uSVFfTEFTVFNBTEVQUklDRS40NTMxMAEAAABzoK4oAgAAAAMwLjMAdRuIEyIT3givJwIWIhPeCB9DSVEuQUdFTi5JUV9MQVNUU0FMRVBSSUNFLjQ1MzEwAQAAAGRBBgACAAAABTExLjU2AHUbiBMiE94IrycCFiIT3ggfQ0lRLlNYVFAuSVFfTEFTVFNBTEVQUklDRS40NTMxMAEAAAB8QWsOAgAAAAkzNy41NjAwMTUAdRuIEyIT3giLuf8VIhPeCB5DSVEuTExZLklRX0xBU1RTQUxFUFJJQ0UuNDUzMTMBAAAAG1sEAAIAAAAGNjMwLjg4AHUbiBMiE94Ii7n/FSIT3ggfQ0lRLkFOVlMuSVFfTEFTVFNBTEVQUklDRS40NTMxNAEAAAAv0R0lAgAAAAUxMS42</t>
  </si>
  <si>
    <t>NAB1G4gTIhPeCIu5/xUiE94IH0NJUS5DWVRLLklRX0xBU1RTQUxFUFJJQ0UuNDUzMTUBAAAAs2oAAAIAAAAFODEuNzcASAyKEyIT3giLuf8VIhPeCB9DSVEuUENTQS5JUV9MQVNUU0FMRVBSSUNFLjQ1MzE1AQAAAJscpx8CAAAABDIuMDUASAyKEyIT3giLuf8VIhPeCB9DSVEuSEFMTy5JUV9MQVNUU0FMRVBSSUNFLjQ1MzE3AQAAAEYFeQACAAAABTM0LjIxAEgMihMiE94Ic5L/FSIT3ggfQ0lRLkFDWFAuSVFfTEFTVFNBTEVQUklDRS40NTMxNwEAAADOzEIhAgAAAAQ3Ny40AEgMihMiE94IUR3/FSIT3ggfQ0lRLkxJWFQuSVFfTEFTVFNBTEVQUklDRS40NTMxNwEAAACsRb0BAgAAAAQxLjk5AEgMihMiE94IIs/+FSIT3ggfQ0lRLlJDVVMuSVFfTEFTVFNBTEVQUklDRS40NTMyMAEAAAA0v2UTAgAAAAQxNS4zAEgMihMiE94I9Fn+FSIT3ggfQ0lRLklUUk0uSVFfTEFTVFNBTEVQUklDRS40NTMyMAEAAACQsvkSAgAAAAQxLjc5ACXwUBMiE94I3OT9FSIT3ggeQ0lRLk5WTy5JUV9MQVNUU0FMRVBSSUNFLjQ1MzIxAQAAAHzvBAACAAAABjEwOS4wMgBWF1ETIhPeCOCW/RUiE94IH0NJUS5CQklPLklRX0xBU1RTQUxFUFJJQ0UuNDUzMjMBAAAAYoecGAIAAAAFMzMuMzEAVhdREyIT3ggJI/0VIhPeCB5DSVEuS09ELklRX0xBU1RTQUxFUFJJQ0UuNDUzMjQBAAAAlTUxEwIAAAAENC4wMwBWF1ETIhPeCPzU/BUiE94I</t>
  </si>
  <si>
    <t>H0NJUS5QTFJYLklRX0xBU1RTQUxFUFJJQ0UuNDUzMjQBAAAAbRFuEwIAAAAEMTcuNABWF1ETIhPeCPZf/BUiE94IIENJUS5DU0xMWS5JUV9MQVNUU0FMRVBSSUNFLjQ1MzI0AQAAAF9zDQADAAAAAABWF1ETIhPeCI8R/BUiE94IH0NJUS5TR01PLklRX0xBU1RTQUxFUFJJQ0UuNDUzMjcBAAAAAkwGAAIAAAAEMC41NgBWF1ETIhPeCIXD+xUiE94IH0NJUS5BQkVPLklRX0xBU1RTQUxFUFJJQ0UuNDUzMjcBAAAA54EFAAIAAAAENC4yOQBWF1ETIhPeCE1O+xUiE94IHkNJUS5IQ00uSVFfTEFTVFNBTEVQUklDRS40NTMyOAEAAAC7r5YBAgAAAAQyLjE1AJI9URMiE94IvbD4FSIT3ggfQ0lRLkFMRUMuSVFfTEFTVFNBTEVQUklDRS40NTMyOAEAAABrQNsOAgAAAAQ2LjA0AJI9URMiE94IvbD4FSIT3ggfQ0lRLkFEVk0uSVFfTEFTVFNBTEVQUklDRS40NTMyOQEAAACXtVcMAgAAAAQyOC4xAJI9URMiE94IvbD4FSIT3ggfQ0lRLkFUSEEuSVFfTEFTVFNBTEVQUklDRS40NTMyOQEAAAAcEdsPAgAAAAIzMQCSPVETIhPeCL2w+BUiE94IIkNJUS5JTkNZLklRX0xBU1RTQUxFUFJJQ0UuMS8yLzIwMjQBAAAAmhQFAAIAAAAFNjUuNDUA7w/HEyIT3ggQZQ8WIhPeCCJDSVEuQVRYSS5JUV9MQVNUU0FMRVBSSUNFLjEvMi8yMDI0AQAAANKqhhICAAAACDEyLjAwMDAzAO8PxxMiE94Ixu8OFiIT3ggiQ0lRLkFHSU8uSVFfTEFT</t>
  </si>
  <si>
    <t>VFNBTEVQUklDRS4xLzMvMjAyNAEAAAALJMYCAgAAAAUyNC4wMgDvD8cTIhPeCNehDhYiE94IIUNJUS5EWU4uSVFfTEFTVFNBTEVQUklDRS4xLzMvMjAyNAEAAAACBkgkAgAAAAUxNC43NwACGZUTIhPeCBpEDhYiE94IIkNJUS5DTU1CLklRX0xBU1RTQUxFUFJJQ0UuMS8zLzIwMjQBAAAAstNIEwIAAAAGMi4xMzg4AAIZlRMiE94I9bgMFiIT3ggiQ0lRLklGUlguSVFfTEFTVFNBTEVQUklDRS4xLzQvMjAyNAEAAADQfYcCAgAAAAQxLjgzAAIZlRMiE94I9bgMFiIT3ggiQ0lRLkFMRFguSVFfTEFTVFNBTEVQUklDRS4xLzQvMjAyNAEAAAC3Q9MCAgAAAAQzLjM0AEVBlRMiE94I9bgMFiIT3ggiQ0lRLlNOR1guSVFfTEFTVFNBTEVQUklDRS4xLzQvMjAyNAEAAACrbQAAAgAAAAcxNC41MTY4AEVBlRMiE94I9bgMFiIT3ggiQ0lRLkFQTFQuSVFfTEFTVFNBTEVQUklDRS4xLzQvMjAyNAEAAAB7jFQhAgAAAAQzLjc5AEVBlRMiE94IhtoLFiIT3gghQ0lRLkdTSy5JUV9MQVNUU0FMRVBSSUNFLjEvNS8yMDI0AQAAAPIzBAACAAAABjE1LjQxMgBFQZUTIhPeCIbaCxYiE94IIkNJUS5OT1ZOLklRX0xBU1RTQUxFUFJJQ0UuMS81LzIwMjQBAAAAWdYFAAIAAAAFOTAuNDEAUmiVEyIT3gjocQkWIhPeCCJDSVEuVklOQy5JUV9MQVNUU0FMRVBSSUNFLjEvOC8yMDI0AQAAAOQ1IykCAAAABDI3LjIAUmiVEyIT3gjocQkWIhPe</t>
  </si>
  <si>
    <t>CCJDSVEuVkVSVS5JUV9MQVNUU0FMRVBSSUNFLjEvOC8yMDI0AQAAADfTBAACAAAABDUuNTgAUmiVEyIT3gjocQkWIhPeCCJDSVEuSVRPUy5JUV9MQVNUU0FMRVBSSUNFLjEvOC8yMDI0BQAAAAAAAAAIAAAAFChJbnZhbGlkIElkZW50aWZpZXIpH4+VEyIT3gjocQkWIhPeCCJDSVEuQUJCVi5JUV9MQVNUU0FMRVBSSUNFLjEvOC8yMDI0AQAAAAoBdQgCAAAABjE2MS40MwAfj5UTIhPeCOhxCRYiE94IIkNJUS5OUklYLklRX0xBU1RTQUxFUFJJQ0UuMS84LzIwMjQBAAAATCpVDAIAAAAEOS45NgAfj5UTIhPeCOhxCRYiE94IIkNJUS5DWUJOLklRX0xBU1RTQUxFUFJJQ0UuMS84LzIwMjQBAAAA/su+JwIAAAAJMTQuODgwNzk0ADO2lRMiE94IIvgGFiIT3ggiQ0lRLlNNTVQuSVFfTEFTVFNBTEVQUklDRS4xLzgvMjAyNAEAAADDLbEAAgAAAAQyLjk3ADO2lRMiE94IIvgGFiIT3ggiQ0lRLkFGTUQuSVFfTEFTVFNBTEVQUklDRS4xLzgvMjAyNAEAAADb9wwAAwAAAAAAM7aVEyIT3ggi+AYWIhPeCCJDSVEuVkNFTC5JUV9MQVNUU0FMRVBSSUNFLjEvOS8yMDI0AQAAAFleAAACAAAABTM3LjMxAKPZlRMiE94IIvgGFiIT3gghQ0lRLkFMQy5JUV9MQVNUU0FMRVBSSUNFLjEvOS8yMDI0AQAAANNs6goCAAAABDAuMDcAo9mVEyIT3ggi+AYWIhPeCCNDSVEuQUNSUy5JUV9MQVNUU0FMRVBSSUNFLjEvMTAvMjAyNAEAAADL</t>
  </si>
  <si>
    <t>Uu0MAgAAAAUxLjAwNQCj2ZUTIhPeCCL4BhYiE94II0NJUS5TQU5BLklRX0xBU1RTQUxFUFJJQ0UuMS8xMC8yMDI0AQAAADFImiMCAAAABDcuMTgAo9mVEyIT3ggykAQWIhPeCCNDSVEuQ0xSQi5JUV9MQVNUU0FMRVBSSUNFLjEvMTYvMjAyNAEAAADz7j0CAgAAAAoxMTEuMDAwMTExAIYElhMiE94IMpAEFiIT3ggiQ0lRLlRBSy5JUV9MQVNUU0FMRVBSSUNFLjEvMTYvMjAyNAEAAAAsWA0AAgAAAAUxNS4wMQB1G4gTIhPeCDKQBBYiE94II0NJUS5CR05FLklRX0xBU1RTQUxFUFJJQ0UuMS8xNi8yMDI0AQAAAODk3QYDAAAAAAB1G4gTIhPeCDKQBBYiE94II0NJUS5BREFHLklRX0xBU1RTQUxFUFJJQ0UuMS8xNi8yMDI0AQAAABAGCwcCAAAABDMuNzgAdRuIEyIT3ggykAQWIhPeCCNDSVEuS0FOVC5JUV9MQVNUU0FMRVBSSUNFLjEvMTcvMjAyNAUAAAAAAAAACAAAABQoSW52YWxpZCBJZGVudGlmaWVyKXUbiBMiE94IMpAEFiIT3ggjQ0lRLkNBVFguSVFfTEFTVFNBTEVQUklDRS4xLzE3LzIwMjQBAAAA6pWXAAIAAAAFNC4zNjEAdRuIEyIT3givJwIWIhPeCCNDSVEuSVhITC5JUV9MQVNUU0FMRVBSSUNFLjEvMTcvMjAyNAEAAAA7pGETAgAAAAQ0LjQ3AHUbiBMiE94IrycCFiIT3ggjQ0lRLkNIUlMuSVFfTEFTVFNBTEVQUklDRS4xLzE4LzIwMjQBAAAAx3pVDAIAAAADMi40AHUbiBMiE94IrycCFiIT3ggiQ0lR</t>
  </si>
  <si>
    <t>LkFaTi5JUV9MQVNUU0FMRVBSSUNFLjEvMTkvMjAyNAEAAACGIwUAAgAAAAYxMDUuMDgAdRuIEyIT3givJwIWIhPeCCNDSVEuQUxWTy5JUV9MQVNUU0FMRVBSSUNFLjEvMTkvMjAyNAEAAAA9iVEpAgAAAAUxNC4xNAB1G4gTIhPeCK8nAhYiE94IIkNJUS5BSU0uSVFfTEFTVFNBTEVQUklDRS4xLzIyLzIwMjQBAAAAc6CuKAIAAAADMC4zAHUbiBMiE94IrycCFiIT3ggjQ0lRLkFHRU4uSVFfTEFTVFNBTEVQUklDRS4xLzIyLzIwMjQBAAAAZEEGAAIAAAAFMTEuNzcAdRuIEyIT3givJwIWIhPeCCNDSVEuU1hUUC5JUV9MQVNUU0FMRVBSSUNFLjEvMjIvMjAyNAEAAAB8QWsOAgAAAAk0NS4wNjAwMTgAdRuIEyIT3giLuf8VIhPeCCJDSVEuTExZLklRX0xBU1RTQUxFUFJJQ0UuMS8yMy8yMDI0AQAAABtbBAACAAAABjYyOS42OAB1G4gTIhPeCIu5/xUiE94II0NJUS5BTlZTLklRX0xBU1RTQUxFUFJJQ0UuMS8yNC8yMDI0AQAAAC/RHSUCAAAABDkuMDkAdRuIEyIT3giLuf8VIhPeCCNDSVEuQ1lUSy5JUV9MQVNUU0FMRVBSSUNFLjEvMjUvMjAyNAEAAACzagAAAgAAAAU4Mi45MQBIDIoTIhPeCIu5/xUiE94II0NJUS5QQ1NBLklRX0xBU1RTQUxFUFJJQ0UuMS8yNS8yMDI0AQAAAJscpx8CAAAAAzUuMQBIDIoTIhPeCIu5/xUiE94IIkNJUS5CTVkuSVFfTEFTVFNBTEVQUklDRS4xLzI1LzIwMjQBAAAAxmQAAAIAAAAF</t>
  </si>
  <si>
    <t>NDkuNjEASAyKEyIT3giLuf8VIhPeCCNDSVEuSEFMTy5JUV9MQVNUU0FMRVBSSUNFLjEvMjcvMjAyNAEAAABGBXkAAgAAAAUzNC4yMQBIDIoTIhPeCHOS/xUiE94II0NJUS5BQ1hQLklRX0xBU1RTQUxFUFJJQ0UuMS8yOS8yMDI0AQAAAM7MQiECAAAABDczLjYASAyKEyIT3ghRHf8VIhPeCCNDSVEuTElYVC5JUV9MQVNUU0FMRVBSSUNFLjEvMjkvMjAyNAEAAACsRb0BAgAAAAQyLjE1AEgMihMiE94IIs/+FSIT3ggjQ0lRLlJDVVMuSVFfTEFTVFNBTEVQUklDRS4xLzMwLzIwMjQBAAAANL9lEwIAAAAFMTUuNzIASAyKEyIT3gj0Wf4VIhPeCB9DSVEuSU5DWS5JUV9MQVNUU0FMRVBSSUNFLjQ1MzAwAQAAAJoUBQACAAAABTY0LjM4AO8PxxMiE94IEGUPFiIT3ggfQ0lRLkFUWEkuSVFfTEFTVFNBTEVQUklDRS40NTMwMAEAAADSqoYSAgAAAAkxNC4xMzc1MzUA7w/HEyIT3gjG7w4WIhPeCB9DSVEuQUdJTy5JUV9MQVNUU0FMRVBSSUNFLjQ1MzAxAQAAAAskxgICAAAABDIzLjQA7w/HEyIT3gjJeg4WIhPeCB5DSVEuRFlOLklRX0xBU1RTQUxFUFJJQ0UuNDUzMDEBAAAAAgZIJAIAAAAFMTcuMzQAAhmVEyIT3ggaRA4WIhPeCB9DSVEuQ01NQi5JUV9MQVNUU0FMRVBSSUNFLjQ1MzAxAQAAALLTSBMCAAAABDIuMTgAAhmVEyIT3gj1uAwWIhPeCB9DSVEuSUZSWC5JUV9MQVNUU0FMRVBSSUNFLjQ1MzAyAQAAANB9hwIC</t>
  </si>
  <si>
    <t>AAAABDEuNzUAAhmVEyIT3gj1uAwWIhPeCB9DSVEuQUxEWC5JUV9MQVNUU0FMRVBSSUNFLjQ1MzAyAQAAALdD0wICAAAAAzMuMgBFQZUTIhPeCPW4DBYiE94IH0NJUS5TTkdYLklRX0xBU1RTQUxFUFJJQ0UuNDUzMDIBAAAAq20AAAIAAAAHMTMuODYwOABFQZUTIhPeCIbaCxYiE94IH0NJUS5BUExULklRX0xBU1RTQUxFUFJJQ0UuNDUzMDIBAAAAe4xUIQIAAAAEMi40NABFQZUTIhPeCIbaCxYiE94IHkNJUS5HU0suSVFfTEFTVFNBTEVQUklDRS40NTMwMwEAAADyMwQAAgAAAAUxNS43MwBSaJUTIhPeCIbaCxYiE94IH0NJUS5OT1ZOLklRX0xBU1RTQUxFUFJJQ0UuNDUzMDMBAAAAWdYFAAIAAAAFOTEuNDMAUmiVEyIT3gjocQkWIhPeCB9DSVEuVklOQy5JUV9MQVNUU0FMRVBSSUNFLjQ1MzA2AQAAAOQ1IykCAAAABDI3LjQAUmiVEyIT3gjocQkWIhPeCB9DSVEuVkVSVS5JUV9MQVNUU0FMRVBSSUNFLjQ1MzA2AQAAADfTBAACAAAABTQuNTkyAFJolRMiE94I6HEJFiIT3ggfQ0lRLklUT1MuSVFfTEFTVFNBTEVQUklDRS40NTMwNgUAAAAAAAAACAAAABQoSW52YWxpZCBJZGVudGlmaWVyKR+PlRMiE94I6HEJFiIT3ggfQ0lRLkFCQlYuSVFfTEFTVFNBTEVQUklDRS40NTMwNgEAAAAKAXUIAgAAAAUxNjIuNAAfj5UTIhPeCOhxCRYiE94IH0NJUS5OUklYLklRX0xBU1RTQUxFUFJJQ0UuNDUzMDYBAAAATCpVDAIA</t>
  </si>
  <si>
    <t>AAAEOS4zNwAfj5UTIhPeCOhxCRYiE94IH0NJUS5DWUJOLklRX0xBU1RTQUxFUFJJQ0UuNDUzMDYBAAAA/su+JwIAAAAJMTUuMzg5OTkzADO2lRMiE94IIvgGFiIT3ggfQ0lRLlNNTVQuSVFfTEFTVFNBTEVQUklDRS40NTMwNgEAAADDLbEAAgAAAAMzLjEAM7aVEyIT3ggi+AYWIhPeCChDSVEuTEJQSC5JUV9QUklDRV9WT0xfSElTVF82TVRILjEvMi8yMDI0BQAAAAAAAAAIAAAAFChJbnZhbGlkIElkZW50aWZpZXIp7w/HEyIT3ghWPA8WIhPeCChDSVEuU1BSTy5JUV9QUklDRV9WT0xfSElTVF82TVRILjEvMi8yMDI0AQAAALPcVg4CAAAABzQ4LjI5NzUA7w/HEyIT3ghZyQ4WIhPeCChDSVEuVEVWQS5JUV9QUklDRV9WT0xfSElTVF82TVRILjEvMy8yMDI0AQAAAE+zBAACAAAABzM3LjcyMjgA7w/HEyIT3gjJeg4WIhPeCChDSVEuQVRIQS5JUV9QUklDRV9WT0xfSElTVF82TVRILjEvMy8yMDI0AQAAABwR2w8CAAAABzY5Ljc1MzUAAhmVEyIT3gj1uAwWIhPeCChDSVEuU0xSWC5JUV9QUklDRV9WT0xfSElTVF82TVRILjEvMy8yMDI0AQAAANDfqxMCAAAABzc3LjU4MTcAAhmVEyIT3gj1uAwWIhPeCB9DSVEuTEJQSC5JUV9MQVNUU0FMRVBSSUNFLjQ1MjkyBQAAAAAAAAAIAAAAFChJbnZhbGlkIElkZW50aWZpZXIp7w/HEyIT3ghWPA8WIhPeCB9DSVEuU1BSTy5JUV9MQVNUU0FMRVBSSUNFLjQ1MjkyAQAAALPc</t>
  </si>
  <si>
    <t>Vg4CAAAABDEuNDcA7w/HEyIT3ghZyQ4WIhPeCB9DSVEuVEVWQS5JUV9MQVNUU0FMRVBSSUNFLjQ1MjkzAQAAAE+zBAACAAAABTEwLjY3AO8PxxMiE94IyXoOFiIT3ggfQ0lRLkFUSEEuSVFfTEFTVFNBTEVQUklDRS40NTI5MwEAAAAcEdsPAgAAAAQyOC45AAIZlRMiE94I9bgMFiIT3ggfQ0lRLlNMUlguSVFfTEFTVFNBTEVQUklDRS40NTI5MwEAAADQ36sTAgAAAAk3Ni44MTE5NjEAAhmVEyIT3gj1uAwWIhPeCB9DSVEuR0xZQy5JUV9MQVNUU0FMRVBSSUNFLjQ1Mjk0AQAAADkHVwADAAAAAAACGZUTIhPeCPW4DBYiE94IH0NJUS5QUlRHLklRX0xBU1RTQUxFUFJJQ0UuNDUyOTQFAAAAAAAAAAgAAAAUKEludmFsaWQgSWRlbnRpZmllcilFQZUTIhPeCIbaCxYiE94IH0NJUS5NUlNOLklRX0xBU1RTQUxFUFJJQ0UuNDUyOTUBAAAA5sUYAAIAAAAFNTcuNzUAUmiVEyIT3giG2gsWIhPeCB9DSVEuTEdORC5JUV9MQVNUU0FMRVBSSUNFLjQ1Mjk1AQAAAGR4AAACAAAABTcwLjM2AFJolRMiE94I6HEJFiIT3ggfQ0lRLkJJT1IuSVFfTEFTVFNBTEVQUklDRS40NTI5NgEAAAAO7/4CAwAAAAAAUmiVEyIT3gjocQkWIhPeCB5DSVEuQk1ZLklRX0xBU1RTQUxFUFJJQ0UuNDUyOTYBAAAAxmQAAAIAAAAFNTIuMjMAH4+VEyIT3gjocQkWIhPeCB9DSVEuT0tZTy5JUV9MQVNUU0FMRVBSSUNFLjQ1Mjk2AQAAAEvPtgICAAAA</t>
  </si>
  <si>
    <t>BTEuODY0AB+PlRMiE94I6HEJFiIT3ggfQ0lRLklOQ1kuSVFfTEFTVFNBTEVQUklDRS40NTI5NgEAAACaFAUAAgAAAAU2NS4yNgAfj5UTIhPeCOhxCRYiE94IH0NJUS5GQVRFLklRX0xBU1RTQUxFUFJJQ0UuNDUyOTYBAAAAaDFXAgIAAAAEMy43NwAztpUTIhPeCCL4BhYiE94IH0NJUS5PUklDLklRX0xBU1RTQUxFUFJJQ0UuNDUyOTYBAAAAVEsaEgIAAAAEOC40MgAztpUTIhPeCCL4BhYiE94IH0NJUS5BVklSLklRX0xBU1RTQUxFUFJJQ0UuNDUyOTYBAAAAWcoRDwIAAAAEMy4wOQAztpUTIhPeCCL4BhYiE94IH0NJUS5NRFdELklRX0xBU1RTQUxFUFJJQ0UuNDUyOTkBAAAAQfgXAAIAAAAFMTEuODIAo9mVEyIT3ggi+AYWIhPeCB9DSVEuTVJTTi5JUV9MQVNUU0FMRVBSSUNFLjQ1MzAwAQAAAObFGAACAAAABTgwLjc1AKPZlRMiE94IIvgGFiIT3ggfQ0lRLlZZTkUuSVFfTEFTVFNBTEVQUklDRS40NTMwMAEAAAAqXWMAAgAAAAQyLjI3AKPZlRMiE94IMpAEFiIT3ggiQ0lRLkxCUEguSVFfTEFTVFNBTEVQUklDRS4xLzIvMjAyNAUAAAAAAAAACAAAABQoSW52YWxpZCBJZGVudGlmaWVyKe8PxxMiE94IVjwPFiIT3ggiQ0lRLlNQUk8uSVFfTEFTVFNBTEVQUklDRS4xLzIvMjAyNAEAAACz3FYOAgAAAAQxLjUyAO8PxxMiE94Ixu8OFiIT3ggiQ0lRLlRFVkEuSVFfTEFTVFNBTEVQUklDRS4xLzMvMjAyNAEAAABP</t>
  </si>
  <si>
    <t>swQAAgAAAAUxMC45NQDvD8cTIhPeCMl6DhYiE94IIkNJUS5BVEhBLklRX0xBU1RTQUxFUFJJQ0UuMS8zLzIwMjQBAAAAHBHbDwIAAAAEMzAuMwACGZUTIhPeCPW4DBYiE94IIkNJUS5TTFJYLklRX0xBU1RTQUxFUFJJQ0UuMS8zLzIwMjQBAAAA0N+rEwIAAAAJNzYuNjU1OTYxAAIZlRMiE94I9bgMFiIT3ggiQ0lRLkdMWUMuSVFfTEFTVFNBTEVQUklDRS4xLzQvMjAyNAEAAAA5B1cAAwAAAAAAAhmVEyIT3gj1uAwWIhPeCCJDSVEuUFJURy5JUV9MQVNUU0FMRVBSSUNFLjEvNC8yMDI0BQAAAAAAAAAIAAAAFChJbnZhbGlkIElkZW50aWZpZXIpRUGVEyIT3giG2gsWIhPeCCJDSVEuTVJTTi5JUV9MQVNUU0FMRVBSSUNFLjEvNS8yMDI0AQAAAObFGAACAAAABTU2Ljc1AFJolRMiE94IhtoLFiIT3ggiQ0lRLkxHTkQuSVFfTEFTVFNBTEVQUklDRS4xLzUvMjAyNAEAAABkeAAAAgAAAAU3MC44MwBSaJUTIhPeCOhxCRYiE94IIkNJUS5CSU9SLklRX0xBU1RTQUxFUFJJQ0UuMS84LzIwMjQBAAAADu/+AgMAAAAAAFJolRMiE94I6HEJFiIT3gghQ0lRLkJNWS5JUV9MQVNUU0FMRVBSSUNFLjEvOC8yMDI0AQAAAMZkAAACAAAABTUxLjc5AB+PlRMiE94I6HEJFiIT3ggiQ0lRLk9LWU8uSVFfTEFTVFNBTEVQUklDRS4xLzgvMjAyNAEAAABLz7YCAgAAAAQxLjg5AB+PlRMiE94I6HEJFiIT3ggiQ0lRLklOQ1kuSVFfTEFT</t>
  </si>
  <si>
    <t>VFNBTEVQUklDRS4xLzgvMjAyNAEAAACaFAUAAgAAAAU2NS44MgAfj5UTIhPeCOhxCRYiE94IIkNJUS5GQVRFLklRX0xBU1RTQUxFUFJJQ0UuMS84LzIwMjQBAAAAaDFXAgIAAAAENC4xMgAztpUTIhPeCCL4BhYiE94IIkNJUS5PUklDLklRX0xBU1RTQUxFUFJJQ0UuMS84LzIwMjQBAAAAVEsaEgIAAAAEOC4yNAAztpUTIhPeCCL4BhYiE94IIkNJUS5BVklSLklRX0xBU1RTQUxFUFJJQ0UuMS84LzIwMjQBAAAAWcoRDwIAAAADMy4xADO2lRMiE94IIvgGFiIT3ggiQ0lRLk1EV0QuSVFfTEFTVFNBTEVQUklDRS4xLzkvMjAyNAEAAABB+BcAAgAAAAUxMi40OQCj2ZUTIhPeCCL4BhYiE94II0NJUS5NUlNOLklRX0xBU1RTQUxFUFJJQ0UuMS8xMC8yMDI0AQAAAObFGAACAAAABTgxLjI1AKPZlRMiE94IIvgGFiIT3ggjQ0lRLlZZTkUuSVFfTEFTVFNBTEVQUklDRS4xLzEwLzIwMjQBAAAAKl1jAAIAAAAEMi4yNACj2ZUTIhPeCDKQBBYiE94IIkNJUS5NUksuSVFfTEFTVFNBTEVQUklDRS4xLzEyLzIwMjQBAAAA9mYEAAIAAAAGMTE4LjYzAKPZlRMiE94IMpAEFiIT3ggjQ0lRLkFMTEsuSVFfTEFTVFNBTEVQUklDRS4xLzE2LzIwMjQBAAAAOf5tDQMAAAAAAIYElhMiE94IMpAEFiIT3ggjQ0lRLkNSU1AuSVFfTEFTVFNBTEVQUklDRS4xLzE2LzIwMjQBAAAAyC+mDwIAAAAFNjMuNDMAdRuIEyIT3ggykAQWIhPeCCJD</t>
  </si>
  <si>
    <t>SVEuT05DLklRX0xBU1RTQUxFUFJJQ0UuMS8xNi8yMDI0AQAAAODk3QYCAAAABjE3My4yNQB1G4gTIhPeCDKQBBYiE94II0NJUS5BQ1hQLklRX0xBU1RTQUxFUFJJQ0UuMS8xNy8yMDI0AQAAAM7MQiECAAAABDkwLjQAdRuIEyIT3ggykAQWIhPeCCNDSVEuUkVHTi5JUV9MQVNUU0FMRVBSSUNFLjEvMTcvMjAyNAEAAACzgwAAAgAAAAY5MjkuMTMAdRuIEyIT3ggykAQWIhPeCCNDSVEuQ05TUC5JUV9MQVNUU0FMRVBSSUNFLjEvMTcvMjAyNAEAAABZJCMhAgAAAAwyMTE5NS4wMjExOTUAdRuIEyIT3givJwIWIhPeCCNDSVEuUEJMQS5JUV9MQVNUU0FMRVBSSUNFLjEvMTgvMjAyNAEAAAA29dgKAgAAAAQ2LjY1AHUbiBMiE94IrycCFiIT3ggjQ0lRLkRDUEguSVFfTEFTVFNBTEVQUklDRS4xLzE4LzIwMjQFAAAAAAAAAAgAAAAUKEludmFsaWQgSWRlbnRpZmllcil1G4gTIhPeCK8nAhYiE94II0NJUS5URVZBLklRX0xBU1RTQUxFUFJJQ0UuMS8xOS8yMDI0AQAAAE+zBAACAAAABTExLjE4AHUbiBMiE94IrycCFiIT3ggjQ0lRLlJDVVMuSVFfTEFTVFNBTEVQUklDRS4xLzE5LzIwMjQBAAAANL9lEwIAAAAFMTUuMzQAdRuIEyIT3givJwIWIhPeCCNDSVEuQ0xSQi5JUV9MQVNUU0FMRVBSSUNFLjEvMjIvMjAyNAEAAADz7j0CAgAAAAoxMDkuMjAwMTA5AHUbiBMiE94IrycCFiIT3ggjQ0lRLklPTlMuSVFfTEFTVFNB</t>
  </si>
  <si>
    <t>TEVQUklDRS4xLzIyLzIwMjQBAAAAXHYAAAIAAAAFNTEuMDEAdRuIEyIT3giLuf8VIhPeCCNDSVEuR0lMRC5JUV9MQVNUU0FMRVBSSUNFLjEvMjIvMjAyNAEAAABKcQAAAgAAAAU3OC40MwB1G4gTIhPeCIu5/xUiE94II0NJUS5WTkRBLklRX0xBU1RTQUxFUFJJQ0UuMS8yMy8yMDI0AQAAACOHdgECAAAABDMuNzEAdRuIEyIT3giLuf8VIhPeCCNDSVEuRU5TQy5JUV9MQVNUU0FMRVBSSUNFLjEvMjUvMjAyNAEAAAA/RhYDAgAAAAkyMi40OTk5ODgAdRuIEyIT3giLuf8VIhPeCCNDSVEuRVhFTC5JUV9MQVNUU0FMRVBSSUNFLjEvMjUvMjAyNAEAAACybgAAAgAAAAUyMi4wOQBIDIoTIhPeCIu5/xUiE94II0NJUS5FUElYLklRX0xBU1RTQUxFUFJJQ0UuMS8yNS8yMDI0AQAAAEyxaBADAAAAAABIDIoTIhPeCIu5/xUiE94II0NJUS5DUkJQLklRX0xBU1RTQUxFUFJJQ0UuMS8yNi8yMDI0AQAAACRvJA8CAAAABTI5LjQ5AEgMihMiE94Ii7n/FSIT3ggiQ0lRLk1SSy5JUV9MQVNUU0FMRVBSSUNFLjEvMjkvMjAyNAEAAAD2ZgQAAgAAAAYxMjEuMjgASAyKEyIT3ghma/8VIhPeCCNDSVEuU1JQVC5JUV9MQVNUU0FMRVBSSUNFLjEvMjkvMjAyNAEAAABYiAUAAgAAAAUxMjAuNQBIDIoTIhPeCFEd/xUiE94IIkNJUS5JS1QuSVFfTEFTVFNBTEVQUklDRS4xLzI5LzIwMjQBAAAA/CDKBgIAAAAEMy4yMQBIDIoTIhPeCGOo</t>
  </si>
  <si>
    <t>/hUiE94II0NJUS5LVVJBLklRX0xBU1RTQUxFUFJJQ0UuMS8zMC8yMDI0AQAAALjL2hACAAAABTIwLjg1ACXwUBMiE94I4jL+FSIT3ggjQ0lRLlZSVFguSVFfTEFTVFNBTEVQUklDRS4xLzMwLzIwMjQBAAAAi40AAAIAAAAGNDQ2LjA4ACXwUBMiE94I3OT9FSIT3ggjQ0lRLlJISEJZLklRX0xBU1RTQUxFUFJJQ0UuMi8xLzIwMjQBAAAAJHwKAAMAAAAAAFYXURMiE94I5WH9FSIT3ggiQ0lRLkxRREEuSVFfTEFTVFNBTEVQUklDRS4yLzIvMjAyNAEAAACLUFsBAgAAAAUxMy41OABWF1ETIhPeCAkj/RUiE94IIkNJUS5CUlRYLklRX0xBU1RTQUxFUFJJQ0UuMi80LzIwMjQBAAAAgDR5AwIAAAADMi44AFYXURMiE94IDK78FSIT3ggiQ0lRLlJBTkkuSVFfTEFTVFNBTEVQUklDRS4yLzUvMjAyNAEAAAAbIHMOAgAAAAQzLjY5AFYXURMiE94I9l/8FSIT3ggiQ0lRLkFJTUQuSVFfTEFTVFNBTEVQUklDRS4yLzUvMjAyNAEAAAAnkwUAAgAAAAM1LjQAVhdREyIT3gic6vsVIhPeCCFDSVEuTExZLklRX0xBU1RTQUxFUFJJQ0UuMi82LzIwMjQBAAAAG1sEAAIAAAAGNzA1LjAzAFYXURMiE94Im5z7FSIT3ggiQ0lRLlJBUkUuSVFfTEFTVFNBTEVQUklDRS4yLzYvMjAyNAEAAADxegAHAgAAAAU0NS44OQBWF1ETIhPeCE1O+xUiE94IIkNJUS5SR05YLklRX0xBU1RTQUxFUFJJQ0UuMi83LzIwMjQBAAAAVG/JBwIAAAAFMTQu</t>
  </si>
  <si>
    <t>NTcAkj1REyIT3gi9sPgVIhPeCCFDSVEuR1NLLklRX0xBU1RTQUxFUFJJQ0UuMi83LzIwMjQBAAAA8jMEAAIAAAAGMTYuNzI2AJI9URMiE94IvbD4FSIT3gghQ0lRLkFJTS5JUV9MQVNUU0FMRVBSSUNFLjIvOC8yMDI0AQAAAHOgrigCAAAABTAuMjc1AJI9URMiE94IvbD4FSIT3gghQ0lRLlRBSy5JUV9MQVNUU0FMRVBSSUNFLjIvOS8yMDI0AQAAACxYDQACAAAABTE0LjI0AJI9URMiE94IvbD4FSIT3ggiQ0lRLklST04uSVFfTEFTVFNBTEVQUklDRS4yLzkvMjAyNAEAAABO3zkmAgAAAAU2OC4yOQCSPVETIhPeCL2w+BUiE94II0NJUS5CVEFJLklRX0xBU1RTQUxFUFJJQ0UuMi8xMi8yMDI0AQAAAA0vZiACAAAABDMxLjIAkj1REyIT3gi9sPgVIhPeCCNDSVEuSkFHWC5JUV9MQVNUU0FMRVBSSUNFLjIvMTIvMjAyNAEAAACMucMAAgAAAAoxMzQuMDk5NzMxAO1jURMiE94IXUf2FSIT3ggjQ0lRLktUUkEuSVFfTEFTVFNBTEVQUklDRS4yLzEyLzIwMjQFAAAAAAAAAAgAAAAUKEludmFsaWQgSWRlbnRpZmllcintY1ETIhPeCF1H9hUiE94II0NJUS5LUllTLklRX0xBU1RTQUxFUFJJQ0UuMi8xMy8yMDI0AQAAACgn1R8CAAAABjEwOC43MwDtY1ETIhPeCF1H9hUiE94II0NJUS5SQ0tULklRX0xBU1RTQUxFUFJJQ0UuMi8xMy8yMDI0AQAAAEBWgRkCAAAABTI4Ljk3AO1jURMiE94IXUf2FSIT3ggjQ0lRLlBCWUku</t>
  </si>
  <si>
    <t>SVFfTEFTVFNBTEVQUklDRS4yLzEzLzIwMjQBAAAAAmqsBwIAAAAENi4yMQDtY1ETIhPeCF1H9hUiE94IIkNJUS5UQUsuSVFfTEFTVFNBTEVQUklDRS4yLzEzLzIwMjQBAAAALFgNAAIAAAAFMTQuMzQAQ9UgEyIT3ghdR/YVIhPeCCNDSVEuR0xTSS5JUV9MQVNUU0FMRVBSSUNFLjIvMTQvMjAyNAEAAABGUPAmAgAAAAQxMC4yAEPVIBMiE94I1tfzFSIT3ggjQ0lRLkFUUkEuSVFfTEFTVFNBTEVQUklDRS4yLzE0LzIwMjQBAAAA0i7LDgIAAAAGMTkuMjU1AJX8IBMiE94I1tfzFSIT3ggjQ0lRLkFNUEUuSVFfTEFTVFNBTEVQUklDRS4yLzE0LzIwMjQBAAAA+akLBQIAAAAEMS44MgCV/CATIhPeCNbX8xUiE94II0NJUS5JT05TLklRX0xBU1RTQUxFUFJJQ0UuMi8xNS8yMDI0AQAAAFx2AAACAAAABTQ1LjI4AJX8IBMiE94I1tfzFSIT3ggjQ0lRLkFVUEguSVFfTEFTVFNBTEVQUklDRS4yLzE1LzIwMjQBAAAA7XcNAAIAAAAENi4wMgDIJSETIhPeCNbX8xUiE94II0NJUS5DQVNJLklRX0xBU1RTQUxFUFJJQ0UuMi8xNi8yMDI0AQAAACVqBQACAAAAAzUuOADIJSETIhPeCNbX8xUiE94IIkNJUS5BWk4uSVFfTEFTVFNBTEVQUklDRS4yLzE5LzIwMjQBAAAAhiMFAAIAAAAGMTA0LjE4AMglIRMiE94I1tfzFSIT3ggjQ0lRLklST04uSVFfTEFTVFNBTEVQUklDRS4yLzIwLzIwMjQBAAAATt85JgIAAAAFNjYuNDIAyCUh</t>
  </si>
  <si>
    <t>EyIT3gjLYvMVIhPeCCNDSVEuU1BSWS5JUV9MQVNUU0FMRVBSSUNFLjIvMjAvMjAyNAEAAAAHpuEiAgAAAAQ3LjUyALZKIRMiE94INhTzFSIT3ggjQ0lRLkVOTFYuSVFfTEFTVFNBTEVQUklDRS4yLzIxLzIwMjQBAAAAO+gBBQIAAAAEMy4yMgC2SiETIhPeCFif8hUiE94II0NJUS5UQVJTLklRX0xBU1RTQUxFUFJJQ0UuMi8yMi8yMDI0AQAAADERxCYCAAAABTMxLjU0ALZKIRMiE94I/lDyFSIT3ggjQ0lRLkdNREEuSVFfTEFTVFNBTEVQUklDRS4yLzIyLzIwMjQBAAAAQH0IAAMAAAAAAIh1IRMiE94I19vxFSIT3ggjQ0lRLkNPR1QuSVFfTEFTVFNBTEVQUklDRS4yLzIzLzIwMjQBAAAAadREKAIAAAAENy40NACIdSETIhPeCJON8RUiE94II0NJUS5BTFZPLklRX0xBU1RTQUxFUFJJQ0UuMi8yMy8yMDI0AQAAAD2JUSkCAAAABTE2LjAzAIh1IRMiE94IQjLxFSIT3ggjQ0lRLkFMTEsuSVFfTEFTVFNBTEVQUklDRS4yLzI2LzIwMjQBAAAAOf5tDQMAAAAAAIh1IRMiE94IJuTwFSIT3ggiQ0lRLk9OQy5JUV9MQVNUU0FMRVBSSUNFLjIvMjYvMjAyNAEAAADg5N0GAgAAAAYxNjAuMjYAiHUhEyIT3gglb/AVIhPeCCNDSVEuVEFSUy5JUV9MQVNUU0FMRVBSSUNFLjIvMjcvMjAyNAEAAAAxEcQmAgAAAAUzOS4yMgCIdSETIhPeCJmr7xUiE94II0NJUS5HQU5YLklRX0xBU1RTQUxFUFJJQ0UuMi8yNy8yMDI0AQAAANvQ</t>
  </si>
  <si>
    <t>DCECAAAABDQuNjMAiHUhEyIT3gjYXe8VIhPeCCNDSVEuU0lMTy5JUV9MQVNUU0FMRVBSSUNFLjIvMjgvMjAyNAEAAAAaL7QHAgAAAAQxLjYyAIh1IRMiE94IGQDvFSIT3ggjQ0lRLlZBTkkuSVFfTEFTVFNBTEVQUklDRS4yLzI4LzIwMjQBAAAAUnOMDwIAAAAEMy43NAD7uBUTIhPeCNWK7hUiE94II0NJUS5JTVVYLklRX0xBU1RTQUxFUFJJQ0UuMi8yOS8yMDI0AQAAAGV+BRgCAAAABTEuNDY1APu4FRMiE94I0jzuFSIT3ggjQ0lRLklNTk4uSVFfTEFTVFNBTEVQUklDRS4yLzI5LzIwMjQBAAAALvkDAAIAAAAJMTQuODY5NTU3APu4FRMiE94I5dLtFSIT3ggjQ0lRLlJZVE0uSVFfTEFTVFNBTEVQUklDRS4yLzI5LzIwMjQBAAAAGMltEgIAAAAFNDMuNDIA+7gVEyIT3gikhO0VIhPeCCFDSVEuSk5KLklRX0xBU1RTQUxFUFJJQ0UuMy8xLzIwMjQBAAAAnSECAAIAAAAGMTYyLjEyAPu4FRMiE94I1sHsFSIT3ggiQ0lRLkFLUk8uSVFfTEFTVFNBTEVQUklDRS4zLzQvMjAyNAEAAAA4ShUiAgAAAAUzMS4wNwD7uBUTIhPeCERM7BUiE94IIkNJUS5OUlhQLklRX0xBU1RTQUxFUFJJQ0UuMy80LzIwMjQBAAAAFXoJEwIAAAADNS4yAPu4FRMiE94I1KvrFSIT3gghQ0lRLlBGRS5JUV9MQVNUU0FMRVBSSUNFLjMvNC8yMDI0AQAAAN55AgACAAAABTI1Ljg5APu4FRMiE94IbTbrFSIT3ggiQ0lRLkNBU0kuSVFfTEFTVFNB</t>
  </si>
  <si>
    <t>TEVQUklDRS4zLzUvMjAyNAEAAAAlagUAAgAAAAQ1LjY2APu4FRMiE94IaujqFSIT3ggiQ0lRLkNSVk8uSVFfTEFTVFNBTEVQUklDRS4zLzUvMjAyNAEAAAD1krkQAgAAAAIxMwD7uBUTIhPeCPxu6hUiE94IIkNJUS5OS1RSLklRX0xBU1RTQUxFUFJJQ0UuMy81LzIwMjQBAAAA6XQAAAIAAAAJMTMuMjYxNDkzAPu4FRMiE94Ij/nnFSIT3gghQ0lRLk9QSy5JUV9MQVNUU0FMRVBSSUNFLjMvNS8yMDI0AQAAAI+5/QECAAAABjAuOTM0OQD7uBUTIhPeCI/55xUiE94IIkNJUS5WTkRBLklRX0xBU1RTQUxFUFJJQ0UuMy82LzIwMjQBAAAAI4d2AQIAAAAEMy45MQD7uBUTIhPeCI/55xUiE94IIkNJUS5LVVJBLklRX0xBU1RTQUxFUFJJQ0UuMy82LzIwMjQBAAAAuMvaEAIAAAAEMjIuNwD7uBUTIhPeCI/55xUiE94IIUNJUS5CSEMuSVFfTEFTVFNBTEVQUklDRS4zLzYvMjAyNAEAAACzRgUAAgAAAAQ5LjIzAPu4FRMiE94Ij/nnFSIT3gghQ0lRLk1SSy5JUV9MQVNUU0FMRVBSSUNFLjMvNi8yMDI0AQAAAPZmBAACAAAABjEyMy43NQD7uBUTIhPeCI/55xUiE94IIUNJUS5EWU4uSVFfTEFTVFNBTEVQUklDRS4zLzYvMjAyNAEAAAACBkgkAgAAAAUyNi43OAD6KRgTIhPeCI/55xUiE94IIkNJUS5NQklPLklRX0xBU1RTQUxFUFJJQ0UuMy83LzIwMjQBAAAAMNl3EwIAAAAENjkuNQD6KRgTIhPeCK+R5RUiE94IIkNJUS5B</t>
  </si>
  <si>
    <t>UFZPLklRX0xBU1RTQUxFUFJJQ0UuMy83LzIwMjQBAAAAlO6+EwIAAAALNDg4NC4wMDQ4ODQA+ikYEyIT3givkeUVIhPeCCFDSVEuTlZPLklRX0xBU1RTQUxFUFJJQ0UuMy84LzIwMjQBAAAAfO8EAAIAAAAGMTMzLjA3AAi54xIiE94Ir5HlFSIT3ggiQ0lRLkFSUVQuSVFfTEFTVFNBTEVQUklDRS4zLzkvMjAyNAEAAAAoYbkgAgAAAAUxMS4xNQAIueMSIhPeCK+R5RUiE94II0NJUS5BTUdOLklRX0xBU1RTQUxFUFJJQ0UuMy8xMS8yMDI0AQAAAPBgAAACAAAABjI3NS4zNgAIueMSIhPeCK+R5RUiE94II0NJUS5OUklYLklRX0xBU1RTQUxFUFJJQ0UuMy8xMS8yMDI0AQAAAEwqVQwCAAAABTE0LjEzAAi54xIiE94Ir5HlFSIT3ggjQ0lRLlRWVFguSVFfTEFTVFNBTEVQUklDRS4zLzExLzIwMjQBAAAAQdT1BwIAAAAENy45OQAIueMSIhPeCMoo4xUiE94IIkNJUS5KTkouSVFfTEFTVFNBTEVQUklDRS4zLzExLzIwMjQBAAAAnSECAAIAAAAGMTYxLjIzAAi54xIiE94IyijjFSIT3ggjQ0lRLlZUUlMuSVFfTEFTVFNBTEVQUklDRS4zLzExLzIwMjQBAAAAm20EAAIAAAAFMTEuOTcACLnjEiIT3gjKKOMVIhPeCCNDSVEuUFNUVi5JUV9MQVNUU0FMRVBSSUNFLjMvMTEvMjAyNAEAAAABCAQAAgAAAAQxLjYxAAi54xIiE94IyijjFSIT3ggjQ0lRLkNSTlguSVFfTEFTVFNBTEVQUklDRS4zLzEyLzIwMjQBAAAA/1+5EAIA</t>
  </si>
  <si>
    <t>AAAFNDAuNzUACLnjEiIT3gjKKOMVIhPeCCNDSVEuU0dNTy5JUV9MQVNUU0FMRVBSSUNFLjMvMTMvMjAyNAEAAAACTAYAAgAAAAYwLjc4NTEACLnjEiIT3gjKKOMVIhPeCCNDSVEuUEhJTy5JUV9MQVNUU0FMRVBSSUNFLjMvMTMvMjAyNAEAAAA5BmcIAgAAAAQ5LjE4AAi54xIiE94IBMHgFSIT3ggjQ0lRLkNBTEMuSVFfTEFTVFNBTEVQUklDRS4zLzEzLzIwMjQBAAAABmMKAgIAAAAENC4zNAAIueMSIhPeCATB4BUiE94II0NJUS5PQ0dOLklRX0xBU1RTQUxFUFJJQ0UuMy8xMy8yMDI0AQAAALfAHBICAAAABDEuMDQACLnjEiIT3ggEweAVIhPeCCNDSVEuTURHTC5JUV9MQVNUU0FMRVBSSUNFLjMvMTQvMjAyNAEAAABMm6MIAgAAAAYyNDMuNTcACLnjEiIT3ggEweAVIhPeCCJDSVEuSk5KLklRX0xBU1RTQUxFUFJJQ0UuMy8xNS8yMDI0AQAAAJ0hAgACAAAABjE1OC4xOAAIueMSIhPeCATB4BUiE94IIkNJUS5CTVkuSVFfTEFTVFNBTEVQUklDRS4zLzE1LzIwMjQBAAAAxmQAAAIAAAAFNTIuMzQACLnjEiIT3gjgwN4VIhPeCCNDSVEuQUxHUy5JUV9MQVNUU0FMRVBSSUNFLjMvMTgvMjAyNAEAAAAznqgiAgAAAAIyMwAIueMSIhPeCODA3hUiE94IIkNJUS5QQk0uSVFfTEFTVFNBTEVQUklDRS4zLzE4LzIwMjQBAAAAPEWiKQIAAAAKNzQ3LjE4OTQ2MQAIueMSIhPeCODA3hUiE94IH0NJUS5MQlBILklRX0xBU1RT</t>
  </si>
  <si>
    <t>QUxFUFJJQ0UuNDUzMDAFAAAAAAAAAAgAAAAUKEludmFsaWQgSWRlbnRpZmllcinvD8cTIhPeCFY8DxYiE94IH0NJUS5TUFJPLklRX0xBU1RTQUxFUFJJQ0UuNDUzMDABAAAAs9xWDgIAAAAEMS40NgDvD8cTIhPeCFnJDhYiE94IH0NJUS5URVZBLklRX0xBU1RTQUxFUFJJQ0UuNDUzMDEBAAAAT7MEAAIAAAAFMTEuNDkA7w/HEyIT3gjJeg4WIhPeCB9DSVEuQVRIQS5JUV9MQVNUU0FMRVBSSUNFLjQ1MzAxAQAAABwR2w8CAAAABDI4LjgAAhmVEyIT3gj1uAwWIhPeCB9DSVEuU0xSWC5JUV9MQVNUU0FMRVBSSUNFLjQ1MzAxAQAAANDfqxMCAAAACDc5LjA3OTk2AAIZlRMiE94I9bgMFiIT3ggfQ0lRLkdMWUMuSVFfTEFTVFNBTEVQUklDRS40NTMwMgEAAAA5B1cAAwAAAAAAAhmVEyIT3gj1uAwWIhPeCB9DSVEuUFJURy5JUV9MQVNUU0FMRVBSSUNFLjQ1MzAyBQAAAAAAAAAIAAAAFChJbnZhbGlkIElkZW50aWZpZXIpRUGVEyIT3giG2gsWIhPeCB9DSVEuTVJTTi5JUV9MQVNUU0FMRVBSSUNFLjQ1MzAzAQAAAObFGAACAAAABDc1LjUAUmiVEyIT3gjocQkWIhPeCB9DSVEuTEdORC5JUV9MQVNUU0FMRVBSSUNFLjQ1MzAzAQAAAGR4AAACAAAABDcyLjYAUmiVEyIT3gjocQkWIhPeCB9DSVEuQklPUi5JUV9MQVNUU0FMRVBSSUNFLjQ1MzA2AQAAAA7v/gIDAAAAAABSaJUTIhPeCOhxCRYiE94IHkNJUS5CTVkuSVFf</t>
  </si>
  <si>
    <t>TEFTVFNBTEVQUklDRS40NTMwNgEAAADGZAAAAgAAAAU1MC4zMQAfj5UTIhPeCOhxCRYiE94IH0NJUS5PS1lPLklRX0xBU1RTQUxFUFJJQ0UuNDUzMDYBAAAAS8+2AgIAAAAEMS43MwAfj5UTIhPeCOhxCRYiE94IH0NJUS5JTkNZLklRX0xBU1RTQUxFUFJJQ0UuNDUzMDYBAAAAmhQFAAIAAAAFNjIuNzQAH4+VEyIT3gjocQkWIhPeCB9DSVEuRkFURS5JUV9MQVNUU0FMRVBSSUNFLjQ1MzA2AQAAAGgxVwICAAAABDQuNTUAM7aVEyIT3ggi+AYWIhPeCB9DSVEuT1JJQy5JUV9MQVNUU0FMRVBSSUNFLjQ1MzA2AQAAAFRLGhICAAAAAzguNgAztpUTIhPeCCL4BhYiE94IH0NJUS5BVklSLklRX0xBU1RTQUxFUFJJQ0UuNDUzMDYBAAAAWcoRDwIAAAAEMy41NgAztpUTIhPeCCL4BhYiE94IH0NJUS5NRFdELklRX0xBU1RTQUxFUFJJQ0UuNDUzMDcBAAAAQfgXAAIAAAAFMTIuODcAo9mVEyIT3ggi+AYWIhPeCB9DSVEuTVJTTi5JUV9MQVNUU0FMRVBSSUNFLjQ1MzA4AQAAAObFGAACAAAABTcyLjI1AKPZlRMiE94IIvgGFiIT3ggfQ0lRLlZZTkUuSVFfTEFTVFNBTEVQUklDRS40NTMwOAEAAAAqXWMAAgAAAAQxLjk5AKPZlRMiE94IMpAEFiIT3ggeQ0lRLk1SSy5JUV9MQVNUU0FMRVBSSUNFLjQ1MzEwAQAAAPZmBAACAAAABjExOC44OQCj2ZUTIhPeCDKQBBYiE94IH0NJUS5BTExLLklRX0xBU1RTQUxFUFJJQ0UuNDUz</t>
  </si>
  <si>
    <t>MTQBAAAAOf5tDQMAAAAAAIYElhMiE94IMpAEFiIT3ggfQ0lRLkNSU1AuSVFfTEFTVFNBTEVQUklDRS40NTMxNAEAAADIL6YPAgAAAAU2Ni4xOQB1G4gTIhPeCDKQBBYiE94IHkNJUS5PTkMuSVFfTEFTVFNBTEVQUklDRS40NTMxNAEAAADg5N0GAgAAAAYxNjIuMjcAdRuIEyIT3ggykAQWIhPeCB9DSVEuQUNYUC5JUV9MQVNUU0FMRVBSSUNFLjQ1MzE1AQAAAM7MQiECAAAABDgwLjQAdRuIEyIT3ggykAQWIhPeCB9DSVEuUkVHTi5JUV9MQVNUU0FMRVBSSUNFLjQ1MzE1AQAAALODAAACAAAABjk0OC4yNABIDIoTIhPeCDKQBBYiE94IH0NJUS5DTlNQLklRX0xBU1RTQUxFUFJJQ0UuNDUzMTUBAAAAWSQjIQIAAAAMMTY4NjkuMDE2ODY5AHUbiBMiE94IrycCFiIT3ggfQ0lRLlBCTEEuSVFfTEFTVFNBTEVQUklDRS40NTMxNgEAAAA29dgKAgAAAAQzLjI1AHUbiBMiE94IrycCFiIT3ggfQ0lRLkRDUEguSVFfTEFTVFNBTEVQUklDRS40NTMxNgUAAAAAAAAACAAAABQoSW52YWxpZCBJZGVudGlmaWVyKXUbiBMiE94IrycCFiIT3ggfQ0lRLlJDVVMuSVFfTEFTVFNBTEVQUklDRS40NTMxNwEAAAA0v2UTAgAAAAUxNS4xMwB1G4gTIhPeCK8nAhYiE94IH0NJUS5DTFJCLklRX0xBU1RTQUxFUFJJQ0UuNDUzMjABAAAA8+49AgIAAAAKMTI2LjMwMDEyNgB1G4gTIhPeCK8nAhYiE94IH0NJUS5JT05TLklRX0xBU1RTQUxF</t>
  </si>
  <si>
    <t>UFJJQ0UuNDUzMjABAAAAXHYAAAIAAAAFNTIuMDEAdRuIEyIT3giLuf8VIhPeCB9DSVEuR0lMRC5JUV9MQVNUU0FMRVBSSUNFLjQ1MzIwAQAAAEpxAAACAAAABTc5LjA3AHUbiBMiE94Ii7n/FSIT3ggfQ0lRLlZOREEuSVFfTEFTVFNBTEVQUklDRS40NTMyMQEAAAAjh3YBAgAAAAQzLjY1AHUbiBMiE94Ii7n/FSIT3ggfQ0lRLkVOU0MuSVFfTEFTVFNBTEVQUklDRS40NTMyMwEAAAA/RhYDAgAAAAkyMi4xOTk5ODgAdRuIEyIT3giLuf8VIhPeCB9DSVEuRVhFTC5JUV9MQVNUU0FMRVBSSUNFLjQ1MzIzAQAAALJuAAACAAAABTIxLjc1AEgMihMiE94Ii7n/FSIT3ggfQ0lRLkVQSVguSVFfTEFTVFNBTEVQUklDRS40NTMyMwEAAABMsWgQAwAAAAAASAyKEyIT3giLuf8VIhPeCB9DSVEuQ1JCUC5JUV9MQVNUU0FMRVBSSUNFLjQ1MzI0AQAAACRvJA8CAAAABTI2LjcyAEgMihMiE94Ii7n/FSIT3ggeQ0lRLk1SSy5JUV9MQVNUU0FMRVBSSUNFLjQ1MzI3AQAAAPZmBAACAAAABjEyNi4xOABIDIoTIhPeCGZr/xUiE94IH0NJUS5TUlBULklRX0xBU1RTQUxFUFJJQ0UuNDUzMjcBAAAAWIgFAAIAAAAGMTI1LjU1AEgMihMiE94IMPb+FSIT3ggeQ0lRLklLVC5JUV9MQVNUU0FMRVBSSUNFLjQ1MzI3AQAAAPwgygYCAAAABDIuNTUASAyKEyIT3ghjqP4VIhPeCB9DSVEuS1VSQS5JUV9MQVNUU0FMRVBSSUNFLjQ1MzI4AQAA</t>
  </si>
  <si>
    <t>ALjL2hACAAAABTIwLjk3ACXwUBMiE94I4jL+FSIT3ggfQ0lRLlZSVFguSVFfTEFTVFNBTEVQUklDRS40NTMyOAEAAACLjQAAAgAAAAY0MTYuMTMAJfBQEyIT3gigvf0VIhPeCCBDSVEuUkhIQlkuSVFfTEFTVFNBTEVQUklDRS40NTMzMAEAAAAkfAoAAwAAAAAAVhdREyIT3gjlYf0VIhPeCB9DSVEuTFFEQS5JUV9MQVNUU0FMRVBSSUNFLjQ1MzMxAQAAAItQWwECAAAABTE0LjgxAFYXURMiE94I7/v8FSIT3ggfQ0lRLkJSVFguSVFfTEFTVFNBTEVQUklDRS40NTMzMQEAAACANHkDAgAAAAQxLjM1AFYXURMiE94IDK78FSIT3ggfQ0lRLlJBTkkuSVFfTEFTVFNBTEVQUklDRS40NTMzNAEAAAAbIHMOAgAAAAQzLjU3AFYXURMiE94I9l/8FSIT3ggfQ0lRLkFJTUQuSVFfTEFTVFNBTEVQUklDRS40NTMzNAEAAAAnkwUAAgAAAAY0Ljc0MDUAVhdREyIT3gic6vsVIhPeCB9DSVEuUkFSRS5JUV9MQVNUU0FMRVBSSUNFLjQ1MzM1AQAAAPF6AAcCAAAABTQzLjk4AFYXURMiE94IHhn7FSIT3ggoQ0lRLkFUQUkuSVFfUFJJQ0VfVk9MX0hJU1RfNk1USC4xLzIvMjAyNAEAAADtN1cqAgAAAAc3Ni43NzM4AO8PxxMiE94IkxYPFiIT3ggoQ0lRLkNUWFIuSVFfUFJJQ0VfVk9MX0hJU1RfNk1USC4xLzIvMjAyNAEAAAAblz0QAgAAAAY1OC40MTIA7w/HEyIT3ghZyQ4WIhPeCChDSVEuQUxWTy5JUV9QUklDRV9WT0xfSElTVF82</t>
  </si>
  <si>
    <t>TVRILjEvMy8yMDI0AQAAAD2JUSkCAAAABjQwLjg1NQAxT8cTIhPeCBpEDhYiE94IKENJUS5BUExNLklRX1BSSUNFX1ZPTF9ISVNUXzZNVEguMS8zLzIwMjQBAAAAoyHGFgIAAAAIMTM4LjkzOTQAAhmVEyIT3gj1uAwWIhPeCChDSVEuSU5UUy5JUV9QUklDRV9WT0xfSElTVF82TVRILjEvMy8yMDI0AQAAAP2Ebw0CAAAACDEzOS4wODMzAAIZlRMiE94I9bgMFiIT3ggoQ0lRLkFEQ1QuSVFfUFJJQ0VfVk9MX0hJU1RfNk1USC4xLzQvMjAyNAEAAACao+kKAgAAAAgxMzguMDAzNABFQZUTIhPeCPW4DBYiE94IKENJUS5LTlNBLklRX1BSSUNFX1ZPTF9ISVNUXzZNVEguMS80LzIwMjQBAAAAtaJFIQIAAAAGNTguNjY1AEVBlRMiE94I9bgMFiIT3ggnQ0lRLk1SSy5JUV9QUklDRV9WT0xfSElTVF82TVRILjEvNC8yMDI0AQAAAPZmBAACAAAABzE4LjE4NjMARUGVEyIT3giG2gsWIhPeCChDSVEuVEJQSC5JUV9QUklDRV9WT0xfSElTVF82TVRILjEvNS8yMDI0AQAAABJcXQ4CAAAABzMzLjc1ODkARUGVEyIT3giG2gsWIhPeCChDSVEuRkJJTy5JUV9QUklDRV9WT0xfSElTVF82TVRILjEvNS8yMDI0AQAAAAnyrQMCAAAACDE1My45MzQ5AFJolRMiE94I6HEJFiIT3ggoQ0lRLlBUSFMuSVFfUFJJQ0VfVk9MX0hJU1RfNk1USC4xLzUvMjAyNAEAAABr1n9rAwAAAAAAUmiVEyIT3gjocQkWIhPeCChDSVEuQVJHWC5JUV9Q</t>
  </si>
  <si>
    <t>UklDRV9WT0xfSElTVF82TVRILjEvOC8yMDI0AQAAAL3iswMCAAAABzY2LjAwNDYAUmiVEyIT3gjocQkWIhPeCCdDSVEuQUxULklRX1BSSUNFX1ZPTF9ISVNUXzZNVEguMS84LzIwMjQBAAAA90JKAAIAAAAIMTAwLjc3NTUAUmiVEyIT3gjocQkWIhPeCCdDSVEuR1NLLklRX1BSSUNFX1ZPTF9ISVNUXzZNVEguMS84LzIwMjQBAAAA8jMEAAIAAAAHMTcuMTkxNwAfj5UTIhPeCOhxCRYiE94IJ0NJUS5OVk8uSVFfUFJJQ0VfVk9MX0hJU1RfNk1USC4xLzgvMjAyNAEAAAB87wQAAgAAAAczNS4wNTM4AB+PlRMiE94I6HEJFiIT3ggoQ0lRLklOQ1kuSVFfUFJJQ0VfVk9MX0hJU1RfNk1USC4xLzgvMjAyNAEAAACaFAUAAgAAAAcyNi4yNDY5AB+PlRMiE94I6HEJFiIT3ggoQ0lRLkJQTUMuSVFfUFJJQ0VfVk9MX0hJU1RfNk1USC4xLzgvMjAyNAEAAAD6obwHAwAAAAAAM7aVEyIT3ggi+AYWIhPeCChDSVEuQk1FQS5JUV9QUklDRV9WT0xfSElTVF82TVRILjEvOC8yMDI0AQAAAMeYcSkCAAAABzEwNC41NjcAM7aVEyIT3ggi+AYWIhPeCChDSVEuRUxUWC5JUV9QUklDRV9WT0xfSElTVF82TVRILjEvOS8yMDI0AQAAAECqzwwCAAAACDExNS4yMjIzADO2lRMiE94IIvgGFiIT3ggoQ0lRLkNSQlAuSVFfUFJJQ0VfVk9MX0hJU1RfNk1USC4xLzkvMjAyNAEAAAAkbyQPAgAAAAY5OC4xNjUAo9mVEyIT3ggi+AYWIhPeCClD</t>
  </si>
  <si>
    <t>SVEuRkRNVC5JUV9QUklDRV9WT0xfSElTVF82TVRILjEvMTAvMjAyNAEAAAAl0EMQAgAAAAc1NS4zODU3AKPZlRMiE94IIvgGFiIT3ggpQ0lRLkVZUFQuSVFfUFJJQ0VfVk9MX0hJU1RfNk1USC4xLzEwLzIwMjQBAAAAr2BEAAIAAAAIMTcxLjk1MDQAo9mVEyIT3ggykAQWIhPeCClDSVEuQVJRVC5JUV9QUklDRV9WT0xfSElTVF82TVRILjEvMTUvMjAyNAEAAAAoYbkgAgAAAAc5NS41NDk4AKPZlRMiE94IMpAEFiIT3ggpQ0lRLlZSVFguSVFfUFJJQ0VfVk9MX0hJU1RfNk1USC4xLzE2LzIwMjQBAAAAi40AAAIAAAAHMjYuMjc1NAB1G4gTIhPeCDKQBBYiE94IKUNJUS5MUFRYLklRX1BSSUNFX1ZPTF9ISVNUXzZNVEguMS8xNi8yMDI0AQAAAAw2CQcCAAAACDEwOS4wNTU5AHUbiBMiE94IMpAEFiIT3ggpQ0lRLkVWR04uSVFfUFJJQ0VfVk9MX0hJU1RfNk1USC4xLzE3LzIwMjQBAAAA+r2gKQIAAAAHNDQuMjIyOQB1G4gTIhPeCDKQBBYiE94IKUNJUS5NQUlBLklRX1BSSUNFX1ZPTF9ISVNUXzZNVEguMS8xNy8yMDI0AQAAAHXynyUCAAAACDExNy44MzkxAHUbiBMiE94IMpAEFiIT3ggoQ0lRLlBGRS5JUV9QUklDRV9WT0xfSElTVF82TVRILjEvMTcvMjAyNAEAAADeeQIAAgAAAAYyNS44MDEAdRuIEyIT3givJwIWIhPeCClDSVEuTVRWQS5JUV9QUklDRV9WT0xfSElTVF82TVRILjEvMTgvMjAyNAEAAABzr5gl</t>
  </si>
  <si>
    <t>AgAAAAc4Mi45NTI5AHUbiBMiE94IrycCFiIT3ggpQ0lRLlpMQUIuSVFfUFJJQ0VfVk9MX0hJU1RfNk1USC4xLzE4LzIwMjQBAAAAdwIpEAIAAAAHNTguMDk3NAB1G4gTIhPeCK8nAhYiE94IKENJUS5CTVkuSVFfUFJJQ0VfVk9MX0hJU1RfNk1USC4xLzIwLzIwMjQBAAAAxmQAAAIAAAAHMjEuNjY3OQB1G4gTIhPeCK8nAhYiE94IKUNJUS5UVlJELklRX1BSSUNFX1ZPTF9ISVNUXzZNVEguMS8yMi8yMDI0AQAAALjo/SEDAAAAAAB1G4gTIhPeCK8nAhYiE94IKUNJUS5TRUVMLklRX1BSSUNFX1ZPTF9ISVNUXzZNVEguMS8yMi8yMDI0AQAAAOw0/RcDAAAAAAB1G4gTIhPeCIu5/xUiE94IKUNJUS5DUkJQLklRX1BSSUNFX1ZPTF9ISVNUXzZNVEguMS8yMy8yMDI0AQAAACRvJA8CAAAACDEwMS41MTIzAHUbiBMiE94Ii7n/FSIT3ggpQ0lRLkhSVFguSVFfUFJJQ0VfVk9MX0hJU1RfNk1USC4xLzIzLzIwMjQBAAAALl8AAAIAAAAIMTE3LjY3MzEAdRuIEyIT3giLuf8VIhPeCClDSVEuUEJMQS5JUV9QUklDRV9WT0xfSElTVF82TVRILjEvMjUvMjAyNAEAAAA29dgKAgAAAAgxOTcuMzI2MQBIDIoTIhPeCIu5/xUiE94IKkNJUS5JUFNFWS5JUV9QUklDRV9WT0xfSElTVF82TVRILjEvMjUvMjAyNAEAAABGEAIAAwAAAAAASAyKEyIT3giLuf8VIhPeCClDSVEuUkVHTi5JUV9QUklDRV9WT0xfSElTVF82TVRILjEvMjUv</t>
  </si>
  <si>
    <t>MjAyNAEAAACzgwAAAgAAAAcxOC43MTQ0AEgMihMiE94Ii7n/FSIT3ggoQ0lRLk1SSy5JUV9QUklDRV9WT0xfSElTVF82TVRILjEvMjYvMjAyNAEAAAD2ZgQAAgAAAAcxNi43MDYzAEgMihMiE94Ii7n/FSIT3ggpQ0lRLk5OVkMuSVFfUFJJQ0VfVk9MX0hJU1RfNk1USC4xLzI5LzIwMjQBAAAAj8JYAQIAAAAHNjUuNjgwNQBIDIoTIhPeCF1E/xUiE94IKUNJUS5QQUxJLklRX1BSSUNFX1ZPTF9ISVNUXzZNVEguMS8yOS8yMDI0AQAAABnAkA4CAAAACDIyMC45Nzg0AEgMihMiE94IMPb+FSIT3ggpQ0lRLktSQlAuSVFfUFJJQ0VfVk9MX0hJU1RfNk1USC4xLzI5LzIwMjQBAAAAQLl/JwMAAAAAAEgMihMiE94IRIH+FSIT3ggqQ0lRLktZS09GLklRX1BSSUNFX1ZPTF9ISVNUXzZNVEguMS8zMC8yMDI0AQAAAMt1CgADAAAAAAAl8FATIhPeCOQL/hUiE94IKENJUS5OVlMuSVFfUFJJQ0VfVk9MX0hJU1RfNk1USC4xLzMxLzIwMjQBAAAAqbXoDwIAAAAHNDYuNTY3NwAl8FATIhPeCKC9/RUiE94IKENJUS5FREFQLklRX1BSSUNFX1ZPTF9ISVNUXzZNVEguMi8xLzIwMjQBAAAA9GwAAAIAAAAHNzQuMzE2NwBWF1ETIhPeCOVh/RUiE94IKENJUS5GRE1ULklRX1BSSUNFX1ZPTF9ISVNUXzZNVEguMi8zLzIwMjQBAAAAJdBDEAIAAAAHNTkuMzQ5NgBWF1ETIhPeCO/7/BUiE94IKENJUS5FWVBULklRX1BSSUNFX1ZPTF9I</t>
  </si>
  <si>
    <t>SVNUXzZNVEguMi81LzIwMjQBAAAAr2BEAAIAAAAIMTcxLjg1NTYAVhdREyIT3ggMrvwVIhPeCChDSVEuVEhBUi5JUV9QUklDRV9WT0xfSElTVF82TVRILjIvNS8yMDI0AQAAAM+WkR8CAAAACDIzNC40MDA3AFYXURMiE94Iqjj8FSIT3ggoQ0lRLlZSVFguSVFfUFJJQ0VfVk9MX0hJU1RfNk1USC4yLzUvMjAyNAEAAACLjQAAAgAAAAcyNi4xODM3AFYXURMiE94InOr7FSIT3ggoQ0lRLkdBTlguSVFfUFJJQ0VfVk9MX0hJU1RfNk1USC4yLzYvMjAyNAEAAADb0AwhAgAAAAc3NC42NDI0AFYXURMiE94IVHX7FSIT3ggoQ0lRLklOS1QuSVFfUFJJQ0VfVk9MX0hJU1RfNk1USC4yLzYvMjAyNAEAAADE0RZkAgAAAAc4MC4yNTA3AJI9URMiE94IHhn7FSIT3ggoQ0lRLlZSUFguSVFfUFJJQ0VfVk9MX0hJU1RfNk1USC4yLzcvMjAyNAEAAACS0kchAgAAAAgxMjIuMjAxNQCSPVETIhPeCL2w+BUiE94IKENJUS5TQVZBLklRX1BSSUNFX1ZPTF9ISVNUXzZNVEguMi83LzIwMjQBAAAAL6QBAAIAAAAHODQuMjcxNQCSPVETIhPeCL2w+BUiE94IKENJUS5BTEVDLklRX1BSSUNFX1ZPTF9ISVNUXzZNVEguMi84LzIwMjQBAAAAa0DbDgIAAAAHODIuNzM2MwCSPVETIhPeCL2w+BUiE94IKENJUS5CRFJYLklRX1BSSUNFX1ZPTF9ISVNUXzZNVEguMi84LzIwMjQBAAAAzn+WEAIAAAAIMTY0LjAxNDcAkj1REyIT3gi9sPgVIhPe</t>
  </si>
  <si>
    <t>CChDSVEuQ05UQS5JUV9QUklDRV9WT0xfSElTVF82TVRILjIvOS8yMDI0AQAAAE3n/SkCAAAABzc4LjI1MjEAkj1REyIT3gi9sPgVIhPeCClDSVEuQU5UWC5JUV9QUklDRV9WT0xfSElTVF82TVRILjIvMTIvMjAyNAEAAADbsXMmAgAAAAgyMDcuMzg2OQCSPVETIhPeCL2w+BUiE94IKUNJUS5QWVBELklRX1BSSUNFX1ZPTF9ISVNUXzZNVEguMi8xMi8yMDI0AQAAAH8W7wICAAAACDExMS4wNTI5AJI9URMiE94IXUf2FSIT3ggpQ0lRLlNHTU8uSVFfUFJJQ0VfVk9MX0hJU1RfNk1USC4yLzEyLzIwMjQBAAAAAkwGAAIAAAAIMTIzLjE4MDIA7WNREyIT3ghdR/YVIhPeCClDSVEuRkRNVC5JUV9QUklDRV9WT0xfSElTVF82TVRILjIvMTIvMjAyNAEAAAAl0EMQAgAAAAgxMDcuMDYwNQDtY1ETIhPeCF1H9hUiE94IKUNJUS5LQUxWLklRX1BSSUNFX1ZPTF9ISVNUXzZNVEguMi8xMy8yMDI0AQAAABCOJQgCAAAABzU5LjMxOTYA7WNREyIT3ghdR/YVIhPeCClDSVEuQ0FMQy5JUV9QUklDRV9WT0xfSElTVF82TVRILjIvMTMvMjAyNAEAAAAGYwoCAgAAAAgxMTYuNzE4MQDtY1ETIhPeCF1H9hUiE94IKUNJUS5PQ1VMLklRX1BSSUNFX1ZPTF9ISVNUXzZNVEguMi8xMy8yMDI0AQAAAEIxgAICAAAABzg4LjkwNzQA7WNREyIT3ghdR/YVIhPeCChDSVEuT1BULklRX1BSSUNFX1ZPTF9ISVNUXzZNVEguMi8xNC8yMDI0AQAA</t>
  </si>
  <si>
    <t>ANrfJQACAAAABzg5LjU0MTUAQ9UgEyIT3ghdR/YVIhPeCClDSVEuQVJWTi5JUV9QUklDRV9WT0xfSElTVF82TVRILjIvMTQvMjAyNAEAAACAgnwOAgAAAAc3OC4xMzM2AEPVIBMiE94I1tfzFSIT3ggpQ0lRLkFOVlMuSVFfUFJJQ0VfVk9MX0hJU1RfNk1USC4yLzE0LzIwMjQBAAAAL9EdJQIAAAAIMTE0LjIwMjUAlfwgEyIT3gjW1/MVIhPeCClDSVEuTUVTTy5JUV9QUklDRV9WT0xfSElTVF82TVRILjIvMTQvMjAyNAEAAABGnjYBAgAAAAc2NS43NjU5AJX8IBMiE94I1tfzFSIT3ggpQ0lRLkNSREwuSVFfUFJJQ0VfVk9MX0hJU1RfNk1USC4yLzE1LzIwMjQBAAAAXXN8IQIAAAAHMzguMzQyNgCV/CATIhPeCNbX8xUiE94IKkNJUS5SSEhCWS5JUV9QUklDRV9WT0xfSElTVF82TVRILjIvMTYvMjAyNAEAAAAkfAoAAwAAAAAAyCUhEyIT3gjW1/MVIhPeCClDSVEuUkFQVC5JUV9QUklDRV9WT0xfSElTVF82TVRILjIvMjAvMjAyNAEAAADQIFYQAgAAAAgxOTkuMjMxNADIJSETIhPeCI+w8xUiE94IKENJUS5TTlkuSVFfUFJJQ0VfVk9MX0hJU1RfNk1USC4yLzIwLzIwMjQBAAAAGnwKAAIAAAAHMzQuNjIwNgC2SiETIhPeCEM78xUiE94IKENJUS5KTkouSVFfUFJJQ0VfVk9MX0hJU1RfNk1USC4yLzIwLzIwMjQBAAAAnSECAAIAAAAHMTMuNDEyOAC2SiETIhPeCDvt8hUiE94IH0NJUS5BVEFJLklRX0xBU1RTQUxF</t>
  </si>
  <si>
    <t>UFJJQ0UuNDUyOTIBAAAA7TdXKgIAAAAEMS40MQDvD8cTIhPeCJMWDxYiE94IH0NJUS5DVFhSLklRX0xBU1RTQUxFUFJJQ0UuNDUyOTIBAAAAG5c9EAIAAAAHMTguOTEyNQDvD8cTIhPeCFnJDhYiE94IH0NJUS5BTFZPLklRX0xBU1RTQUxFUFJJQ0UuNDUyOTMBAAAAPYlRKQIAAAAFMTEuMzYAMU/HEyIT3ggaRA4WIhPeCB9DSVEuQVBMTS5JUV9MQVNUU0FMRVBSSUNFLjQ1MjkzAQAAAKMhxhYCAAAABTkxLjkzAAIZlRMiE94I9bgMFiIT3ggfQ0lRLklOVFMuSVFfTEFTVFNBTEVQUklDRS40NTI5MwEAAAD9hG8NAgAAAAQ4LjY3AAIZlRMiE94I9bgMFiIT3ggfQ0lRLkFEQ1QuSVFfTEFTVFNBTEVQUklDRS40NTI5NAEAAACao+kKAgAAAAQxLjY2AEVBlRMiE94I9bgMFiIT3ggfQ0lRLktOU0EuSVFfTEFTVFNBTEVQUklDRS40NTI5NAEAAAC1okUhAgAAAAUxOS45OABFQZUTIhPeCPW4DBYiE94IHkNJUS5NUksuSVFfTEFTVFNBTEVQUklDRS40NTI5NAEAAAD2ZgQAAgAAAAYxMTQuNzcARUGVEyIT3giG2gsWIhPeCB9DSVEuVEJQSC5JUV9MQVNUU0FMRVBSSUNFLjQ1Mjk1AQAAABJcXQ4CAAAABTExLjUyAEVBlRMiE94IhtoLFiIT3ggfQ0lRLkZCSU8uSVFfTEFTVFNBTEVQUklDRS40NTI5NQEAAAAJ8q0DAgAAAAMyLjUAUmiVEyIT3gjocQkWIhPeCB9DSVEuUFRIUy5JUV9MQVNUU0FMRVBSSUNFLjQ1Mjk1AQAA</t>
  </si>
  <si>
    <t>AGvWf2sDAAAAAABSaJUTIhPeCOhxCRYiE94IH0NJUS5BUkdYLklRX0xBU1RTQUxFUFJJQ0UuNDUyOTYBAAAAveKzAwIAAAADMzUzAFJolRMiE94I6HEJFiIT3ggeQ0lRLkFMVC5JUV9MQVNUU0FMRVBSSUNFLjQ1Mjk2AQAAAPdCSgACAAAABTExLjE5AB+PlRMiE94I6HEJFiIT3ggeQ0lRLkdTSy5JUV9MQVNUU0FMRVBSSUNFLjQ1Mjk2AQAAAPIzBAACAAAABjE1LjQxMgAfj5UTIhPeCOhxCRYiE94IIkNJUS5BVEFJLklRX0xBU1RTQUxFUFJJQ0UuMS8yLzIwMjQBAAAA7TdXKgIAAAAEMS42OQDvD8cTIhPeCFY8DxYiE94IIkNJUS5DVFhSLklRX0xBU1RTQUxFUFJJQ0UuMS8yLzIwMjQBAAAAG5c9EAIAAAAHMjAuMjE3NQDvD8cTIhPeCFnJDhYiE94IIkNJUS5BTFZPLklRX0xBU1RTQUxFUFJJQ0UuMS8zLzIwMjQBAAAAPYlRKQIAAAAFMTEuNjgAo++UEyIT3ggaRA4WIhPeCCJDSVEuQVBMTS5JUV9MQVNUU0FMRVBSSUNFLjEvMy8yMDI0AQAAAKMhxhYCAAAABDk1LjUAAhmVEyIT3gj1uAwWIhPeCCJDSVEuSU5UUy5JUV9MQVNUU0FMRVBSSUNFLjEvMy8yMDI0AQAAAP2Ebw0CAAAABDcuOTkAAhmVEyIT3gj1uAwWIhPeCCJDSVEuQURDVC5JUV9MQVNUU0FMRVBSSUNFLjEvNC8yMDI0AQAAAJqj6QoCAAAABDEuODgARUGVEyIT3gj1uAwWIhPeCCJDSVEuS05TQS5JUV9MQVNUU0FMRVBSSUNFLjEvNC8yMDI0AQAA</t>
  </si>
  <si>
    <t>ALWiRSECAAAABjE5LjEyNQBFQZUTIhPeCPW4DBYiE94IIUNJUS5NUksuSVFfTEFTVFNBTEVQUklDRS4xLzQvMjAyNAEAAAD2ZgQAAgAAAAYxMTcuMDEARUGVEyIT3giG2gsWIhPeCCJDSVEuVEJQSC5JUV9MQVNUU0FMRVBSSUNFLjEvNS8yMDI0AQAAABJcXQ4CAAAABTEwLjM3AEVBlRMiE94IhtoLFiIT3ggiQ0lRLkZCSU8uSVFfTEFTVFNBTEVQUklDRS4xLzUvMjAyNAEAAAAJ8q0DAgAAAAQyLjQyAFJolRMiE94I6HEJFiIT3ggiQ0lRLlBUSFMuSVFfTEFTVFNBTEVQUklDRS4xLzUvMjAyNAEAAABr1n9rAwAAAAAAUmiVEyIT3gjocQkWIhPeCCJDSVEuQVJHWC5JUV9MQVNUU0FMRVBSSUNFLjEvOC8yMDI0AQAAAL3iswMCAAAABTM2NS44AFJolRMiE94I6HEJFiIT3gghQ0lRLkFMVC5JUV9MQVNUU0FMRVBSSUNFLjEvOC8yMDI0AQAAAPdCSgACAAAABTExLjM5AB+PlRMiE94I6HEJFiIT3gghQ0lRLkdTSy5JUV9MQVNUU0FMRVBSSUNFLjEvOC8yMDI0AQAAAPIzBAACAAAABTE1LjQ5AB+PlRMiE94I6HEJFiIT3gghQ0lRLk5WTy5JUV9MQVNUU0FMRVBSSUNFLjEvOC8yMDI0AQAAAHzvBAACAAAABTEwNi40AB+PlRMiE94I6HEJFiIT3ggiQ0lRLkJQTUMuSVFfTEFTVFNBTEVQUklDRS4xLzgvMjAyNAEAAAD6obwHAwAAAAAAM7aVEyIT3ggi+AYWIhPeCCJDSVEuQk1FQS5JUV9MQVNUU0FMRVBSSUNFLjEvOC8y</t>
  </si>
  <si>
    <t>MDI0AQAAAMeYcSkCAAAABTE1Ljk0ADO2lRMiE94IIvgGFiIT3ggiQ0lRLkVMVFguSVFfTEFTVFNBTEVQUklDRS4xLzkvMjAyNAEAAABAqs8MAgAAAAQ1LjQ1ADO2lRMiE94IIvgGFiIT3ggiQ0lRLkNSQlAuSVFfTEFTVFNBTEVQUklDRS4xLzkvMjAyNAEAAAAkbyQPAgAAAAQ3LjIyAKPZlRMiE94IIvgGFiIT3ggjQ0lRLkZETVQuSVFfTEFTVFNBTEVQUklDRS4xLzEwLzIwMjQBAAAAJdBDEAIAAAAFMTkuMTQAo9mVEyIT3ggi+AYWIhPeCCNDSVEuRVlQVC5JUV9MQVNUU0FMRVBSSUNFLjEvMTAvMjAyNAEAAACvYEQAAgAAAAUyMC4yMwCj2ZUTIhPeCDKQBBYiE94II0NJUS5BUlFULklRX0xBU1RTQUxFUFJJQ0UuMS8xNS8yMDI0AQAAAChhuSACAAAABDMuNjQAo9mVEyIT3ggykAQWIhPeCCNDSVEuVlJUWC5JUV9MQVNUU0FMRVBSSUNFLjEvMTYvMjAyNAEAAACLjQAAAgAAAAY0MzcuNDkAdRuIEyIT3ggykAQWIhPeCCNDSVEuTFBUWC5JUV9MQVNUU0FMRVBSSUNFLjEvMTYvMjAyNAEAAAAMNgkHAgAAAAQzLjQ3AHUbiBMiE94IMpAEFiIT3ggjQ0lRLkVWR04uSVFfTEFTVFNBTEVQUklDRS4xLzE3LzIwMjQBAAAA+r2gKQIAAAAEMi4zNAB1G4gTIhPeCDKQBBYiE94II0NJUS5NQUlBLklRX0xBU1RTQUxFUFJJQ0UuMS8xNy8yMDI0AQAAAHXynyUCAAAABDEuNDgAdRuIEyIT3ggykAQWIhPeCCJDSVEuUEZFLklR</t>
  </si>
  <si>
    <t>X0xBU1RTQUxFUFJJQ0UuMS8xNy8yMDI0AQAAAN55AgACAAAABTI4LjE1AHUbiBMiE94IrycCFiIT3ggjQ0lRLk1UVkEuSVFfTEFTVFNBTEVQUklDRS4xLzE4LzIwMjQBAAAAc6+YJQIAAAAEMy40MwB1G4gTIhPeCK8nAhYiE94II0NJUS5aTEFCLklRX0xBU1RTQUxFUFJJQ0UuMS8xOC8yMDI0AQAAAHcCKRACAAAABTIzLjU2AHUbiBMiE94IrycCFiIT3ggiQ0lRLkJNWS5JUV9MQVNUU0FMRVBSSUNFLjEvMjAvMjAyNAEAAADGZAAAAgAAAAU1MC4xMQB1G4gTIhPeCK8nAhYiE94II0NJUS5UVlJELklRX0xBU1RTQUxFUFJJQ0UuMS8yMi8yMDI0AQAAALjo/SEDAAAAAAB1G4gTIhPeCK8nAhYiE94II0NJUS5TRUVMLklRX0xBU1RTQUxFUFJJQ0UuMS8yMi8yMDI0AQAAAOw0/RcDAAAAAAB1G4gTIhPeCIu5/xUiE94II0NJUS5DUkJQLklRX0xBU1RTQUxFUFJJQ0UuMS8yMy8yMDI0AQAAACRvJA8CAAAAAzcuMwB1G4gTIhPeCIu5/xUiE94II0NJUS5IUlRYLklRX0xBU1RTQUxFUFJJQ0UuMS8yMy8yMDI0AQAAAC5fAAACAAAAAzIuMgB1G4gTIhPeCIu5/xUiE94II0NJUS5QQkxBLklRX0xBU1RTQUxFUFJJQ0UuMS8yNS8yMDI0AQAAADb12AoCAAAABDMuMjUASAyKEyIT3giLuf8VIhPeCCRDSVEuSVBTRVkuSVFfTEFTVFNBTEVQUklDRS4xLzI1LzIwMjQBAAAARhACAAMAAAAAAEgMihMiE94Ii7n/FSIT3ggjQ0lR</t>
  </si>
  <si>
    <t>LlJFR04uSVFfTEFTVFNBTEVQUklDRS4xLzI1LzIwMjQBAAAAs4MAAAIAAAAGOTQ4Ljg3AEgMihMiE94Ii7n/FSIT3ggiQ0lRLk1SSy5JUV9MQVNUU0FMRVBSSUNFLjEvMjYvMjAyNAEAAAD2ZgQAAgAAAAYxMjAuODIASAyKEyIT3giLuf8VIhPeCCNDSVEuTk5WQy5JUV9MQVNUU0FMRVBSSUNFLjEvMjkvMjAyNAEAAACPwlgBAgAAAAQxLjE3AEgMihMiE94IXUT/FSIT3ggjQ0lRLlBBTEkuSVFfTEFTVFNBTEVQUklDRS4xLzI5LzIwMjQBAAAAGcCQDgIAAAAJMTQuMzk5OTkyAEgMihMiE94IMPb+FSIT3ggjQ0lRLktSQlAuSVFfTEFTVFNBTEVQUklDRS4xLzI5LzIwMjQBAAAAQLl/JwMAAAAAAEgMihMiE94IY6j+FSIT3ggkQ0lRLktZS09GLklRX0xBU1RTQUxFUFJJQ0UuMS8zMC8yMDI0AQAAAMt1CgADAAAAAAAl8FATIhPeCOQL/hUiE94IIkNJUS5OVlMuSVFfTEFTVFNBTEVQUklDRS4xLzMxLzIwMjQBAAAAqbXoDwIAAAAENC43NQAl8FATIhPeCKC9/RUiE94IIkNJUS5FREFQLklRX0xBU1RTQUxFUFJJQ0UuMi8xLzIwMjQBAAAA9GwAAAIAAAAENi4zNABWF1ETIhPeCOVh/RUiE94IIkNJUS5GRE1ULklRX0xBU1RTQUxFUFJJQ0UuMi8zLzIwMjQBAAAAJdBDEAIAAAAFMTcuNDkAVhdREyIT3gjv+/wVIhPeCCJDSVEuRVlQVC5JUV9MQVNUU0FMRVBSSUNFLjIvNS8yMDI0AQAAAK9gRAACAAAABTI3Ljc5AFYX</t>
  </si>
  <si>
    <t>URMiE94IDK78FSIT3ggiQ0lRLlRIQVIuSVFfTEFTVFNBTEVQUklDRS4yLzUvMjAyNAEAAADPlpEfAgAAAAg2LjE1Mjk5NgBWF1ETIhPeCKo4/BUiE94IIkNJUS5WUlRYLklRX0xBU1RTQUxFUFJJQ0UuMi81LzIwMjQBAAAAi40AAAIAAAAGNDI4Ljg5AFYXURMiE94InOr7FSIT3ggiQ0lRLkdBTlguSVFfTEFTVFNBTEVQUklDRS4yLzYvMjAyNAEAAADb0AwhAgAAAAQ0LjQ3AFYXURMiE94IVHX7FSIT3ggiQ0lRLklOS1QuSVFfTEFTVFNBTEVQUklDRS4yLzYvMjAyNAEAAADE0RZkAgAAAAM5LjQAkj1REyIT3ggeGfsVIhPeCCJDSVEuVlJQWC5JUV9MQVNUU0FMRVBSSUNFLjIvNy8yMDI0AQAAAJLSRyECAAAABDk1LjIAkj1REyIT3gi9sPgVIhPeCCJDSVEuU0FWQS5JUV9MQVNUU0FMRVBSSUNFLjIvNy8yMDI0AQAAAC+kAQACAAAABDI1LjQAkj1REyIT3gi9sPgVIhPeCCJDSVEuQUxFQy5JUV9MQVNUU0FMRVBSSUNFLjIvOC8yMDI0AQAAAGtA2w4CAAAABDYuMjUAkj1REyIT3gi9sPgVIhPeCCJDSVEuQkRSWC5JUV9MQVNUU0FMRVBSSUNFLjIvOC8yMDI0AQAAAM5/lhACAAAAAzMyNQCSPVETIhPeCL2w+BUiE94IIkNJUS5DTlRBLklRX0xBU1RTQUxFUFJJQ0UuMi85LzIwMjQBAAAATef9KQIAAAAEOS4yNgCSPVETIhPeCL2w+BUiE94II0NJUS5BTlRYLklRX0xBU1RTQUxFUFJJQ0UuMi8xMi8yMDI0AQAAANux</t>
  </si>
  <si>
    <t>cyYCAAAAAzUuMQCSPVETIhPeCL2w+BUiE94II0NJUS5QWVBELklRX0xBU1RTQUxFUFJJQ0UuMi8xMi8yMDI0AQAAAH8W7wICAAAABDYuODQA7WNREyIT3ghdR/YVIhPeCCNDSVEuU0dNTy5JUV9MQVNUU0FMRVBSSUNFLjIvMTIvMjAyNAEAAAACTAYAAgAAAAUwLjgwNQDtY1ETIhPeCF1H9hUiE94II0NJUS5GRE1ULklRX0xBU1RTQUxFUFJJQ0UuMi8xMi8yMDI0AQAAACXQQxACAAAABTI3Ljg1AO1jURMiE94IXUf2FSIT3ggjQ0lRLktBTFYuSVFfTEFTVFNBTEVQUklDRS4yLzEzLzIwMjQBAAAAEI4lCAIAAAAFMTQuODUA7WNREyIT3ghdR/YVIhPeCCNDSVEuQ0FMQy5JUV9MQVNUU0FMRVBSSUNFLjIvMTMvMjAyNAEAAAAGYwoCAgAAAAQ1LjIzAO1jURMiE94IXUf2FSIT3ggjQ0lRLk9DVUwuSVFfTEFTVFNBTEVQUklDRS4yLzEzLzIwMjQBAAAAQjGAAgIAAAAENS42MgDtY1ETIhPeCF1H9hUiE94IIkNJUS5PUFQuSVFfTEFTVFNBTEVQUklDRS4yLzE0LzIwMjQBAAAA2t8lAAIAAAAEMC41NwBD1SATIhPeCF1H9hUiE94II0NJUS5BUlZOLklRX0xBU1RTQUxFUFJJQ0UuMi8xNC8yMDI0AQAAAICCfA4CAAAABTQ5LjM3AEPVIBMiE94I1tfzFSIT3ggjQ0lRLkFOVlMuSVFfTEFTVFNBTEVQUklDRS4yLzE0LzIwMjQBAAAAL9EdJQIAAAAFMTAuMzcAlfwgEyIT3gjW1/MVIhPeCCNDSVEuTUVTTy5JUV9MQVNUU0FM</t>
  </si>
  <si>
    <t>RVBSSUNFLjIvMTQvMjAyNAEAAABGnjYBAgAAAAQxLjkzAJX8IBMiE94I1tfzFSIT3ggjQ0lRLkNSREwuSVFfTEFTVFNBTEVQUklDRS4yLzE1LzIwMjQBAAAAXXN8IQIAAAAFMC4wNDUAlfwgEyIT3gjW1/MVIhPeCCRDSVEuUkhIQlkuSVFfTEFTVFNBTEVQUklDRS4yLzE2LzIwMjQBAAAAJHwKAAMAAAAAAMglIRMiE94I1tfzFSIT3ggiQ0lRLlNOWS5JUV9MQVNUU0FMRVBSSUNFLjIvMjAvMjAyNAEAAAAafAoAAgAAAAU0Ni44NQC2SiETIhPeCMti8xUiE94IIkNJUS5KTkouSVFfTEFTVFNBTEVQUklDRS4yLzIwLzIwMjQBAAAAnSECAAIAAAAGMTU3Ljg2ALZKIRMiE94IO+3yFSIT3ggjQ0lRLk5SU04uSVFfTEFTVFNBTEVQUklDRS4yLzIxLzIwMjQBAAAAamXlIAIAAAAEMS4yNQC2SiETIhPeCFif8hUiE94II0NJUS5BVFhJLklRX0xBU1RTQUxFUFJJQ0UuMi8yMi8yMDI0AQAAANKqhhICAAAACTEwLjY2NTAyNgC2SiETIhPeCMop8hUiE94II0NJUS5WVFlYLklRX0xBU1RTQUxFUFJJQ0UuMi8yMi8yMDI0AQAAAAQUFigCAAAABDUuNzcAiHUhEyIT3gjX2/EVIhPeCCNDSVEuQ01ORC5JUV9MQVNUU0FMRVBSSUNFLjIvMjMvMjAyNAEAAAA/9o8gAgAAAAQxLjg4AIh1IRMiE94InVnxFSIT3ggjQ0lRLkNMRFguSVFfTEFTVFNBTEVQUklDRS4yLzI0LzIwMjQBAAAAVcySAAIAAAAFMzcuNzUAiHUhEyIT3gh7C/EV</t>
  </si>
  <si>
    <t>IhPeCCNDSVEuS1JZUy5JUV9MQVNUU0FMRVBSSUNFLjIvMjYvMjAyNAEAAAAoJ9UfAgAAAAMxNTcAiHUhEyIT3ggOvfAVIhPeCCNDSVEuVENSWC5JUV9MQVNUU0FMRVBSSUNFLjIvMjYvMjAyNAEAAACqwMAiAgAAAAQ2Ljc5AIh1IRMiE94IJW/wFSIT3ggjQ0lRLkdJTEQuSVFfTEFTVFNBTEVQUklDRS4yLzI2LzIwMjQBAAAASnEAAAIAAAAFNzIuOTUAiHUhEyIT3ghB+u8VIhPeCCNDSVEuQUNYUC5JUV9MQVNUU0FMRVBSSUNFLjIvMjcvMjAyNAEAAADOzEIhAgAAAAQ2Mi42AIh1IRMiE94ImavvFSIT3ggiQ0lRLlBUTi5JUV9MQVNUU0FMRVBSSUNFLjIvMjgvMjAyNAEAAAAIL9wMAgAAAAQwLjA2AIh1IRMiE94IbCfvFSIT3ggiQ0lRLkhDTS5JUV9MQVNUU0FMRVBSSUNFLjIvMjgvMjAyNAEAAAC7r5YBAgAAAAQyLjQ0AIh1IRMiE94IAtnuFSIT3ggjQ0lRLkFWSVIuSVFfTEFTVFNBTEVQUklDRS4yLzI4LzIwMjQBAAAAWcoRDwIAAAAENC4zNwD7uBUTIhPeCNWK7hUiE94IIkNJUS5DVUUuSVFfTEFTVFNBTEVQUklDRS4yLzI5LzIwMjQBAAAApmboGAIAAAAFMi4wNzUA+7gVEyIT3gjl0u0VIhPeCCNDSVEuQVRSQS5JUV9MQVNUU0FMRVBSSUNFLjIvMjkvMjAyNAEAAADSLssOAgAAAAUxOS40NQD7uBUTIhPeCAFe7RUiE94IIkNJUS5LUkJQLklRX0xBU1RTQUxFUFJJQ0UuMy8xLzIwMjQBAAAAQLl/JwMAAAAA</t>
  </si>
  <si>
    <t>APu4FRMiE94ItA/tFSIT3ggiQ0lRLldIV0suSVFfTEFTVFNBTEVQUklDRS4zLzEvMjAyNAEAAABft6QZAgAAAAQxLjkyAPu4FRMiE94IiJrsFSIT3ggiQ0lRLkNMUkIuSVFfTEFTVFNBTEVQUklDRS4zLzQvMjAyNAEAAADz7j0CAgAAAAoxMjcuMjAwMTI3APu4FRMiE94IREzsFSIT3ggiQ0lRLlZUVlQuSVFfTEFTVFNBTEVQUklDRS4zLzQvMjAyNAEAAAAdox8SAgAAAAUxNC4wMQD7uBUTIhPeCDbX6xUiE94IIkNJUS5QQ1ZYLklRX0xBU1RTQUxFUFJJQ0UuMy80LzIwMjQBAAAA+hNUEgIAAAAFNzEuNTUA+7gVEyIT3ghfhOsVIhPeCCJDSVEuQVBHRS5JUV9MQVNUU0FMRVBSSUNFLjMvNS8yMDI0AQAAAJX7RmwCAAAABDU5LjMA+7gVEyIT3ghtNusVIhPeCCJDSVEuTU5QUi5JUV9MQVNUU0FMRVBSSUNFLjMvNS8yMDI0AQAAAEumJBICAAAAAzUuMwD7uBUTIhPeCEfB6hUiE94IH0NJUS5BVEFJLklRX0xBU1RTQUxFUFJJQ0UuNDUzMDABAAAA7TdXKgIAAAAEMi4xOQDvD8cTIhPeCJMWDxYiE94IH0NJUS5DVFhSLklRX0xBU1RTQUxFUFJJQ0UuNDUzMDABAAAAG5c9EAIAAAAHMTguNjYyNQDvD8cTIhPeCFnJDhYiE94IH0NJUS5BTFZPLklRX0xBU1RTQUxFUFJJQ0UuNDUzMDEBAAAAPYlRKQIAAAAFMTIuMjEAo++UEyIT3ggaRA4WIhPeCB9DSVEuQVBMTS5JUV9MQVNUU0FMRVBSSUNFLjQ1MzAxAQAAAKMhxhYC</t>
  </si>
  <si>
    <t>AAAABzk0LjczOTkAAhmVEyIT3gj1uAwWIhPeCB9DSVEuSU5UUy5JUV9MQVNUU0FMRVBSSUNFLjQ1MzAxAQAAAP2Ebw0CAAAAATYAAhmVEyIT3gj1uAwWIhPeCB9DSVEuS05TQS5JUV9MQVNUU0FMRVBSSUNFLjQ1MzAyAQAAALWiRSECAAAABTE5LjI4AEVBlRMiE94I9bgMFiIT3ggfQ0lRLlRCUEguSVFfTEFTVFNBTEVQUklDRS40NTMwMwEAAAASXF0OAgAAAAQ5LjgzAEVBlRMiE94IhtoLFiIT3ggfQ0lRLkZCSU8uSVFfTEFTVFNBTEVQUklDRS40NTMwMwEAAAAJ8q0DAgAAAAQxLjkyAFJolRMiE94I6HEJFiIT3ggfQ0lRLlBUSFMuSVFfTEFTVFNBTEVQUklDRS40NTMwMwEAAABr1n9rAwAAAAAAUmiVEyIT3gjocQkWIhPeCB9DSVEuQVJHWC5JUV9MQVNUU0FMRVBSSUNFLjQ1MzA2AQAAAL3iswMCAAAAAzM0OABSaJUTIhPeCOhxCRYiE94IHkNJUS5BTFQuSVFfTEFTVFNBTEVQUklDRS40NTMwNgEAAAD3QkoAAgAAAAIxMgAfj5UTIhPeCOhxCRYiE94IHkNJUS5HU0suSVFfTEFTVFNBTEVQUklDRS40NTMwNgEAAADyMwQAAgAAAAQxNS44AB+PlRMiE94I6HEJFiIT3ggeQ0lRLk5WTy5JUV9MQVNUU0FMRVBSSUNFLjQ1MzA2AQAAAHzvBAACAAAABjEwNy4xNgAfj5UTIhPeCOhxCRYiE94IH0NJUS5CTUVBLklRX0xBU1RTQUxFUFJJQ0UuNDUzMDYBAAAAx5hxKQIAAAAFMTUuMjEAM7aVEyIT3ggi+AYWIhPeCB9D</t>
  </si>
  <si>
    <t>SVEuRUxUWC5JUV9MQVNUU0FMRVBSSUNFLjQ1MzA3AQAAAECqzwwCAAAABDUuMjgAM7aVEyIT3ggi+AYWIhPeCB9DSVEuQ1JCUC5JUV9MQVNUU0FMRVBSSUNFLjQ1MzA3AQAAACRvJA8CAAAABDYuMDkAo9mVEyIT3ggi+AYWIhPeCB9DSVEuRkRNVC5JUV9MQVNUU0FMRVBSSUNFLjQ1MzA4AQAAACXQQxACAAAABTE3Ljc1AKPZlRMiE94IIvgGFiIT3ggfQ0lRLkVZUFQuSVFfTEFTVFNBTEVQUklDRS40NTMwOAEAAACvYEQAAgAAAAUyMS44NwCj2ZUTIhPeCDKQBBYiE94IH0NJUS5BUlFULklRX0xBU1RTQUxFUFJJQ0UuNDUzMTMBAAAAKGG5IAIAAAAEMy41NACj2ZUTIhPeCDKQBBYiE94IH0NJUS5WUlRYLklRX0xBU1RTQUxFUFJJQ0UuNDUzMTQBAAAAi40AAAIAAAAFNDM5LjcAdRuIEyIT3ggykAQWIhPeCB9DSVEuTFBUWC5JUV9MQVNUU0FMRVBSSUNFLjQ1MzE0AQAAAAw2CQcCAAAABDIuODUAdRuIEyIT3ggykAQWIhPeCB9DSVEuRVZHTi5JUV9MQVNUU0FMRVBSSUNFLjQ1MzE1AQAAAPq9oCkCAAAAAzIuMwB1G4gTIhPeCDKQBBYiE94IH0NJUS5NQUlBLklRX0xBU1RTQUxFUFJJQ0UuNDUzMTUBAAAAdfKfJQIAAAAEMS40MQB1G4gTIhPeCDKQBBYiE94IHkNJUS5QRkUuSVFfTEFTVFNBTEVQUklDRS40NTMxNQEAAADeeQIAAgAAAAUyOC4zMwB1G4gTIhPeCK8nAhYiE94IH0NJUS5NVFZBLklRX0xBU1RTQUxF</t>
  </si>
  <si>
    <t>UFJJQ0UuNDUzMTYBAAAAc6+YJQIAAAAGMy4xMTk5AHUbiBMiE94IrycCFiIT3ggfQ0lRLlpMQUIuSVFfTEFTVFNBTEVQUklDRS40NTMxNgEAAAB3AikQAgAAAAUyMy4wMwB1G4gTIhPeCK8nAhYiE94IH0NJUS5UVlJELklRX0xBU1RTQUxFUFJJQ0UuNDUzMjABAAAAuOj9IQMAAAAAAHUbiBMiE94IrycCFiIT3ggfQ0lRLlNFRUwuSVFfTEFTVFNBTEVQUklDRS40NTMyMAEAAADsNP0XAwAAAAAAdRuIEyIT3giLuf8VIhPeCB9DSVEuQ1JCUC5JUV9MQVNUU0FMRVBSSUNFLjQ1MzIxAQAAACRvJA8CAAAABTI1LjE2AHUbiBMiE94Ii7n/FSIT3ggfQ0lRLkhSVFguSVFfTEFTVFNBTEVQUklDRS40NTMyMQEAAAAuXwAAAgAAAAQyLjQ5AHUbiBMiE94Ii7n/FSIT3ggfQ0lRLlBCTEEuSVFfTEFTVFNBTEVQUklDRS40NTMyMwEAAAA29dgKAgAAAAQxLjI2AEgMihMiE94Ii7n/FSIT3gggQ0lRLklQU0VZLklRX0xBU1RTQUxFUFJJQ0UuNDUzMjMBAAAARhACAAMAAAAAAEgMihMiE94Ii7n/FSIT3ggfQ0lRLlJFR04uSVFfTEFTVFNBTEVQUklDRS40NTMyMwEAAACzgwAAAgAAAAY5NTcuNzgASAyKEyIT3giLuf8VIhPeCB5DSVEuTVJLLklRX0xBU1RTQUxFUFJJQ0UuNDUzMjQBAAAA9mYEAAIAAAAGMTI2LjQxAEgMihMiE94Ii7n/FSIT3ggfQ0lRLk5OVkMuSVFfTEFTVFNBTEVQUklDRS40NTMyNwEAAACPwlgBAgAAAAQx</t>
  </si>
  <si>
    <t>LjEyAEgMihMiE94IXUT/FSIT3ggfQ0lRLlBBTEkuSVFfTEFTVFNBTEVQUklDRS40NTMyNwEAAAAZwJAOAgAAAAg3LjY0OTk5NgBIDIoTIhPeCDD2/hUiE94IH0NJUS5LUkJQLklRX0xBU1RTQUxFUFJJQ0UuNDUzMjcBAAAAQLl/JwMAAAAAAEgMihMiE94IRIH+FSIT3gggQ0lRLktZS09GLklRX0xBU1RTQUxFUFJJQ0UuNDUzMjgBAAAAy3UKAAMAAAAAACXwUBMiE94I5Av+FSIT3ggeQ0lRLk5WUy5JUV9MQVNUU0FMRVBSSUNFLjQ1MzI5AQAAAKm16A8CAAAABDQuOTQAJfBQEyIT3gigvf0VIhPeCB9DSVEuRURBUC5JUV9MQVNUU0FMRVBSSUNFLjQ1MzMwAQAAAPRsAAACAAAAAzYuNABWF1ETIhPeCOVh/RUiE94IH0NJUS5FWVBULklRX0xBU1RTQUxFUFJJQ0UuNDUzMzQBAAAAr2BEAAIAAAAFMjkuNzEAVhdREyIT3gjPhvwVIhPeCB9DSVEuVEhBUi5JUV9MQVNUU0FMRVBSSUNFLjQ1MzM0AQAAAM+WkR8CAAAACDUuNzc0OTk3AFYXURMiE94Iqjj8FSIT3ggfQ0lRLlZSVFguSVFfTEFTVFNBTEVQUklDRS40NTMzNAEAAACLjQAAAgAAAAY0MTguNTMAVhdREyIT3gic6vsVIhPeCB9DSVEuR0FOWC5JUV9MQVNUU0FMRVBSSUNFLjQ1MzM1AQAAANvQDCECAAAABDQuNTEAVhdREyIT3ghUdfsVIhPeCB9DSVEuVlJQWC5JUV9MQVNUU0FMRVBSSUNFLjQ1MzM2AQAAAJLSRyECAAAABDk2LjUAkj1REyIT3gi9sPgVIhPe</t>
  </si>
  <si>
    <t>CB9DSVEuU0FWQS5JUV9MQVNUU0FMRVBSSUNFLjQ1MzM2AQAAAC+kAQACAAAABDI0LjEAkj1REyIT3gi9sPgVIhPeCB9DSVEuQUxFQy5JUV9MQVNUU0FMRVBSSUNFLjQ1MzM3AQAAAGtA2w4CAAAABDYuNDkAkj1REyIT3gi9sPgVIhPeCB9DSVEuQkRSWC5JUV9MQVNUU0FMRVBSSUNFLjQ1MzM3AQAAAM5/lhACAAAABTM5Ny41AJI9URMiE94IvbD4FSIT3ggfQ0lRLkNOVEEuSVFfTEFTVFNBTEVQUklDRS40NTMzOAEAAABN5/0pAgAAAAUxMS43NQCSPVETIhPeCL2w+BUiE94IH0NJUS5BTlRYLklRX0xBU1RTQUxFUFJJQ0UuNDUzNDEBAAAA27FzJgIAAAAEMy42NACSPVETIhPeCL2w+BUiE94IH0NJUS5QWVBELklRX0xBU1RTQUxFUFJJQ0UuNDUzNDEBAAAAfxbvAgIAAAADNi40AO1jURMiE94IXUf2FSIT3ggfQ0lRLlNHTU8uSVFfTEFTVFNBTEVQUklDRS40NTM0MQEAAAACTAYAAgAAAAQxLjM4AO1jURMiE94IXUf2FSIT3ggfQ0lRLkZETVQuSVFfTEFTVFNBTEVQUklDRS40NTM0MQEAAAAl0EMQAgAAAAUyNy4yNgDtY1ETIhPeCF1H9hUiE94IH0NJUS5LQUxWLklRX0xBU1RTQUxFUFJJQ0UuNDUzNDIBAAAAEI4lCAIAAAAEMTMuOADtY1ETIhPeCF1H9hUiE94IH0NJUS5DQUxDLklRX0xBU1RTQUxFUFJJQ0UuNDUzNDIBAAAABmMKAgIAAAAENC4zNgDtY1ETIhPeCF1H9hUiE94IH0NJUS5PQ1VMLklRX0xBU1RT</t>
  </si>
  <si>
    <t>QUxFUFJJQ0UuNDUzNDIBAAAAQjGAAgIAAAAENy41MgDtY1ETIhPeCF1H9hUiE94IKENJUS5BVlhMLklRX1BSSUNFX1ZPTF9ISVNUXzZNVEguMS8yLzIwMjQBAAAAYzjPAAIAAAAHODguNjQ4MQDvD8cTIhPeCJMWDxYiE94IJ0NJUS5OVlMuSVFfUFJJQ0VfVk9MX0hJU1RfNk1USC4xLzIvMjAyNAEAAACptegPAgAAAAc0Ny43NzI1AO8PxxMiE94I16EOFiIT3ggoQ0lRLkdMWUMuSVFfUFJJQ0VfVk9MX0hJU1RfNk1USC4xLzMvMjAyNAEAAAA5B1cAAwAAAAAAAhmVEyIT3gj1uAwWIhPeCChDSVEuRU5WQi5JUV9QUklDRV9WT0xfSElTVF82TVRILjEvMy8yMDI0AQAAAAD7yyYCAAAABzg4LjA1NjgAAhmVEyIT3gj1uAwWIhPeCChDSVEuUllUTS5JUV9QUklDRV9WT0xfSElTVF82TVRILjEvNC8yMDI0AQAAABjJbRICAAAABzYzLjU1MDcARUGVEyIT3gj1uAwWIhPeCChDSVEuSU1NUC5JUV9QUklDRV9WT0xfSElTVF82TVRILjEvNC8yMDI0AQAAABVCZgACAAAABjQ3LjAxMgBFQZUTIhPeCIbaCxYiE94IKENJUS5DVkFDLklRX1BSSUNFX1ZPTF9ISVNUXzZNVEguMS81LzIwMjQBAAAAfis9AQIAAAAHNjYuODk2NABFQZUTIhPeCIbaCxYiE94IKENJUS5ERVJNLklRX1BSSUNFX1ZPTF9ISVNUXzZNVEguMS81LzIwMjQBAAAAdY+5EAIAAAAIMTA3LjY1ODIAUmiVEyIT3gjocQkWIhPeCChDSVEuQUJTSS5JUV9QUklD</t>
  </si>
  <si>
    <t>RV9WT0xfSElTVF82TVRILjEvOC8yMDI0AQAAAN4M2w8CAAAABzk5LjY5NTUAUmiVEyIT3gjocQkWIhPeCChDSVEuQ0xSQi5JUV9QUklDRV9WT0xfSElTVF82TVRILjEvOC8yMDI0AQAAAPPuPQICAAAABzgzLjcxMzQAH4+VEyIT3gjocQkWIhPeCChDSVEuQ0xOTi5JUV9QUklDRV9WT0xfSElTVF82TVRILjEvOC8yMDI0AQAAAGRJOxQCAAAACDEwNS4wNTcyAB+PlRMiE94I6HEJFiIT3ggoQ0lRLk1OTUQuSVFfUFJJQ0VfVk9MX0hJU1RfNk1USC4xLzgvMjAyNAEAAACi/JwlAgAAAAc3NS44NTk5AB+PlRMiE94I6HEJFiIT3ggnQ0lRLk5WUy5JUV9QUklDRV9WT0xfSElTVF82TVRILjEvOC8yMDI0AQAAAKm16A8CAAAABzQ4LjAxOTIAH4+VEyIT3ggi+AYWIhPeCChDSVEuTlVWQi5JUV9QUklDRV9WT0xfSElTVF82TVRILjEvOC8yMDI0AQAAAD/tFiYCAAAABzYzLjUxMjgAM7aVEyIT3ggi+AYWIhPeCClDSVEuQUxQTVkuSVFfUFJJQ0VfVk9MX0hJU1RfNk1USC4xLzkvMjAyNAEAAACRWA0AAwAAAAAAM7aVEyIT3ggi+AYWIhPeCClDSVEuQ01ORC5JUV9QUklDRV9WT0xfSElTVF82TVRILjEvMTAvMjAyNAEAAAA/9o8gAgAAAAgxNjguMTM5OQCj2ZUTIhPeCCL4BhYiE94IKUNJUS5CUFRILklRX1BSSUNFX1ZPTF9ISVNUXzZNVEguMS8xMC8yMDI0AQAAALJlPAICAAAACDE2Ny43MjU2AKPZlRMiE94IMpAEFiIT</t>
  </si>
  <si>
    <t>3ggpQ0lRLkFOSVAuSVFfUFJJQ0VfVk9MX0hJU1RfNk1USC4xLzE2LzIwMjQBAAAA+FMXAAIAAAAHMzcuODc5MwCGBJYTIhPeCDKQBBYiE94IKUNJUS5IQUxPLklRX1BSSUNFX1ZPTF9ISVNUXzZNVEguMS8xNi8yMDI0AQAAAEYFeQACAAAABzM5LjA0NjIAdRuIEyIT3ggykAQWIhPeCClDSVEuU1JQVC5JUV9QUklDRV9WT0xfSElTVF82TVRILjEvMTYvMjAyNAEAAABYiAUAAgAAAAc3OS42NDgzAHUbiBMiE94IMpAEFiIT3ggpQ0lRLlJDVVMuSVFfUFJJQ0VfVk9MX0hJU1RfNk1USC4xLzE2LzIwMjQBAAAANL9lEwIAAAAGNjIuMTA0AHUbiBMiE94IMpAEFiIT3ggoQ0lRLkJNWS5JUV9QUklDRV9WT0xfSElTVF82TVRILjEvMTcvMjAyNAEAAADGZAAAAgAAAAcyMS42NzExAHUbiBMiE94IMpAEFiIT3ggpQ0lRLkxTVEEuSVFfUFJJQ0VfVk9MX0hJU1RfNk1USC4xLzE3LzIwMjQBAAAAYCkFAAIAAAAHNjcuOTk4NQB1G4gTIhPeCK8nAhYiE94IKUNJUS5DUkRGLklRX1BSSUNFX1ZPTF9ISVNUXzZNVEguMS8xNy8yMDI0AQAAALw6pwACAAAABzkxLjc5NDYAdRuIEyIT3givJwIWIhPeCClDSVEuQ0xEWC5JUV9QUklDRV9WT0xfSElTVF82TVRILjEvMTgvMjAyNAEAAABVzJIAAgAAAAc0OS42OTUyAHUbiBMiE94IrycCFiIT3ggoQ0lRLk5WUy5JUV9QUklDRV9WT0xfSElTVF82TVRILjEvMTkvMjAyNAEAAACptegP</t>
  </si>
  <si>
    <t>AgAAAAc0Ny4yMDMzAHUbiBMiE94IrycCFiIT3ggoQ0lRLkFaTi5JUV9QUklDRV9WT0xfSElTVF82TVRILjEvMjIvMjAyNAEAAACGIwUAAgAAAAcyMS44NTYxAHUbiBMiE94IrycCFiIT3ggpQ0lRLlNHTVQuSVFfUFJJQ0VfVk9MX0hJU1RfNk1USC4xLzIyLzIwMjQBAAAABBEPAgIAAAAIMTkwLjg5ODgAdRuIEyIT3givJwIWIhPeCClDSVEuU1BSQi5JUV9QUklDRV9WT0xfSElTVF82TVRILjEvMjIvMjAyNAEAAADxEuYYAgAAAAY3Ni45NDMAdRuIEyIT3giLuf8VIhPeCClDSVEuQVJUTC5JUV9QUklDRV9WT0xfSElTVF82TVRILjEvMjMvMjAyNAEAAADPv1YQAgAAAAc3Ny4zMDAzAHUbiBMiE94Ii7n/FSIT3ggpQ0lRLlVSR04uSVFfUFJJQ0VfVk9MX0hJU1RfNk1USC4xLzI0LzIwMjQBAAAA1dJYDgIAAAAIMTE1LjMyNjcAdRuIEyIT3giLuf8VIhPeCClDSVEuVkVSQS5JUV9QUklDRV9WT0xfSElTVF82TVRILjEvMjUvMjAyNAEAAACdxbooAgAAAAc4OC43MTYxAEgMihMiE94Ii7n/FSIT3ggpQ0lRLlNSUksuSVFfUFJJQ0VfVk9MX0hJU1RfNk1USC4xLzI1LzIwMjQBAAAAkC22IAIAAAAHODMuNTAzMQBIDIoTIhPeCIu5/xUiE94IKENJUS5TTlkuSVFfUFJJQ0VfVk9MX0hJU1RfNk1USC4xLzI1LzIwMjQBAAAAGnwKAAIAAAAHMzQuNDkyNQBIDIoTIhPeCIu5/xUiE94IKENJUS5CTVkuSVFfUFJJQ0VfVk9M</t>
  </si>
  <si>
    <t>X0hJU1RfNk1USC4xLzI3LzIwMjQBAAAAxmQAAAIAAAAHMjEuMjU1MgBIDIoTIhPeCHOS/xUiE94IKENJUS5BWk4uSVFfUFJJQ0VfVk9MX0hJU1RfNk1USC4xLzI5LzIwMjQBAAAAhiMFAAIAAAAHMjEuNDQ2NgBIDIoTIhPeCF1E/xUiE94IKENJUS5UQUsuSVFfUFJJQ0VfVk9MX0hJU1RfNk1USC4xLzI5LzIwMjQBAAAALFgNAAIAAAAHMTguNjExNgBIDIoTIhPeCCLP/hUiE94IKUNJUS5BTFZPLklRX1BSSUNFX1ZPTF9ISVNUXzZNVEguMS8yOS8yMDI0AQAAAD2JUSkCAAAABzQxLjI4NjcASAyKEyIT3ghEgf4VIhPeCClDSVEuU0NZWC5JUV9QUklDRV9WT0xfSElTVF82TVRILjEvMzAvMjAyNAEAAACnMAwAAgAAAAc4OS41Mjg4ACXwUBMiE94I5Av+FSIT3ggpQ0lRLk9UTEsuSVFfUFJJQ0VfVk9MX0hJU1RfNk1USC4xLzMxLzIwMjQBAAAABaSxCAIAAAAIMjc3LjE5MjYAVhdREyIT3gjglv0VIhPeCCdDSVEuQVpOLklRX1BSSUNFX1ZPTF9ISVNUXzZNVEguMi8yLzIwMjQBAAAAhiMFAAIAAAAGMjEuMzI4AFYXURMiE94ICSP9FSIT3ggoQ0lRLkxDVFguSVFfUFJJQ0VfVk9MX0hJU1RfNk1USC4yLzMvMjAyNAEAAAAWZAAAAgAAAAc2NS40MjkxAFYXURMiE94I/NT8FSIT3ggpQ0lRLktZS09GLklRX1BSSUNFX1ZPTF9ISVNUXzZNVEguMi81LzIwMjQBAAAAy3UKAAMAAAAAAFYXURMiE94Iz4b8FSIT3ggoQ0lR</t>
  </si>
  <si>
    <t>LkFSQ1QuSVFfUFJJQ0VfVk9MX0hJU1RfNk1USC4yLzUvMjAyNAEAAAClwwIOAgAAAAc3My44NTgyAFYXURMiE94Iqjj8FSIT3ggnQ0lRLkdTSy5JUV9QUklDRV9WT0xfSElTVF82TVRILjIvNi8yMDI0AQAAAPIzBAACAAAABzE3Ljc3NTIAVhdREyIT3giFw/sVIhPeCChDSVEuUkVHTi5JUV9QUklDRV9WT0xfSElTVF82TVRILjIvNi8yMDI0AQAAALODAAACAAAABzE3Ljc0MDQAkj1REyIT3ggeGfsVIhPeCChDSVEuQkNUWC5JUV9QUklDRV9WT0xfSElTVF82TVRILjIvNy8yMDI0AQAAAPbcoQ8CAAAABzc0LjAyNDIAkj1REyIT3gi9sPgVIhPeCB9DSVEuQVZYTC5JUV9MQVNUU0FMRVBSSUNFLjQ1MjkyAQAAAGM4zwACAAAABDkuMzEA7w/HEyIT3giTFg8WIhPeCB5DSVEuTlZTLklRX0xBU1RTQUxFUFJJQ0UuNDUyOTIBAAAAqbXoDwIAAAAENC41MgDvD8cTIhPeCNehDhYiE94IH0NJUS5HTFlDLklRX0xBU1RTQUxFUFJJQ0UuNDUyOTMBAAAAOQdXAAMAAAAAAAIZlRMiE94I9bgMFiIT3ggfQ0lRLkVOVkIuSVFfTEFTVFNBTEVQUklDRS40NTI5MwEAAAAA+8smAgAAAAgxOC44OTk5OQACGZUTIhPeCPW4DBYiE94IH0NJUS5SWVRNLklRX0xBU1RTQUxFUFJJQ0UuNDUyOTQBAAAAGMltEgIAAAAFNDMuODgARUGVEyIT3gj1uAwWIhPeCB9DSVEuSU1NUC5JUV9MQVNUU0FMRVBSSUNFLjQ1Mjk0AQAAABVCZgACAAAA</t>
  </si>
  <si>
    <t>BDIuMzEARUGVEyIT3giG2gsWIhPeCB9DSVEuQ1ZBQy5JUV9MQVNUU0FMRVBSSUNFLjQ1Mjk1AQAAAH4rPQECAAAABDQuMjIARUGVEyIT3giG2gsWIhPeCB9DSVEuREVSTS5JUV9MQVNUU0FMRVBSSUNFLjQ1Mjk1AQAAAHWPuRACAAAABDQuOTcAUmiVEyIT3gjocQkWIhPeCB9DSVEuQUJTSS5JUV9MQVNUU0FMRVBSSUNFLjQ1Mjk2AQAAAN4M2w8CAAAABDMuNjIAUmiVEyIT3gjocQkWIhPeCB9DSVEuQ0xSQi5JUV9MQVNUU0FMRVBSSUNFLjQ1Mjk2AQAAAPPuPQICAAAACTgxLjMwMDA4MQAfj5UTIhPeCOhxCRYiE94IH0NJUS5DTE5OLklRX0xBU1RTQUxFUFJJQ0UuNDUyOTYBAAAAZEk7FAIAAAADNS44AB+PlRMiE94I6HEJFiIT3ggfQ0lRLk1OTUQuSVFfTEFTVFNBTEVQUklDRS40NTI5NgEAAACi/JwlAgAAAAQ0LjA5AB+PlRMiE94I6HEJFiIT3ggiQ0lRLkFWWEwuSVFfTEFTVFNBTEVQUklDRS4xLzIvMjAyNAEAAABjOM8AAgAAAAU2LjA0NQDvD8cTIhPeCJMWDxYiE94IIUNJUS5OVlMuSVFfTEFTVFNBTEVQUklDRS4xLzIvMjAyNAEAAACptegPAgAAAAM0LjQA7w/HEyIT3gjXoQ4WIhPeCCJDSVEuR0xZQy5JUV9MQVNUU0FMRVBSSUNFLjEvMy8yMDI0AQAAADkHVwADAAAAAAACGZUTIhPeCPW4DBYiE94IIkNJUS5FTlZCLklRX0xBU1RTQUxFUFJJQ0UuMS8zLzIwMjQBAAAAAPvLJgIAAAAIMTkuNzk5OTkA</t>
  </si>
  <si>
    <t>AhmVEyIT3gj1uAwWIhPeCCJDSVEuUllUTS5JUV9MQVNUU0FMRVBSSUNFLjEvNC8yMDI0AQAAABjJbRICAAAABTQzLjMxAEVBlRMiE94I9bgMFiIT3ggiQ0lRLklNTVAuSVFfTEFTVFNBTEVQUklDRS4xLzQvMjAyNAEAAAAVQmYAAgAAAAQyLjQxAEVBlRMiE94IhtoLFiIT3ggiQ0lRLkNWQUMuSVFfTEFTVFNBTEVQUklDRS4xLzUvMjAyNAEAAAB+Kz0BAgAAAAQ0LjM0AEVBlRMiE94IhtoLFiIT3ggiQ0lRLkRFUk0uSVFfTEFTVFNBTEVQUklDRS4xLzUvMjAyNAEAAAB1j7kQAgAAAAQ1LjA1AFJolRMiE94I6HEJFiIT3ggiQ0lRLkFCU0kuSVFfTEFTVFNBTEVQUklDRS4xLzgvMjAyNAEAAADeDNsPAgAAAAQ0LjE4AFJolRMiE94I6HEJFiIT3ggiQ0lRLkNMUkIuSVFfTEFTVFNBTEVQUklDRS4xLzgvMjAyNAEAAADz7j0CAgAAAAk5Ni4wMDAwOTYAH4+VEyIT3gjocQkWIhPeCCJDSVEuQ0xOTi5JUV9MQVNUU0FMRVBSSUNFLjEvOC8yMDI0AQAAAGRJOxQCAAAABDcuMDgAH4+VEyIT3gjocQkWIhPeCCJDSVEuTU5NRC5JUV9MQVNUU0FMRVBSSUNFLjEvOC8yMDI0AQAAAKL8nCUCAAAABDQuMzkAH4+VEyIT3gjocQkWIhPeCCFDSVEuTlZTLklRX0xBU1RTQUxFUFJJQ0UuMS84LzIwMjQBAAAAqbXoDwIAAAADNC40AB+PlRMiE94IIvgGFiIT3ggiQ0lRLk5VVkIuSVFfTEFTVFNBTEVQUklDRS4xLzgvMjAyNAEAAAA/</t>
  </si>
  <si>
    <t>7RYmAgAAAAQxLjU1ADO2lRMiE94IIvgGFiIT3ggjQ0lRLkFMUE1ZLklRX0xBU1RTQUxFUFJJQ0UuMS85LzIwMjQBAAAAkVgNAAMAAAAAADO2lRMiE94IIvgGFiIT3ggjQ0lRLkNNTkQuSVFfTEFTVFNBTEVQUklDRS4xLzEwLzIwMjQBAAAAP/aPIAIAAAAEMi45MwCj2ZUTIhPeCCL4BhYiE94II0NJUS5CUFRILklRX0xBU1RTQUxFUFJJQ0UuMS8xMC8yMDI0AQAAALJlPAICAAAABDExLjIAo9mVEyIT3ggykAQWIhPeCCNDSVEuQU5JUC5JUV9MQVNUU0FMRVBSSUNFLjEvMTYvMjAyNAEAAAD4UxcAAgAAAAU1NS40MQCGBJYTIhPeCDKQBBYiE94II0NJUS5IQUxPLklRX0xBU1RTQUxFUFJJQ0UuMS8xNi8yMDI0AQAAAEYFeQACAAAABTM2LjM2AHUbiBMiE94IMpAEFiIT3ggjQ0lRLlNSUFQuSVFfTEFTVFNBTEVQUklDRS4xLzE2LzIwMjQBAAAAWIgFAAIAAAAGMTE1LjM5AHUbiBMiE94IMpAEFiIT3ggjQ0lRLlJDVVMuSVFfTEFTVFNBTEVQUklDRS4xLzE2LzIwMjQBAAAANL9lEwIAAAAEMTYuOQB1G4gTIhPeCDKQBBYiE94IIkNJUS5CTVkuSVFfTEFTVFNBTEVQUklDRS4xLzE3LzIwMjQBAAAAxmQAAAIAAAAFNDkuOTgAdRuIEyIT3ggykAQWIhPeCCNDSVEuTFNUQS5JUV9MQVNUU0FMRVBSSUNFLjEvMTcvMjAyNAEAAABgKQUAAgAAAAQyLjk0AHUbiBMiE94IrycCFiIT3ggjQ0lRLkNSREYuSVFfTEFTVFNBTEVQ</t>
  </si>
  <si>
    <t>UklDRS4xLzE3LzIwMjQBAAAAvDqnAAIAAAAEMS40NwB1G4gTIhPeCK8nAhYiE94II0NJUS5DTERYLklRX0xBU1RTQUxFUFJJQ0UuMS8xOC8yMDI0AQAAAFXMkgACAAAABTM5LjY2AHUbiBMiE94IrycCFiIT3ggiQ0lRLk5WUy5JUV9MQVNUU0FMRVBSSUNFLjEvMTkvMjAyNAEAAACptegPAgAAAAQ0LjQyAHUbiBMiE94IrycCFiIT3ggiQ0lRLkFaTi5JUV9MQVNUU0FMRVBSSUNFLjEvMjIvMjAyNAEAAACGIwUAAgAAAAUxMDUuOQB1G4gTIhPeCK8nAhYiE94II0NJUS5TR01ULklRX0xBU1RTQUxFUFJJQ0UuMS8yMi8yMDI0AQAAAAQRDwICAAAABTE4LjQyAHUbiBMiE94IrycCFiIT3ggjQ0lRLlNQUkIuSVFfTEFTVFNBTEVQUklDRS4xLzIyLzIwMjQBAAAA8RLmGAIAAAAKMTgzLjAwMDQ1NwB1G4gTIhPeCIu5/xUiE94II0NJUS5BUlRMLklRX0xBU1RTQUxFUFJJQ0UuMS8yMy8yMDI0AQAAAM+/VhACAAAACDguMjc5OTk4AHUbiBMiE94Ii7n/FSIT3ggjQ0lRLlVSR04uSVFfTEFTVFNBTEVQUklDRS4xLzI0LzIwMjQBAAAA1dJYDgIAAAAFMTUuMDQAdRuIEyIT3giLuf8VIhPeCCNDSVEuVkVSQS5JUV9MQVNUU0FMRVBSSUNFLjEvMjUvMjAyNAEAAACdxbooAgAAAAUyNS4zMQBIDIoTIhPeCIu5/xUiE94II0NJUS5TUlJLLklRX0xBU1RTQUxFUFJJQ0UuMS8yNS8yMDI0AQAAAJAttiACAAAABTE0LjkxAEgMihMi</t>
  </si>
  <si>
    <t>E94Ii7n/FSIT3ggiQ0lRLlNOWS5JUV9MQVNUU0FMRVBSSUNFLjEvMjUvMjAyNAEAAAAafAoAAgAAAAU0OS44OABIDIoTIhPeCIu5/xUiE94IIkNJUS5CTVkuSVFfTEFTVFNBTEVQUklDRS4xLzI3LzIwMjQBAAAAxmQAAAIAAAAENDkuNwBIDIoTIhPeCHOS/xUiE94IIkNJUS5BWk4uSVFfTEFTVFNBTEVQUklDRS4xLzI5LzIwMjQBAAAAhiMFAAIAAAAGMTA1LjY4AEgMihMiE94IXUT/FSIT3ggiQ0lRLlRBSy5JUV9MQVNUU0FMRVBSSUNFLjEvMjkvMjAyNAEAAAAsWA0AAgAAAAUxNC43NwBIDIoTIhPeCCLP/hUiE94II0NJUS5BTFZPLklRX0xBU1RTQUxFUFJJQ0UuMS8yOS8yMDI0AQAAAD2JUSkCAAAABTE1LjI1AEgMihMiE94IRIH+FSIT3ggjQ0lRLlNDWVguSVFfTEFTVFNBTEVQUklDRS4xLzMwLzIwMjQBAAAApzAMAAIAAAAFMS45NTUAJfBQEyIT3gjkC/4VIhPeCCNDSVEuT1RMSy5JUV9MQVNUU0FMRVBSSUNFLjEvMzEvMjAyNAEAAAAFpLEIAgAAAAQ3LjcyAFYXURMiE94I4Jb9FSIT3gghQ0lRLkFaTi5JUV9MQVNUU0FMRVBSSUNFLjIvMi8yMDI0AQAAAIYjBQACAAAABTEwMy42AFYXURMiE94ICSP9FSIT3ggiQ0lRLkxDVFguSVFfTEFTVFNBTEVQUklDRS4yLzMvMjAyNAEAAAAWZAAAAgAAAAQwLjk4AFYXURMiE94I7/v8FSIT3ggjQ0lRLktZS09GLklRX0xBU1RTQUxFUFJJQ0UuMi81LzIwMjQBAAAA</t>
  </si>
  <si>
    <t>y3UKAAMAAAAAAFYXURMiE94Iz4b8FSIT3ggiQ0lRLkFSQ1QuSVFfTEFTVFNBTEVQUklDRS4yLzUvMjAyNAEAAAClwwIOAgAAAAUzNS4wNwBWF1ETIhPeCKo4/BUiE94IIUNJUS5HU0suSVFfTEFTVFNBTEVQUklDRS4yLzYvMjAyNAEAAADyMwQAAgAAAAUxNi41MwBWF1ETIhPeCIXD+xUiE94IIkNJUS5SRUdOLklRX0xBU1RTQUxFUFJJQ0UuMi82LzIwMjQBAAAAs4MAAAIAAAAGOTM3LjgxAJI9URMiE94IHhn7FSIT3ggiQ0lRLkJDVFguSVFfTEFTVFNBTEVQUklDRS4yLzcvMjAyNAEAAAD23KEPAgAAAAo1OTAuMjQ5NzA0AJI9URMiE94IvbD4FSIT3gghQ0lRLkdTSy5JUV9MQVNUU0FMRVBSSUNFLjIvOC8yMDI0AQAAAPIzBAACAAAABTE2LjUxAJI9URMiE94IvbD4FSIT3ggiQ0lRLkFNTFguSVFfTEFTVFNBTEVQUklDRS4yLzgvMjAyNAEAAAAGoOcSAgAAAAUxNS40NgCSPVETIhPeCL2w+BUiE94IIkNJUS5PS1lPLklRX0xBU1RTQUxFUFJJQ0UuMi85LzIwMjQBAAAAS8+2AgIAAAAEMS43MQCSPVETIhPeCL2w+BUiE94IJENJUS5DU0xMWS5JUV9MQVNUU0FMRVBSSUNFLjIvMTIvMjAyNAEAAABfcw0AAwAAAAAAkj1REyIT3gi9sPgVIhPeCCNDSVEuTlVWTC5JUV9MQVNUU0FMRVBSSUNFLjIvMTIvMjAyNAEAAACFbN4pAgAAAAU4My41NQDtY1ETIhPeCF1H9hUiE94II0NJUS5UTlhQLklRX0xBU1RTQUxFUFJJ</t>
  </si>
  <si>
    <t>Q0UuMi8xMi8yMDI0AQAAAGserQYCAAAABDExODQA7WNREyIT3ghdR/YVIhPeCCRDSVEuUEhSUkYuSVFfTEFTVFNBTEVQUklDRS4yLzEyLzIwMjQFAAAAAAAAAAgAAAAUKEludmFsaWQgSWRlbnRpZmllcintY1ETIhPeCF1H9hUiE94II0NJUS5DQURMLklRX0xBU1RTQUxFUFJJQ0UuMi8xMy8yMDI0AQAAAKtaOgICAAAAAzEuOADtY1ETIhPeCF1H9hUiE94II0NJUS5ST0lWLklRX0xBU1RTQUxFUFJJQ0UuMi8xMy8yMDI0AQAAADk4zxACAAAABDEwLjgA7WNREyIT3ghdR/YVIhPeCCNDSVEuTUFDSy5JUV9MQVNUU0FMRVBSSUNFLjIvMTMvMjAyNAEAAADRaxkAAwAAAAAA7WNREyIT3ghdR/YVIhPeCCNDSVEuS1JCUC5JUV9MQVNUU0FMRVBSSUNFLjIvMTQvMjAyNAEAAABAuX8nAwAAAAAAQ9UgEyIT3gjW1/MVIhPeCCJDSVEuQVpOLklRX0xBU1RTQUxFUFJJQ0UuMi8xNC8yMDI0AQAAAIYjBQACAAAABTk3LjI0AJX8IBMiE94I1tfzFSIT3ggjQ0lRLlNJTE8uSVFfTEFTVFNBTEVQUklDRS4yLzE0LzIwMjQBAAAAGi+0BwIAAAAEMS42OQCV/CATIhPeCNbX8xUiE94II0NJUS5SUFRYLklRX0xBU1RTQUxFUFJJQ0UuMi8xNS8yMDI0AQAAAOe/8BkCAAAABDYuOTUAlfwgEyIT3gjW1/MVIhPeCCNDSVEuT05DWS5JUV9MQVNUU0FMRVBSSUNFLjIvMTUvMjAyNAEAAABXdRQAAgAAAAQxLjE2AJX8IBMiE94I1tfzFSIT</t>
  </si>
  <si>
    <t>3ggjQ0lRLkVOU0MuSVFfTEFTVFNBTEVQUklDRS4yLzE1LzIwMjQBAAAAP0YWAwIAAAAJMTMuMzQ5OTkzAMglIRMiE94I1tfzFSIT3ggjQ0lRLklPVkEuSVFfTEFTVFNBTEVQUklDRS4yLzE2LzIwMjQBAAAABNVoAgIAAAAEOS4xNQDIJSETIhPeCNbX8xUiE94IH0NJUS5BVlhMLklRX0xBU1RTQUxFUFJJQ0UuNDUzMDABAAAAYzjPAAIAAAAENi40MQDvD8cTIhPeCJMWDxYiE94IKENJUS5MR05ELklRX1BSSUNFX1ZPTF9ISVNUXzZNVEguMS81LzIwMjQBAAAAZHgAAAIAAAAHMjkuNTEzNQBSaJUTIhPeCOhxCRYiE94IKENJUS5BVklSLklRX1BSSUNFX1ZPTF9ISVNUXzZNVEguMS84LzIwMjQBAAAAWcoRDwIAAAAHMzguODYyOAAztpUTIhPeCCL4BhYiE94IKUNJUS5BQ1JTLklRX1BSSUNFX1ZPTF9ISVNUXzZNVEguMS8xMC8yMDI0AQAAAMtS7QwCAAAACDI4OS45NDc3AKPZlRMiE94IIvgGFiIT3ggfQ0lRLkFMTEsuSVFfTEFTVFNBTEVQUklDRS40NTMwNgEAAAA5/m0NAwAAAAAAhgSWEyIT3ggykAQWIhPeCB9DSVEuUkNVUy5JUV9MQVNUU0FMRVBSSUNFLjQ1MzA2AQAAADS/ZRMCAAAABTE3LjUxAHUbiBMiE94IMpAEFiIT3ggpQ0lRLkNBVFguSVFfUFJJQ0VfVk9MX0hJU1RfNk1USC4xLzE3LzIwMjQBAAAA6pWXAAIAAAAIMTQwLjcyMTQAdRuIEyIT3givJwIWIhPeCClDSVEuRENQSC5JUV9QUklDRV9WT0xf</t>
  </si>
  <si>
    <t>SElTVF82TVRILjEvMTgvMjAyNAUAAAAAAAAACAAAABQoSW52YWxpZCBJZGVudGlmaWVyKXUbiBMiE94IrycCFiIT3ggeQ0lRLkJNWS5JUV9MQVNUU0FMRVBSSUNFLjQ1MzEwAQAAAMZkAAACAAAABTUwLjExAHUbiBMiE94IrycCFiIT3ggfQ0lRLlNQUkIuSVFfTEFTVFNBTEVQUklDRS40NTMyMAEAAADxEuYYAgAAAAoyNjYuMjUwNjY1AHUbiBMiE94Ii7n/FSIT3ggfQ0lRLkFOVlMuSVFfTEFTVFNBTEVQUklDRS40NTMyMgEAAAAv0R0lAgAAAAUxMS4wNQB1G4gTIhPeCIu5/xUiE94IH0NJUS5FUElYLklRX0xBU1RTQUxFUFJJQ0UuNDUzMTUBAAAATLFoEAMAAAAAAEgMihMiE94Ii7n/FSIT3ggpQ0lRLlJDVVMuSVFfUFJJQ0VfVk9MX0hJU1RfNk1USC4xLzMwLzIwMjQBAAAANL9lEwIAAAAHNjIuMjI3MwBIDIoTIhPeCPRZ/hUiE94IIkNJUS5OVk8uSVFfTEFTVFNBTEVQUklDRS4xLzMxLzIwMjQBAAAAfO8EAAIAAAAGMTE0Ljc0AFYXURMiE94I4Jb9FSIT3gghQ0lRLktPRC5JUV9MQVNUU0FMRVBSSUNFLjIvMy8yMDI0AQAAAJU1MRMCAAAABDQuMDMAVhdREyIT3gj81PwVIhPeCCNDSVEuQ1NMTFkuSVFfTEFTVFNBTEVQUklDRS4yLzUvMjAyNAEAAABfcw0AAwAAAAAAVhdREyIT3giPEfwVIhPeCCJDSVEuQUJFTy5JUV9MQVNUU0FMRVBSSUNFLjIvNi8yMDI0AQAAAOeBBQACAAAAAzQuMwBWF1ETIhPeCE1O</t>
  </si>
  <si>
    <t>+xUiE94IKENJUS5BTEVDLklRX1BSSUNFX1ZPTF9ISVNUXzZNVEguMi83LzIwMjQBAAAAa0DbDgIAAAAHODIuNjg1NwCSPVETIhPeCL2w+BUiE94IJ0NJUS5HU0suSVFfUFJJQ0VfVk9MX0hJU1RfNk1USC4yLzgvMjAyNAEAAADyMwQAAgAAAAcxNy44NDQ3AJI9URMiE94IvbD4FSIT3ggnQ0lRLlRBSy5JUV9QUklDRV9WT0xfSElTVF82TVRILjIvOS8yMDI0AQAAACxYDQACAAAABzE5LjQxMDEAkj1REyIT3gi9sPgVIhPeCCBDSVEuQ1NMTFkuSVFfTEFTVFNBTEVQUklDRS40NTMzMQEAAABfcw0AAwAAAAAAkj1REyIT3gi9sPgVIhPeCB5DSVEuVEFLLklRX0xBU1RTQUxFUFJJQ0UuNDUzNDEBAAAALFgNAAIAAAAFMTQuNjIA7WNREyIT3ghdR/YVIhPeCCpDSVEuUEhSUkYuSVFfUFJJQ0VfVk9MX0hJU1RfNk1USC4yLzEyLzIwMjQFAAAAAAAAAAgAAAAUKEludmFsaWQgSWRlbnRpZmllcintY1ETIhPeCF1H9hUiE94II0NJUS5MQ1RYLklRX0xBU1RTQUxFUFJJQ0UuMi8xMy8yMDI0AQAAABZkAAACAAAABDEuMDIA7WNREyIT3ghdR/YVIhPeCB9DSVEuT0NVTC5JUV9MQVNUU0FMRVBSSUNFLjQ1MzM0AQAAAEIxgAICAAAABDUuODgA7WNREyIT3ghdR/YVIhPeCClDSVEuRFRJTC5JUV9QUklDRV9WT0xfSElTVF82TVRILjIvMTQvMjAyNAEAAADo5XECAgAAAAY3OC41MDIAQ9UgEyIT3gjW1/MVIhPeCClDSVEuQVRS</t>
  </si>
  <si>
    <t>QS5JUV9QUklDRV9WT0xfSElTVF82TVRILjIvMTQvMjAyNAEAAADSLssOAgAAAAgyNjYuMjU1OQCV/CATIhPeCNbX8xUiE94IH0NJUS5NRVNPLklRX0xBU1RTQUxFUFJJQ0UuNDUzNDMBAAAARp42AQIAAAAEMi4wMwCV/CATIhPeCNbX8xUiE94IKUNJUS5NTktELklRX1BSSUNFX1ZPTF9ISVNUXzZNVEguMi8xNS8yMDI0AQAAAGaljQACAAAABzU0LjY0MjYAlfwgEyIT3gjW1/MVIhPeCClDSVEuQ0FTSS5JUV9QUklDRV9WT0xfSElTVF82TVRILjIvMTYvMjAyNAEAAAAlagUAAgAAAAgxMDUuNDk1MgDIJSETIhPeCNbX8xUiE94II0NJUS5URVZBLklRX0xBU1RTQUxFUFJJQ0UuMi8yMC8yMDI0AQAAAE+zBAACAAAABTEzLjA3ALZKIRMiE94IQzvzFSIT3ggfQ0lRLktaSUEuSVFfTEFTVFNBTEVQUklDRS40NTM0MgEAAABtIQYAAgAAAAYxOS44NDUAtkohEyIT3ggUxvIVIhPeCB9DSVEuRUxFVi5JUV9MQVNUU0FMRVBSSUNFLjQ1MzUxAQAAAEzb7wIDAAAAAAC2SiETIhPeCP5Q8hUiE94IH0NJUS5HTURBLklRX0xBU1RTQUxFUFJJQ0UuNDUzNDMBAAAAQH0IAAMAAAAAAIh1IRMiE94I19vxFSIT3ggpQ0lRLkNNTkQuSVFfUFJJQ0VfVk9MX0hJU1RfNk1USC4yLzIzLzIwMjQBAAAAP/aPIAIAAAAIMTk1LjUzNzkAiHUhEyIT3gidWfEVIhPeCB9DSVEuQ0xEWC5JUV9MQVNUU0FMRVBSSUNFLjQ1MzUyAQAAAFXMkgAC</t>
  </si>
  <si>
    <t>AAAABTUxLjg4AIh1IRMiE94IewvxFSIT3ggfQ0lRLlROWUEuSVFfTEFTVFNBTEVQUklDRS40NTM0NQEAAAAWw2IYAgAAAAQ1LjIyAIh1IRMiE94IBJbwFSIT3ggfQ0lRLk1UTkIuSVFfTEFTVFNBTEVQUklDRS40NTM1NQEAAADa0oUOAgAAAAYxMy40NTUAiHUhEyIT3gjqR/AVIhPeCB9DSVEuVktUWC5JUV9MQVNUU0FMRVBSSUNFLjQ1MzQ4AQAAAPK8tQ4CAAAABTM4LjQ4AIh1IRMiE94Ir9LvFSIT3ggfQ0lRLlBQQlQuSVFfTEFTVFNBTEVQUklDRS40NTM1NgEAAAAtojYBAgAAAAUwLjI5MwCIdSETIhPeCNhd7xUiE94IH0NJUS5TSUxPLklRX0xBU1RTQUxFUFJJQ0UuNDUzNDkBAAAAGi+0BwIAAAAEMS41NQCIdSETIhPeCBkA7xUiE94IKUNJUS5BVklSLklRX1BSSUNFX1ZPTF9ISVNUXzZNVEguMi8yOC8yMDI0AQAAAFnKEQ8CAAAABzQ3LjczMTQA+7gVEyIT3gjViu4VIhPeCB9DSVEuQ1JERi5JUV9MQVNUU0FMRVBSSUNFLjQ1MzUwAQAAALw6pwACAAAABDEuODIA+7gVEyIT3gjKq+0VIhPeCB9DSVEuQ0dFTS5JUV9MQVNUU0FMRVBSSUNFLjQ1MzU5AQAAAH96JiACAAAABTE2Ljc5APu4FRMiE94IyjbtFSIT3ggeQ0lRLlNMUy5JUV9MQVNUU0FMRVBSSUNFLjQ1MzUxAQAAACpXoQ8CAAAABDEuMDEA+7gVEyIT3gjWwewVIhPeCB5DSVEuTlZPLklRX0xBU1RTQUxFUFJJQ0UuNDUzNjIBAAAAfO8EAAIAAAAG</t>
  </si>
  <si>
    <t>MTMxLjI0APu4FRMiE94IU3PsFSIT3ggoQ0lRLlBDVlguSVFfUFJJQ0VfVk9MX0hJU1RfNk1USC4zLzQvMjAyNAEAAAD6E1QSAgAAAAczOS43NTc3APu4FRMiE94IX4TrFSIT3ggfQ0lRLkFQR0UuSVFfTEFTVFNBTEVQUklDRS40NTM2MwEAAACV+0ZsAgAAAAU2OS4zNAD7uBUTIhPeCFAP6xUiE94IH0NJUS5BTE5ZLklRX0xBU1RTQUxFUFJJQ0UuNDUzNTUBAAAAc6wqAAIAAAAGMTUwLjA0APu4FRMiE94IR8HqFSIT3ggiQ0lRLklNTVAuSVFfTEFTVFNBTEVQUklDRS4zLzUvMjAyNAEAAAAVQmYAAgAAAAQyLjYxAPu4FRMiE94I8WHqFSIT3ggfQ0lRLkxJUE8uSVFfTEFTVFNBTEVQUklDRS40NTM2MwEAAACH5iMCAgAAAAU1LjYzNgD7uBUTIhPeCI/55xUiE94IKENJUS5CVEFJLklRX1BSSUNFX1ZPTF9ISVNUXzZNVEguMy82LzIwMjQBAAAADS9mIAIAAAAIMTQwLjA4ODkA+7gVEyIT3giP+ecVIhPeCB9DSVEuUlpMVC5JUV9MQVNUU0FMRVBSSUNFLjQ1MzU2AQAAACEJmwoCAAAABDEuNzgA+7gVEyIT3giP+ecVIhPeCCJDSVEuQ09ZQS5JUV9MQVNUU0FMRVBSSUNFLjMvNi8yMDI0AQAAAKvKvCkCAAAABDkuNjcA+7gVEyIT3giP+ecVIhPeCCdDSVEuRFlOLklRX1BSSUNFX1ZPTF9ISVNUXzZNVEguMy82LzIwMjQBAAAAAgZIJAIAAAAHOTUuNzE0MgD6KRgTIhPeCK+R5RUiE94IH0NJUS5NQklPLklRX0xBU1RT</t>
  </si>
  <si>
    <t>QUxFUFJJQ0UuNDUzNTcBAAAAMNl3EwIAAAACNjYA+ikYEyIT3givkeUVIhPeCB9DSVEuQVBWTy5JUV9MQVNUU0FMRVBSSUNFLjQ1MzY1AQAAAJTuvhMCAAAACzM3MjkuNjAzNzI5APopGBMiE94Ir5HlFSIT3ggoQ0lRLkFCT1MuSVFfUFJJQ0VfVk9MX0hJU1RfNk1USC4zLzgvMjAyNAEAAACBTYIAAgAAAAc4Ni4yMzA2AAi54xIiE94Ir5HlFSIT3ggfQ0lRLk1MVFguSVFfTEFTVFNBTEVQUklDRS40NTM1OQEAAAA09okqAgAAAAU0NS42MQAIueMSIhPeCK+R5RUiE94IH0NJUS5TT05OLklRX0xBU1RTQUxFUFJJQ0UuNDUzNjkBAAAAmt91GAIAAAAFMTguMDgACLnjEiIT3givkeUVIhPeCB9DSVEuVEVSTi5JUV9MQVNUU0FMRVBSSUNFLjQ1MzY5AQAAAJbkRiECAAAABTYuMDg1AAi54xIiE94IyijjFSIT3ggpQ0lRLktBTlQuSVFfUFJJQ0VfVk9MX0hJU1RfNk1USC4zLzEyLzIwMjQFAAAAAAAAAAgAAAAUKEludmFsaWQgSWRlbnRpZmllcikIueMSIhPeCMoo4xUiE94IH0NJUS5QUlRDLklRX0xBU1RTQUxFUFJJQ0UuNDUzNjMBAAAAFgCNAAIAAAAFMi4wMTUACLnjEiIT3gjKKOMVIhPeCCJDSVEuVEFLLklRX0xBU1RTQUxFUFJJQ0UuMy8xMy8yMDI0AQAAACxYDQACAAAABTE0LjQyAAi54xIiE94IBMHgFSIT3ggfQ0lRLk1JUk0uSVFfTEFTVFNBTEVQUklDRS40NTM3MQEAAADaZjMjAgAAAAUyNi45OQAIueMS</t>
  </si>
  <si>
    <t>IhPeCATB4BUiE94IKUNJUS5PQ0dOLklRX1BSSUNFX1ZPTF9ISVNUXzZNVEguMy8xMy8yMDI0AQAAALfAHBICAAAABzg4LjU4MzMACLnjEiIT3ggEweAVIhPeCB9DSVEuTURHTC5JUV9MQVNUU0FMRVBSSUNFLjQ1MzY0AQAAAEybowgCAAAABjI3Mi45OAAIueMSIhPeCATB4BUiE94IKUNJUS5MRUdOLklRX1BSSUNFX1ZPTF9ISVNUXzZNVEguMy8xNS8yMDI0AQAAAGwj8yACAAAABzM4LjQ2MjgACLnjEiIT3ggEweAVIhPeCB9DSVEuUEhWUy5JUV9MQVNUU0FMRVBSSUNFLjQ1MzY1AQAAAHCLBBgCAAAABTIzLjY4AAi54xIiE94I4MDeFSIT3ggiQ0lRLklWQS5JUV9MQVNUU0FMRVBSSUNFLjMvMTgvMjAyNAEAAACKh00QAgAAAAMzLjgACLnjEiIT3gjgwN4VIhPeCB5DSVEuSk5KLklRX0xBU1RTQUxFUFJJQ0UuNDUzNzcBAAAAnSECAAIAAAAGMTU1Ljc3AAi54xIiE94I4MDeFSIT3ggfQ0lRLkNFUlMuSVFfTEFTVFNBTEVQUklDRS40NTM3NwEAAADeZgAAAgAAAAQxLjc0AOYq5hIiE94I4MDeFSIT3ggfQ0lRLkpTUFIuSVFfTEFTVFNBTEVQUklDRS40NTM3NwEAAABekpUmAgAAAAUyNy44OQCRSLYSIhPeCODA3hUiE94IHkNJUS5DVk0uSVFfTEFTVFNBTEVQUklDRS40NTM3NwEAAAC68gMAAgAAAAg1Ni40MDU2NACRSLYSIhPeCFRS3hUiE94IH0NJUS5URkZQLklRX0xBU1RTQUxFUFJJQ0UuNDUzNzgBAAAA6jQL</t>
  </si>
  <si>
    <t>AAIAAAAFNDIuNTUAkUi2EiIT3gj1td0VIhPeCB9DSVEuVlJUWC5JUV9MQVNUU0FMRVBSSUNFLjQ1Mzc5AQAAAIuNAAACAAAABjQxOC4wMQCRSLYSIhPeCMNA3RUiE94IH0NJUS5PS1lPLklRX0xBU1RTQUxFUFJJQ0UuNDUzODABAAAAS8+2AgIAAAAEMS40OQCRSLYSIhPeCLry3BUiE94IH0NJUS5TTFJYLklRX0xBU1RTQUxFUFJJQ0UuNDUzODABAAAA0N+rEwIAAAAJNjMuNDMxOTY4AJFIthIiE94I5hvcFSIT3ggeQ0lRLk1SSy5JUV9MQVNUU0FMRVBSSUNFLjQ1MzgzAQAAAPZmBAACAAAABjEzMC45OQCRSLYSIhPeCNaz2RUiE94IH0NJUS5TVE9LLklRX0xBU1RTQUxFUFJJQ0UuNDUzODMBAAAAHogBDwIAAAAFMTMuNDkAkUi2EiIT3gjWs9kVIhPeCB9DSVEuVktUWC5JUV9MQVNUU0FMRVBSSUNFLjQ1Mzg0AQAAAPK8tQ4CAAAABTc3LjM1AJFIthIiE94I1rPZFSIT3ggfQ0lRLlNUT0suSVFfTEFTVFNBTEVQUklDRS40NTM4NAEAAAAeiAEPAgAAAAUxMy4wOACRSLYSIhPeCDFM1xUiE94IH0NJUS5BUkdYLklRX0xBU1RTQUxFUFJJQ0UuNDUzODUBAAAAveKzAwIAAAAFMzY2LjkAkUi2EiIT3ggxTNcVIhPeCB9DSVEuWkxBQi5JUV9MQVNUU0FMRVBSSUNFLjQ1Mzg1AQAAAHcCKRACAAAABDE1LjkAkUi2EiIT3ggxTNcVIhPeCB9DSVEuQVZUWC5JUV9MQVNUU0FMRVBSSUNFLjQ1Mzg1AQAAAAhNqQgCAAAABTE2</t>
  </si>
  <si>
    <t>LjMxAJFIthIiE94IMUzXFSIT3ggfQ0lRLlJFR04uSVFfTEFTVFNBTEVQUklDRS40NTM4NQEAAACzgwAAAgAAAAY5NTAuOTUAkUi2EiIT3ggxTNcVIhPeCCBDSVEuQ1NMTFkuSVFfTEFTVFNBTEVQUklDRS40NTM4NQEAAABfcw0AAwAAAAAAkUi2EiIT3ggxTNcVIhPeCB9DSVEuSVJXRC5JUV9MQVNUU0FMRVBSSUNFLjQ1Mzg2AQAAAAp7AAACAAAABDguMTUApZmsEiIT3ggxTNcVIhPeCB9DSVEuU05EWC5JUV9MQVNUU0FMRVBSSUNFLjQ1Mzg2AQAAAMqmnwECAAAABTIyLjYyAKWZrBIiE94IaePUFSIT3ggfQ0lRLk5WQ1IuSVFfTEFTVFNBTEVQUklDRS40NTM5MAEAAADofB8EAgAAAAUxNC4xOAClmawSIhPeCGnj1BUiE94IH0NJUS5WUlRYLklRX0xBU1RTQUxFUFJJQ0UuNDUzOTABAAAAi40AAAIAAAAGNDA0LjIyAKWZrBIiE94IaePUFSIT3gggQ0lRLlpMRFBGLklRX0xBU1RTQUxFUFJJQ0UuNDUzOTEBAAAAIlsTAAMAAAAAAKWZrBIiE94IaHHSFSIT3ggfQ0lRLktSQlAuSVFfTEFTVFNBTEVQUklDRS40NTM5MQEAAABAuX8nAwAAAAAApZmsEiIT3ghocdIVIhPeCB9DSVEuRkdFTi5JUV9MQVNUU0FMRVBSSUNFLjQ1MzkyAQAAAERvAAACAAAABTM1Ljc1AKWZrBIiE94IaHHSFSIT3ggfQ0lRLlBSRlguSVFfTEFTVFNBTEVQUklDRS40NTM5MgEAAAAlQDsDAgAAAAkzNS4wMzk5OTIApZmsEiIT3ghocdIVIhPe</t>
  </si>
  <si>
    <t>CB9DSVEuTUdOWC5JUV9MQVNUU0FMRVBSSUNFLjQ1MzkyAQAAAE8rCQACAAAABTE4LjI1AKWZrBIiE94IaHHSFSIT3ggeQ0lRLkdTSy5JUV9MQVNUU0FMRVBSSUNFLjQ1MzkzAQAAAPIzBAACAAAABTE2LjI5AKWZrBIiE94IfgfQFSIT3ggfQ0lRLkNBREwuSVFfTEFTVFNBTEVQUklDRS40NTM5MwEAAACrWjoCAgAAAAQ3LjI4AKWZrBIiE94IfgfQFSIT3ggfQ0lRLkNSQlUuSVFfTEFTVFNBTEVQUklDRS40NTM5MwEAAAAvRzkQAgAAAAQ0LjMzAKWZrBIiE94IfgfQFSIT3ggfQ0lRLlRBUkEuSVFfTEFTVFNBTEVQUklDRS40NTM5NAEAAAD4oYkgAgAAAAEzAKWZrBIiE94IfgfQFSIT3ggfQ0lRLkxFR04uSVFfTEFTVFNBTEVQUklDRS40NTM5NAEAAABsI/MgAgAAAAU1Mi45MgAkB68SIhPeCP5yzxUiE94IH0NJUS5SRVBMLklRX0xBU1RTQUxFUFJJQ0UuNDUzOTQBAAAAROgSIgIAAAAENy4xNADFOWwSIhPeCP5yzxUiE94IH0NJUS5JT05TLklRX0xBU1RTQUxFUFJJQ0UuNDUzOTQBAAAAXHYAAAIAAAAFNDEuNzQAxTlsEiIT3ggupM0VIhPeCB9DSVEuU05EWC5JUV9MQVNUU0FMRVBSSUNFLjQ1Mzk3AQAAAMqmnwECAAAABTIxLjYyAMU5bBIiE94ILqTNFSIT3ggeQ0lRLk5WUy5JUV9MQVNUU0FMRVBSSUNFLjQ1MzAwAQAAAKm16A8CAAAABDQuNDUA7w/HEyIT3gjXoQ4WIhPeCB9DSVEuRUxUWC5JUV9MQVNUU0FM</t>
  </si>
  <si>
    <t>RVBSSUNFLjQ1Mjk5AQAAAECqzwwCAAAABDcuODIAM7aVEyIT3ggi+AYWIhPeCB9DSVEuQUNSUy5JUV9MQVNUU0FMRVBSSUNFLjQ1MzA4AQAAAMtS7QwCAAAABDEuMTgAo9mVEyIT3ggi+AYWIhPeCB9DSVEuUkNVUy5JUV9MQVNUU0FMRVBSSUNFLjQ1MzE0AQAAADS/ZRMCAAAABTE1LjQ0AHUbiBMiE94IMpAEFiIT3ggfQ0lRLkNBVFguSVFfTEFTVFNBTEVQUklDRS40NTMxNQEAAADqlZcAAgAAAAU0Ljg4NgB1G4gTIhPeCK8nAhYiE94IH0NJUS5EQ1BILklRX0xBU1RTQUxFUFJJQ0UuNDUzMDgFAAAAAAAAAAgAAAAUKEludmFsaWQgSWRlbnRpZmllcil1G4gTIhPeCK8nAhYiE94IHkNJUS5BWk4uSVFfTEFTVFNBTEVQUklDRS40NTMxMAEAAACGIwUAAgAAAAYxMDUuMDgAdRuIEyIT3givJwIWIhPeCClDSVEuU1hUUC5JUV9QUklDRV9WT0xfSElTVF82TVRILjEvMjIvMjAyNAEAAAB8QWsOAgAAAAgxMjkuNjQ4NgB1G4gTIhPeCIu5/xUiE94IKUNJUS5FTlNDLklRX1BSSUNFX1ZPTF9ISVNUXzZNVEguMS8yNS8yMDI0AQAAAD9GFgMCAAAACDExMS40MzU1AHUbiBMiE94Ii7n/FSIT3ggeQ0lRLkFaTi5JUV9MQVNUU0FMRVBSSUNFLjQ1MzI3AQAAAIYjBQACAAAABTEwMy42AEgMihMiE94IUR3/FSIT3ggfQ0lRLlJDVVMuSVFfTEFTVFNBTEVQUklDRS40NTMyOAEAAAA0v2UTAgAAAAUxNS4zMgBIDIoTIhPeCPRZ</t>
  </si>
  <si>
    <t>/hUiE94IHkNJUS5OVk8uSVFfTEFTVFNBTEVQUklDRS40NTMyOQEAAAB87wQAAgAAAAYxMTguNjYAVhdREyIT3gjglv0VIhPeCB5DSVEuS09ELklRX0xBU1RTQUxFUFJJQ0UuNDUzMzEBAAAAlTUxEwIAAAAENS4zOABWF1ETIhPeCPzU/BUiE94IIENJUS5DU0xMWS5JUV9MQVNUU0FMRVBSSUNFLjQ1MzM0AQAAAF9zDQADAAAAAABWF1ETIhPeCI8R/BUiE94IH0NJUS5BQkVPLklRX0xBU1RTQUxFUFJJQ0UuNDUzMzUBAAAA54EFAAIAAAAENi4zMQBWF1ETIhPeCE1O+xUiE94IIkNJUS5BTEVDLklRX0xBU1RTQUxFUFJJQ0UuMi83LzIwMjQBAAAAa0DbDgIAAAADNi40AJI9URMiE94IvbD4FSIT3ggeQ0lRLkdTSy5JUV9MQVNUU0FMRVBSSUNFLjQ1MzI5AQAAAPIzBAACAAAABjE2LjcyNgCSPVETIhPeCL2w+BUiE94IHkNJUS5UQUsuSVFfTEFTVFNBTEVQUklDRS40NTMzMAEAAAAsWA0AAgAAAAIxNACSPVETIhPeCL2w+BUiE94IIENJUS5DU0xMWS5JUV9MQVNUU0FMRVBSSUNFLjQ1MzQxAQAAAF9zDQADAAAAAACSPVETIhPeCL2w+BUiE94IKUNJUS5KQUdYLklRX1BSSUNFX1ZPTF9ISVNUXzZNVEguMi8xMi8yMDI0AQAAAIy5wwACAAAACDEyNi44NjI3AO1jURMiE94IXUf2FSIT3gggQ0lRLlBIUlJGLklRX0xBU1RTQUxFUFJJQ0UuNDUzMzEFAAAAAAAAAAgAAAAUKEludmFsaWQgSWRlbnRpZmllcintY1ETIhPe</t>
  </si>
  <si>
    <t>CF1H9hUiE94IH0NJUS5MQ1RYLklRX0xBU1RTQUxFUFJJQ0UuNDUzNDIBAAAAFmQAAAIAAAAEMS4wOQDtY1ETIhPeCF1H9hUiE94IKUNJUS5NQUNLLklRX1BSSUNFX1ZPTF9ISVNUXzZNVEguMi8xMy8yMDI0AQAAANFrGQADAAAAAADtY1ETIhPeCF1H9hUiE94IH0NJUS5EVElMLklRX0xBU1RTQUxFUFJJQ0UuNDUzMzUBAAAA6OVxAgIAAAAJMTEuMTcyMDExAEPVIBMiE94I1tfzFSIT3ggfQ0lRLkFUUkEuSVFfTEFTVFNBTEVQUklDRS40NTMzNQEAAADSLssOAgAAAAcxOS4yNTI1AJX8IBMiE94I1tfzFSIT3ggpQ0lRLlJQVFguSVFfUFJJQ0VfVk9MX0hJU1RfNk1USC4yLzE1LzIwMjQBAAAA57/wGQIAAAAHOTcuNjE2MwCV/CATIhPeCNbX8xUiE94IH0NJUS5NTktELklRX0xBU1RTQUxFUFJJQ0UuNDUzMzYBAAAAZqWNAAIAAAADMy42AJX8IBMiE94I1tfzFSIT3ggfQ0lRLkNBU0kuSVFfTEFTVFNBTEVQUklDRS40NTMzNwEAAAAlagUAAgAAAAQ1Ljk3AMglIRMiE94I1tfzFSIT3ggfQ0lRLlRFVkEuSVFfTEFTVFNBTEVQUklDRS40NTM0OQEAAABPswQAAgAAAAQxMy4zALZKIRMiE94IQzvzFSIT3ggjQ0lRLktaSUEuSVFfTEFTVFNBTEVQUklDRS4yLzIxLzIwMjQBAAAAbSEGAAIAAAAGMTUuNzU1ALZKIRMiE94IFMbyFSIT3ggpQ0lRLlRBUlMuSVFfUFJJQ0VfVk9MX0hJU1RfNk1USC4yLzIyLzIwMjQBAAAA</t>
  </si>
  <si>
    <t>MRHEJgIAAAAHNTkuMjE4NAC2SiETIhPeCP5Q8hUiE94IH0NJUS5HTURBLklRX0xBU1RTQUxFUFJJQ0UuNDUzNTEBAAAAQH0IAAMAAAAAAIh1IRMiE94I19vxFSIT3ggfQ0lRLkNNTkQuSVFfTEFTVFNBTEVQUklDRS40NTM0NAEAAAA/9o8gAgAAAAQxLjg2AIh1IRMiE94InVnxFSIT3ggpQ0lRLktBTFYuSVFfUFJJQ0VfVk9MX0hJU1RfNk1USC4yLzI1LzIwMjQBAAAAEI4lCAIAAAAHNjEuMTgyMgCIdSETIhPeCHsL8RUiE94II0NJUS5UTllBLklRX0xBU1RTQUxFUFJJQ0UuMi8yNi8yMDI0AQAAABbDYhgCAAAABDUuNjkAiHUhEyIT3ggElvAVIhPeCCNDSVEuVktUWC5JUV9MQVNUU0FMRVBSSUNFLjIvMjcvMjAyNAEAAADyvLUOAgAAAAU4NS4wNQCIdSETIhPeCK/S7xUiE94IKUNJUS5HQU5YLklRX1BSSUNFX1ZPTF9ISVNUXzZNVEguMi8yNy8yMDI0AQAAANvQDCECAAAABzc1LjI1MTEAiHUhEyIT3gjYXe8VIhPeCB9DSVEuU0lMTy5JUV9MQVNUU0FMRVBSSUNFLjQ1MzU3AQAAABovtAcCAAAABjEuNTI5OQCIdSETIhPeCALZ7hUiE94IH0NJUS5BVklSLklRX0xBU1RTQUxFUFJJQ0UuNDUzNDkBAAAAWcoRDwIAAAAENC41NgD7uBUTIhPeCNWK7hUiE94IKUNJUS5JUldELklRX1BSSUNFX1ZPTF9ISVNUXzZNVEguMi8yOS8yMDI0AQAAAAp7AAACAAAABjc4LjE2MgD7uBUTIhPeCIoR7hUiE94II0NJUS5DUkRG</t>
  </si>
  <si>
    <t>LklRX0xBU1RTQUxFUFJJQ0UuMi8yOS8yMDI0AQAAALw6pwACAAAABTEuNzY1APu4FRMiE94IyqvtFSIT3gghQ0lRLlNMUy5JUV9MQVNUU0FMRVBSSUNFLjMvMS8yMDI0AQAAACpXoQ8CAAAAATEA+7gVEyIT3gjf6OwVIhPeCChDSVEuQUtSTy5JUV9QUklDRV9WT0xfSElTVF82TVRILjMvNC8yMDI0AQAAADhKFSICAAAACDE1OC40ODA3APu4FRMiE94IREzsFSIT3ggfQ0lRLlBDVlguSVFfTEFTVFNBTEVQUklDRS40NTM1MgEAAAD6E1QSAgAAAAU3MS43MQD7uBUTIhPeCF+E6xUiE94IJ0NJUS5HU0suSVFfUFJJQ0VfVk9MX0hJU1RfNk1USC4zLzUvMjAyNAEAAADyMwQAAgAAAAcxNy44NTc0APu4FRMiE94IUA/rFSIT3ggiQ0lRLkFMTlkuSVFfTEFTVFNBTEVQUklDRS4zLzUvMjAyNAEAAABzrCoAAgAAAAYxNDkuNjgA+7gVEyIT3ghHweoVIhPeCB9DSVEuSU1NUC5JUV9MQVNUU0FMRVBSSUNFLjQ1MzYzAQAAABVCZgACAAAABDIuNTUA+7gVEyIT3giP+ecVIhPeCChDSVEuSUJSWC5JUV9QUklDRV9WT0xfSElTVF82TVRILjMvNS8yMDI0AQAAAAfCDxICAAAACDEzNC4zOTM2APu4FRMiE94Ij/nnFSIT3ggfQ0lRLkJUQUkuSVFfTEFTVFNBTEVQUklDRS40NTM1NgEAAAANL2YgAgAAAAU0OC4zMgD7uBUTIhPeCI/55xUiE94IIkNJUS5SWkxULklRX0xBU1RTQUxFUFJJQ0UuMy82LzIwMjQBAAAAIQmbCgIAAAAF</t>
  </si>
  <si>
    <t>MS43OTUA+7gVEyIT3giP+ecVIhPeCB9DSVEuQ09ZQS5JUV9MQVNUU0FMRVBSSUNFLjQ1MzY0AQAAAKvKvCkCAAAABDkuNzkA+7gVEyIT3giP+ecVIhPeCCdDSVEuTVJLLklRX1BSSUNFX1ZPTF9ISVNUXzZNVEguMy82LzIwMjQBAAAA9mYEAAIAAAAHMTYuMTI5MgD7uBUTIhPeCI/55xUiE94IHkNJUS5EWU4uSVFfTEFTVFNBTEVQUklDRS40NTM1NgEAAAACBkgkAgAAAAUyNS44NwD6KRgTIhPeCI/55xUiE94IH0NJUS5NQklPLklRX0xBU1RTQUxFUFJJQ0UuNDUzNjUBAAAAMNl3EwIAAAAGNDkuNzM1APopGBMiE94Ir5HlFSIT3ggoQ0lRLkFUSEEuSVFfUFJJQ0VfVk9MX0hJU1RfNk1USC4zLzgvMjAyNAEAAAAcEdsPAgAAAAc3OS40MjY5APopGBMiE94Ir5HlFSIT3ggfQ0lRLkFCT1MuSVFfTEFTVFNBTEVQUklDRS40NTM1OAEAAACBTYIAAgAAAAQ0LjM3AAi54xIiE94Ir5HlFSIT3ggjQ0lRLk1MVFguSVFfTEFTVFNBTEVQUklDRS4zLzEwLzIwMjQBAAAANPaJKgIAAAAFNDUuNjEACLnjEiIT3givkeUVIhPeCClDSVEuQVBSRS5JUV9QUklDRV9WT0xfSElTVF82TVRILjMvMTEvMjAyNAEAAACr06gTAgAAAAc5Ni42MjE4AAi54xIiE94IyijjFSIT3ggpQ0lRLkxSTVIuSVFfUFJJQ0VfVk9MX0hJU1RfNk1USC4zLzExLzIwMjQBAAAAF2AdIgIAAAAHOTkuNTE4NQAIueMSIhPeCMoo4xUiE94IH0NJUS5LQU5U</t>
  </si>
  <si>
    <t>LklRX0xBU1RTQUxFUFJJQ0UuNDUzNjIFAAAAAAAAAAgAAAAUKEludmFsaWQgSWRlbnRpZmllcikIueMSIhPeCMoo4xUiE94II0NJUS5QUlRDLklRX0xBU1RTQUxFUFJJQ0UuMy8xMy8yMDI0AQAAABYAjQACAAAABTEuOTU2AAi54xIiE94IyijjFSIT3ggeQ0lRLlRBSy5JUV9MQVNUU0FMRVBSSUNFLjQ1MzcxAQAAACxYDQACAAAABTE0LjU1AAi54xIiE94IBMHgFSIT3ggpQ0lRLkNBTEMuSVFfUFJJQ0VfVk9MX0hJU1RfNk1USC4zLzEzLzIwMjQBAAAABmMKAgIAAAAIMTE2LjY4NDkACLnjEiIT3ggEweAVIhPeCB9DSVEuT0NHTi5JUV9MQVNUU0FMRVBSSUNFLjQ1MzYzAQAAALfAHBICAAAABTAuOTg0AAi54xIiE94IBMHgFSIT3ggfQ0lRLk1ER0wuSVFfTEFTVFNBTEVQUklDRS40NTM3MgEAAABMm6MIAgAAAAYyNTUuMjcACLnjEiIT3ggEweAVIhPeCB9DSVEuTEVHTi5JUV9MQVNUU0FMRVBSSUNFLjQ1MzY1AQAAAGwj8yACAAAABTY2LjExAAi54xIiE94IBMHgFSIT3ggjQ0lRLlBIVlMuSVFfTEFTVFNBTEVQUklDRS4zLzE1LzIwMjQBAAAAcIsEGAIAAAAFMjMuMzUACLnjEiIT3gjgwN4VIhPeCB5DSVEuSVZBLklRX0xBU1RTQUxFUFJJQ0UuNDUzNzYBAAAAiodNEAIAAAAFMy40MjUACLnjEiIT3gjgwN4VIhPeCClDSVEuQ1JOWC5JUV9QUklDRV9WT0xfSElTVF82TVRILjMvMTkvMjAyNAEAAAD/X7kQAgAA</t>
  </si>
  <si>
    <t>AAc1Ny44NjAyAAi54xIiE94I4MDeFSIT3ggpQ0lRLktSQlAuSVFfUFJJQ0VfVk9MX0hJU1RfNk1USC4zLzE5LzIwMjQBAAAAQLl/JwMAAAAAAJFIthIiE94I4MDeFSIT3ggpQ0lRLkFMSU0uSVFfUFJJQ0VfVk9MX0hJU1RfNk1USC4zLzE5LzIwMjQBAAAAO+WdAAMAAAAAAJFIthIiE94I4MDeFSIT3ggoQ0lRLlRBSy5JUV9QUklDRV9WT0xfSElTVF82TVRILjMvMTkvMjAyNAEAAAAsWA0AAgAAAAcxOS43MjMxAJFIthIiE94IVFLeFSIT3ggpQ0lRLkFMTVMuSVFfUFJJQ0VfVk9MX0hJU1RfNk1USC4zLzIwLzIwMjQBAAAAX3sPKgMAAAAAAJFIthIiE94IKgTeFSIT3ggpQ0lRLkJOT1guSVFfUFJJQ0VfVk9MX0hJU1RfNk1USC4zLzIxLzIwMjQFAAAAAAAAAAgAAAAUKEludmFsaWQgSWRlbnRpZmllcimRSLYSIhPeCOGO3RUiE94IKUNJUS5BTFBOLklRX1BSSUNFX1ZPTF9ISVNUXzZNVEguMy8yMS8yMDI0AQAAANmQZgACAAAABzU2LjUwNTIAkUi2EiIT3gjDQN0VIhPeCClDSVEuWkxBQi5JUV9QUklDRV9WT0xfSElTVF82TVRILjMvMjIvMjAyNAEAAAB3AikQAgAAAAc1OC43OTQ2AJFIthIiE94I5hvcFSIT3ggpQ0lRLkFUWFMuSVFfUFJJQ0VfVk9MX0hJU1RfNk1USC4zLzI1LzIwMjQBAAAACCECBgIAAAAHNzguNjk5NgCRSLYSIhPeCNaz2RUiE94IKUNJUS5CWVNJLklRX1BSSUNFX1ZPTF9ISVNUXzZNVEgu</t>
  </si>
  <si>
    <t>My8yNS8yMDI0AQAAAEfPbBgCAAAACDEyNC44NjI1AJFIthIiE94I1rPZFSIT3ggpQ0lRLk5LR04uSVFfUFJJQ0VfVk9MX0hJU1RfNk1USC4zLzI1LzIwMjQBAAAAPFR/IwIAAAAIMTg1LjU3ODMAkUi2EiIT3gjWs9kVIhPeCClDSVEuUFJBWC5JUV9QUklDRV9WT0xfSElTVF82TVRILjMvMjYvMjAyNAEAAAAsdGQYAgAAAAgxMDcuMzI3NwCRSLYSIhPeCNaz2RUiE94IKUNJUS5DRVJTLklRX1BSSUNFX1ZPTF9ISVNUXzZNVEguMy8yNi8yMDI0AQAAAN5mAAACAAAABzg0LjcwOTUAkUi2EiIT3gjWs9kVIhPeCClDSVEuQVROTS5JUV9QUklDRV9WT0xfSElTVF82TVRILjMvMjYvMjAyNAEAAACbt3cAAgAAAAc4NS44Njg1AJFIthIiE94IMUzXFSIT3ggpQ0lRLkFUQUkuSVFfUFJJQ0VfVk9MX0hJU1RfNk1USC4zLzI3LzIwMjQBAAAA7TdXKgIAAAAHOTMuMDQ1MwCRSLYSIhPeCDFM1xUiE94IKUNJUS5SQVJFLklRX1BSSUNFX1ZPTF9ISVNUXzZNVEguMy8yNy8yMDI0AQAAAPF6AAcCAAAABzUyLjk0MjkAkUi2EiIT3ggxTNcVIhPeCClDSVEuUlZQSC5JUV9QUklDRV9WT0xfSElTVF82TVRILjMvMjcvMjAyNAEAAACUhJAHAgAAAAgxMTEuNDA1NQCRSLYSIhPeCDFM1xUiE94IKUNJUS5MUENOLklRX1BSSUNFX1ZPTF9ISVNUXzZNVEguMy8yOC8yMDI0AQAAABr0egACAAAABzcyLjI4MDIApZmsEiIT3ggxTNcVIhPe</t>
  </si>
  <si>
    <t>CClDSVEuT0NFQS5JUV9QUklDRV9WT0xfSElTVF82TVRILjMvMjgvMjAyNAEAAAB35eknAgAAAAgyMjUuMjQ1OQClmawSIhPeCGnj1BUiE94IKUNJUS5BUExULklRX1BSSUNFX1ZPTF9ISVNUXzZNVEguMy8yOC8yMDI0AQAAAHuMVCECAAAACDEzNy40NTMxAKWZrBIiE94IaePUFSIT3ggpQ0lRLkNOVFguSVFfUFJJQ0VfVk9MX0hJU1RfNk1USC4zLzI4LzIwMjQBAAAAIJlRGAIAAAAHOTEuNTY1MwClmawSIhPeCGnj1BUiE94IKENJUS5MUURBLklRX1BSSUNFX1ZPTF9ISVNUXzZNVEguNC8xLzIwMjQBAAAAi1BbAQIAAAAHNjQuMzY5NwClmawSIhPeCGnj1BUiE94IKENJUS5JUk9OLklRX1BSSUNFX1ZPTF9ISVNUXzZNVEguNC8xLzIwMjQBAAAATt85JgIAAAAHOTkuOTQ2OQClmawSIhPeCGnj1BUiE94IKENJUS5ST0lWLklRX1BSSUNFX1ZPTF9ISVNUXzZNVEguNC8yLzIwMjQBAAAAOTjPEAIAAAAHNDMuMzMxMQClmawSIhPeCGhx0hUiE94IKENJUS5DUkJQLklRX1BSSUNFX1ZPTF9ISVNUXzZNVEguNC8yLzIwMjQBAAAAJG8kDwIAAAAHMjI1LjgyMwClmawSIhPeCGhx0hUiE94IKENJUS5MRU5aLklRX1BSSUNFX1ZPTF9ISVNUXzZNVEguNC8zLzIwMjQBAAAAlMMPFgMAAAAAAKWZrBIiE94IaHHSFSIT3ggoQ0lRLk5CVFguSVFfUFJJQ0VfVk9MX0hJU1RfNk1USC40LzMvMjAyNAEAAAC7rj8BAgAAAAc4MC4z</t>
  </si>
  <si>
    <t>MDEzAKWZrBIiE94IaHHSFSIT3ggeQ0lRLk5WUy5JUV9MQVNUU0FMRVBSSUNFLjQ1Mjk2AQAAAKm16A8CAAAABDQuNDQAH4+VEyIT3ggi+AYWIhPeCCBDSVEuQUxQTVkuSVFfTEFTVFNBTEVQUklDRS40NTI5OQEAAACRWA0AAwAAAAAAM7aVEyIT3ggi+AYWIhPeCClDSVEuVllORS5JUV9QUklDRV9WT0xfSElTVF82TVRILjEvMTAvMjAyNAEAAAAqXWMAAgAAAAc5OC4zNzA2AKPZlRMiE94IMpAEFiIT3ggfQ0lRLkhBTE8uSVFfTEFTVFNBTEVQUklDRS40NTMwNgEAAABGBXkAAgAAAAUzNC40MwB1G4gTIhPeCDKQBBYiE94IKUNJUS5BREFHLklRX1BSSUNFX1ZPTF9ISVNUXzZNVEguMS8xNi8yMDI0AQAAABAGCwcCAAAABzk4LjYzMTQAdRuIEyIT3ggykAQWIhPeCClDSVEuQ05TUC5JUV9QUklDRV9WT0xfSElTVF82TVRILjEvMTcvMjAyNAEAAABZJCMhAgAAAAgxNDIuMDYyMgB1G4gTIhPeCK8nAhYiE94IH0NJUS5aTEFCLklRX0xBU1RTQUxFUFJJQ0UuNDUzMDgBAAAAdwIpEAIAAAAFMjMuNDIAdRuIEyIT3givJwIWIhPeCB5DSVEuQVpOLklRX0xBU1RTQUxFUFJJQ0UuNDUzMjABAAAAhiMFAAIAAAAGMTA1LjY4AHUbiBMiE94IrycCFiIT3ggfQ0lRLlNYVFAuSVFfTEFTVFNBTEVQUklDRS40NTMyMAEAAAB8QWsOAgAAAAkzMS4wMzIwMTIAdRuIEyIT3giLuf8VIhPeCB9DSVEuRU5TQy5JUV9MQVNUU0FMRVBS</t>
  </si>
  <si>
    <t>SUNFLjQ1MzE1AQAAAD9GFgMCAAAACDE5Ljk0OTk5AHUbiBMiE94Ii7n/FSIT3ggeQ0lRLlNOWS5JUV9MQVNUU0FMRVBSSUNFLjQ1MzE1AQAAABp8CgACAAAABTQ5Ljg5AEgMihMiE94Ii7n/FSIT3ggpQ0lRLkFDWFAuSVFfUFJJQ0VfVk9MX0hJU1RfNk1USC4xLzI5LzIwMjQBAAAAzsxCIQIAAAAIMTMzLjQxMTgASAyKEyIT3ghRHf8VIhPeCClDSVEuS1VSQS5JUV9QUklDRV9WT0xfSElTVF82TVRILjEvMzAvMjAyNAEAAAC4y9oQAgAAAAc3Ny42NTYxACXwUBMiE94I4jL+FSIT3ggpQ0lRLlJISEJZLklRX1BSSUNFX1ZPTF9ISVNUXzZNVEguMi8xLzIwMjQBAAAAJHwKAAMAAAAAAFYXURMiE94I5WH9FSIT3ggoQ0lRLkJSVFguSVFfUFJJQ0VfVk9MX0hJU1RfNk1USC4yLzQvMjAyNAEAAACANHkDAgAAAAc5MS42NDEyAFYXURMiE94IDK78FSIT3ggoQ0lRLkFJTUQuSVFfUFJJQ0VfVk9MX0hJU1RfNk1USC4yLzUvMjAyNAEAAAAnkwUAAgAAAAgxMzUuNzU5NwBWF1ETIhPeCJzq+xUiE94IKENJUS5SQVJFLklRX1BSSUNFX1ZPTF9ISVNUXzZNVEguMi82LzIwMjQBAAAA8XoABwIAAAAHNTIuOTMwMgBWF1ETIhPeCB4Z+xUiE94IH0NJUS5BTEVDLklRX0xBU1RTQUxFUFJJQ0UuNDUzMzYBAAAAa0DbDgIAAAAENi4yNwCSPVETIhPeCL2w+BUiE94IHkNJUS5HU0suSVFfTEFTVFNBTEVQUklDRS40NTMzNwEAAADy</t>
  </si>
  <si>
    <t>MwQAAgAAAAUxNi42MwCSPVETIhPeCL2w+BUiE94IHkNJUS5UQUsuSVFfTEFTVFNBTEVQUklDRS40NTMzOAEAAAAsWA0AAgAAAAUxNC42MgCSPVETIhPeCL2w+BUiE94IKUNJUS5MUk1SLklRX1BSSUNFX1ZPTF9ISVNUXzZNVEguMi8xMi8yMDI0AQAAABdgHSICAAAABzgzLjY4MDIAkj1REyIT3gi9sPgVIhPeCB9DSVEuSkFHWC5JUV9MQVNUU0FMRVBSSUNFLjQ1MzMxAQAAAIy5wwACAAAACjEyNS41NDk3NDgA7WNREyIT3ghdR/YVIhPeCCBDSVEuUEhSUkYuSVFfTEFTVFNBTEVQUklDRS40NTM0MQUAAAAAAAAACAAAABQoSW52YWxpZCBJZGVudGlmaWVyKe1jURMiE94IXUf2FSIT3ggpQ0lRLlJDS1QuSVFfUFJJQ0VfVk9MX0hJU1RfNk1USC4yLzEzLzIwMjQBAAAAQFaBGQIAAAAHNjguNzE3OQDtY1ETIhPeCF1H9hUiE94IHkNJUS5YQkkuSVFfTEFTVFNBTEVQUklDRS40NTI5MgEAAADKQJgBAgAAAAU4OS4yOQDvD8cTIhPeCBBlDxYiE94IHkNJUS5YQkkuSVFfTEFTVFNBTEVQUklDRS40NTI5NAEAAADKQJgBAgAAAAQ4OC4yAO8PxxMiE94IEGUPFiIT3ggeQ0lRLlhCSS5JUV9MQVNUU0FMRVBSSUNFLjQ1MzAwAQAAAMpAmAECAAAABDkzLjYA7w/HEyIT3ggQZQ8WIhPeCCtDSVEuU05EWC5JUV9TSE9SVF9JTlRFUkVTVF9QRVJDRU5ULjEvMi8yMDI0AQAAAMqmnwECAAAADzEyLjE4NjY2NTY5MTMwNwDvD8cT</t>
  </si>
  <si>
    <t>IhPeCBBlDxYiE94IIUNJUS5TTkRYLklRX0JFVEFfMVlSX1JTUS4xLzIvMjAyNAEAAADKpp8BAgAAABEwLjMyMjMwMzA1NzEzMjA1NQBhS8YTIhPeCBBlDxYiE94IIUNJUS5TTkRYLklRX1ZBTFVFX1RSQURFRC4xLzIvMjAyNAEAAADKpp8BAgAAAAkyNy40MjIyOTkA7w/HEyIT3ggQZQ8WIhPeCB5DSVEuWEJJLklRX0xBU1RTQUxFUFJJQ0UuNDUzOTcBAAAAykCYAQIAAAAFODYuMzUAxTlsEiIT3ggupM0VIhPeCB5DSVEuWEJJLklRX0xBU1RTQUxFUFJJQ0UuNDUzOTkBAAAAykCYAQIAAAAFODQuNjUAxTlsEiIT3ggj9scVIhPeCB5DSVEuWEJJLklRX0xBU1RTQUxFUFJJQ0UuNDU0MDQBAAAAykCYAQIAAAAFODMuNzUAou0rEiIT3ghoQsQVIhPeCCJDSVEuQVJHWC5JUV9WQUxVRV9UUkFERUQuNC8xNi8yMDI0AQAAAL3iswMCAAAACTIzLjU1NjE5OQCi7SsSIhPeCGhCxBUiE94IIkNJUS5STkFaLklRX0JFVEFfMVlSX1JTUS40LzE1LzIwMjQBAAAAGSGWIAIAAAASMC4wMDUyMTU4NjI1NTg4MzUxAKLtKxIiE94IaELEFSIT3gghQ0lRLk5UQkwuSVFfQkVUQV8xWVJfUlNRLjQvOS8yMDI0AQAAAALtWgADAAAAAADFOWwSIhPeCM7WyBUiE94IIUNJUS5JR1hULklRX0JFVEFfMVlSX1JTUS40LzUvMjAyNAEAAAAEqMsBAwAAAAAApZmsEiIT3gh+B9AVIhPeCCBDSVEuTExZLklRX0JFVEFfMVlSX1JTUS40LzIvMjAy</t>
  </si>
  <si>
    <t>NAEAAAAbWwQAAgAAABMwLjAwMzkwOTc0NjUyMzk0NzYyAKWZrBIiE94IaePUFSIT3gghQ0lRLkJDWUMuSVFfQkVUQV8xWVJfUlNRLjQvOS8yMDI0AQAAAJ1sUgQCAAAAETAuMTMyNjI5MTA3MDQ3ODM5AMU5bBIiE94II/bHFSIT3gghQ0lRLklQSEEuSVFfQkVUQV8xWVJfUlNRLjQvOS8yMDI0AQAAAJmABgADAAAAAADFOWwSIhPeCMMayRUiE94IIkNJUS5MQlBILklRX0JFVEFfMVlSX1JTUS40LzE1LzIwMjQFAAAAAAAAAAgAAAAUKEludmFsaWQgSWRlbnRpZmllcimi7SsSIhPeCGhCxBUiE94IIkNJUS5CT0xELklRX0JFVEFfMVlSX1JTUS40LzExLzIwMjQBAAAAg6QBJgMAAAAAAKLtKxIiE94IaELEFSIT3gghQ0lRLlZOREEuSVFfQkVUQV8xWVJfUlNRLjQvMi8yMDI0AQAAACOHdgECAAAAEzAuMDA4MjQzODAxNzU5NzM0NTMApZmsEiIT3ghocdIVIhPeCCJDSVEuQVRYUy5JUV9CRVRBXzFZUl9SU1EuMy8yNS8yMDI0AQAAAAghAgYCAAAAEjAuMDUwOTgzOTkxOTMyNzU1OACRSLYSIhPeCNaz2RUiE94IIENJUS5OVlMuSVFfQkVUQV8xWVJfUlNRLjQvOC8yMDI0AQAAAKm16A8CAAAAFDAuMDAwNTYwODg2NzEwMTY3Mzc0AMU5bBIiE94IWaTLFSIT3gghQ0lRLkNSVlMuSVFfQkVUQV8xWVJfUlNRLjQvOS8yMDI0AQAAAPSwphACAAAAEzAuMDA5ODYwOTA1OTQ1MzMzODEAxTlsEiIT3ghOt8kVIhPeCB5DSVEu</t>
  </si>
  <si>
    <t>WEJJLklRX0xBU1RTQUxFUFJJQ0UuNDU0MDUBAAAAykCYAQIAAAAFODQuNjkAou0rEiIT3ghoQsQVIhPeCCxDSVEuQ0xZTS5JUV9TSE9SVF9JTlRFUkVTVF9QRVJDRU5ULjQvMTEvMjAyNAEAAADKCfQjAgAAABIwLjA0NzEzNDMwNjg4NjA1OTEAou0rEiIT3ghoQsQVIhPeCB5DSVEuWEJJLklRX0xBU1RTQUxFUFJJQ0UuNDUzNzIBAAAAykCYAQIAAAAEOTUuMgAIueMSIhPeCATB4BUiE94IHkNJUS5YQkkuSVFfTEFTVFNBTEVQUklDRS40NTM4MAEAAADKQJgBAgAAAAU5NC44OQCRSLYSIhPeCLry3BUiE94IK0NJUS5CQ1lDLklRX1NIT1JUX0lOVEVSRVNUX1BFUkNFTlQuNC85LzIwMjQBAAAAnWxSBAIAAAAQNS45NzAzNDY5NTY0MTMyMQDFOWwSIhPeCCP2xxUiE94IIkNJUS5BTFBOLklRX1ZBTFVFX1RSQURFRC40LzEwLzIwMjQBAAAA2ZBmAAIAAAAIMC4wMzk3MTkAou0rEiIT3ghoQsQVIhPeCB5DSVEuWEJJLklRX0xBU1RTQUxFUFJJQ0UuNDUzOTQBAAAAykCYAQIAAAAFODguMTUAJAevEiIT3gh+B9AVIhPeCB5DSVEuWEJJLklRX0xBU1RTQUxFUFJJQ0UuNDUzOTgBAAAAykCYAQIAAAAFODUuNjEAxTlsEiIT3ghbKssVIhPeCB5DSVEuWEJJLklRX0xBU1RTQUxFUFJJQ0UuNDU0MDABAAAAykCYAQIAAAAFODMuNDgAou0rEiIT3ghoQsQVIhPeCCxDSVEuTVJOQS5JUV9TSE9SVF9JTlRFUkVTVF9QRVJDRU5U</t>
  </si>
  <si>
    <t>LjMvMjcvMjAyNAEAAAD8g6sHAgAAABA1LjgwNTI1MTEyOTQzMzM0AJFIthIiE94IMUzXFSIT3ggqQ0lRLkxMWS5JUV9TSE9SVF9JTlRFUkVTVF9QRVJDRU5ULjQvOS8yMDI0AQAAABtbBAACAAAAETAuNjAxNzgzOTcwMzMzNjk3AMU5bBIiE94IWyrLFSIT3ggeQ0lRLlhCSS5JUV9MQVNUU0FMRVBSSUNFLjQ1MzkwAQAAAMpAmAECAAAABDkwLjQAJAevEiIT3ghp49QVIhPeCCxDSVEuTVJOUy5JUV9TSE9SVF9JTlRFUkVTVF9QRVJDRU5ULjQvMTUvMjAyNAEAAAAhFjcBAwAAAAAAou0rEiIT3ghoQsQVIhPeCCJDSVEuT05WTy5JUV9WQUxVRV9UUkFERUQuNC8xNS8yMDI0AQAAAEVkXAYDAAAAAACi7SsSIhPeCGhCxBUiE94IKkNJUS5IQ00uSVFfU0hPUlRfSU5URVJFU1RfUEVSQ0VOVC40LzUvMjAyNAEAAAC7r5YBAwAAAAAApZmsEiIT3gh+B9AVIhPeCB5DSVEuWEJJLklRX0xBU1RTQUxFUFJJQ0UuNDUzOTEBAAAAykCYAQIAAAAFOTEuNjQApZmsEiIT3ghp49QVIhPeCB5DSVEuWEJJLklRX0xBU1RTQUxFUFJJQ0UuNDUzODQBAAAAykCYAQIAAAAFOTAuNjgAkUi2EiIT3gjWs9kVIhPeCB5DSVEuWEJJLklRX0xBU1RTQUxFUFJJQ0UuNDUzODMBAAAAykCYAQIAAAAFOTMuODUAkUi2EiIT3gjWs9kVIhPeCB5DSVEuWEJJLklRX0xBU1RTQUxFUFJJQ0UuNDUzODUBAAAAykCYAQIAAAAFOTEuMDQAkUi2EiIT3ggx</t>
  </si>
  <si>
    <t>TNcVIhPeCCxDSVEuQUxLUy5JUV9TSE9SVF9JTlRFUkVTVF9QRVJDRU5ULjQvMTAvMjAyNAEAAAD8XwAAAgAAABA4LjQ3MzUzOTE2MDU3MjcxAKLtKxIiE94IlFnHFSIT3gghQ0lRLkVOVFguSVFfVkFMVUVfVFJBREVELjQvOC8yMDI0AQAAAC6mYAYCAAAACDAuNzA0MDgzAMU5bBIiE94IPWfMFSIT3ggeQ0lRLlhCSS5JUV9MQVNUU0FMRVBSSUNFLjQ1MzkyAQAAAMpAmAECAAAABTg5Ljk1AKWZrBIiE94IaHHSFSIT3ggeQ0lRLlhCSS5JUV9MQVNUU0FMRVBSSUNFLjQ1MzkzAQAAAMpAmAECAAAABTkxLjI4AKWZrBIiE94IaHHSFSIT3ggiQ0lRLkNPUlQuSVFfVkFMVUVfVFJBREVELjQvMTUvMjAyNAEAAADSuRUAAgAAAAkxNi43NzAzOTIAou0rEiIT3ghoQsQVIhPeCB5DSVEuWEJJLklRX0xBU1RTQUxFUFJJQ0UuNDUzNzEBAAAAykCYAQIAAAAFOTUuMTYA5irmEiIT3gjKKOMVIhPeCB5DSVEuWEJJLklRX0xBU1RTQUxFUFJJQ0UuNDUzNzMBAAAAykCYAQIAAAAFOTMuNTYACLnjEiIT3ggEweAVIhPeCB5DSVEuWEJJLklRX0xBU1RTQUxFUFJJQ0UuNDUzNzcBAAAAykCYAQIAAAAFOTIuNjkA5irmEiIT3gjgwN4VIhPeCCFDSVEuTUlTVC5JUV9WQUxVRV9UUkFERUQuNC84LzIwMjQBAAAAM+0nAgIAAAAIMC40NTAyMTkAxTlsEiIT3ggupM0VIhPeCCtDSVEuQ1JWUy5JUV9TSE9SVF9JTlRFUkVTVF9QRVJDRU5U</t>
  </si>
  <si>
    <t>LjQvOS8yMDI0AQAAAPSwphACAAAAEDIuODUwMDQ5NzgzMjUwMjYAxTlsEiIT3ghOt8kVIhPeCCJDSVEuQk9MRC5JUV9WQUxVRV9UUkFERUQuNC8xMS8yMDI0AQAAAIOkASYCAAAACDEuODE5NDQ0AKLtKxIiE94IaELEFSIT3gggQ0lRLllTLklRX1ZBTFVFX1RSQURFRC40LzEwLzIwMjQBAAAAeNFaDAMAAAAAAMU5bBIiE94II/bHFSIT3ggrQ0lRLk5WUy5JUV9TSE9SVF9JTlRFUkVTVF9QRVJDRU5ULjQvMTUvMjAyNAEAAACptegPAwAAAAAAou0rEiIT3ghoQsQVIhPeCCFDSVEuSU5LVC5JUV9CRVRBXzFZUl9SU1EuNC84LzIwMjQBAAAAxNEWZAIAAAASMC4wMTY1NTY5MjE3MDM2MjA3AMU5bBIiE94ILqTNFSIT3gghQ0lRLkFJTS5JUV9CRVRBXzFZUl9SU1EuNC8xMC8yMDI0AQAAAHOgrigCAAAAEjAuMDE5NTAxMzc2NDk3NzgxMQCi7SsSIhPeCJRZxxUiE94IIUNJUS5SSUdMLklRX0JFVEFfMVlSX1JTUS40LzgvMjAyNAEAAAA7hAAAAgAAABEwLjExNDg4MzUyMDUxNjM5OADFOWwSIhPeCLTczBUiE94IIkNJUS5IQUxPLklRX0JFVEFfMVlSX1JTUS40LzE2LzIwMjQBAAAARgV5AAIAAAARMC4yMTQwNTk3NDc4MzI4NDYAou0rEiIT3ghoQsQVIhPeCCFDSVEuVFBTVC5JUV9CRVRBXzFZUl9SU1EuNC85LzIwMjQBAAAA3cPxIAIAAAAUMC4wMDAxMDMzMTY2ODcxNzQ3NzYAxTlsEiIT3giyScoVIhPeCCJDSVEu</t>
  </si>
  <si>
    <t>Q1JCVS5JUV9CRVRBXzFZUl9SU1EuNC8xMC8yMDI0AQAAAC9HORACAAAAEjAuMDQ5NTkzMTQ2OTc2NDUxOQCi7SsSIhPeCGhCxBUiE94IIkNJUS5DTFlNLklRX0JFVEFfMVlSX1JTUS40LzExLzIwMjQBAAAAygn0IwIAAAAUMS43NDg0NzQyNjY5MDk2M0UtMDUAou0rEiIT3ghoQsQVIhPeCCFDSVEuQUxULklRX0JFVEFfMVlSX1JTUS4zLzI3LzIwMjQBAAAA90JKAAIAAAARMC4wMzU1OTI4MDYwOTE2NTkAkUi2EiIT3ggxTNcVIhPeCCJDSVEuQVJHWC5JUV9CRVRBXzFZUl9SU1EuNC8xNi8yMDI0AQAAAL3iswMCAAAAEzAuMDAxNDA0NjAwODUzMDgzNTQAou0rEiIT3ghoQsQVIhPeCCFDSVEuSU9CVC5JUV9CRVRBXzFZUl9SU1EuNC85LzIwMjQBAAAA4Hd0ZAIAAAASMC4wNjMzNzkwNTM4NzkyMTk4AMU5bBIiE94I8ZfKFSIT3ggiQ0lRLkxHTkQuSVFfQkVUQV8xWVJfUlNRLjQvMTUvMjAyNAEAAABkeAAAAgAAABEwLjI2NzMxNDIzMzM1MzAzMwCi7SsSIhPeCGhCxBUiE94IKkNJUS5CTVkuSVFfU0hPUlRfSU5URVJFU1RfUEVSQ0VOVC40LzUvMjAyNAEAAADGZAAAAgAAABAxLjgzODExNTQ5NTY1NzMxAKWZrBIiE94IfgfQFSIT3ggsQ0lRLkVXVFguSVFfU0hPUlRfSU5URVJFU1RfUEVSQ0VOVC40LzE1LzIwMjQBAAAA0jZ/IwIAAAAQNi4xMjgwOTQyNDA3MzU5MQCi7SsSIhPeCGhCxBUiE94ILENJUS5WSVJY</t>
  </si>
  <si>
    <t>LklRX1NIT1JUX0lOVEVSRVNUX1BFUkNFTlQuNC8xNS8yMDI0AQAAAC3TTgIDAAAAAACi7SsSIhPeCGhCxBUiE94IKkNJUS5BWk4uSVFfU0hPUlRfSU5URVJFU1RfUEVSQ0VOVC40LzUvMjAyNAEAAACGIwUAAwAAAAAAJAevEiIT3gh+B9AVIhPeCCtDSVEuQU1STi5JUV9TSE9SVF9JTlRFUkVTVF9QRVJDRU5ULjQvNi8yMDI0AQAAADc5BgACAAAAEDQuNDI5NDkzNTc2MTM1NDkAJAevEiIT3gj+cs8VIhPeCCtDSVEuVFBTVC5JUV9TSE9SVF9JTlRFUkVTVF9QRVJDRU5ULjQvOS8yMDI0AQAAAN3D8SACAAAADzQuMzY5NTk3NjUyODMyNwDFOWwSIhPeCLJJyhUiE94IIUNJUS5BSU0uSVFfVkFMVUVfVFJBREVELjQvMTAvMjAyNAEAAABzoK4oAgAAAAgwLjA0MjgxMwCi7SsSIhPeCJRZxxUiE94IIkNJUS5WSVJYLklRX1ZBTFVFX1RSQURFRC40LzE1LzIwMjQBAAAALdNOAgMAAAAAAKLtKxIiE94IaELEFSIT3ggrQ0lRLkxRREEuSVFfU0hPUlRfSU5URVJFU1RfUEVSQ0VOVC40LzEvMjAyNAEAAACLUFsBAgAAABA5LjU0MzE1Njk2NDEwNzQzAKWZrBIiE94IaePUFSIT3gghQ0lRLkFUTk0uSVFfVkFMVUVfVFJBREVELjQvMS8yMDI0AQAAAJu3dwACAAAACDUuMzcwMzgxAKWZrBIiE94IaePUFSIT3ggeQ0lRLlhCSS5JUV9MQVNUU0FMRVBSSUNFLjQ1Mzg3AQAAAMpAmAECAAAABTkwLjE4ACQHrxIiE94IaHHSFSIT</t>
  </si>
  <si>
    <t>3ggsQ0lRLkNSQlUuSVFfU0hPUlRfSU5URVJFU1RfUEVSQ0VOVC40LzEwLzIwMjQBAAAAL0c5EAIAAAAQMTEuMjk1NzY3NDQyNzA1NgCi7SsSIhPeCGhCxBUiE94IHkNJUS5YQkkuSVFfTEFTVFNBTEVQUklDRS40NTM3NgEAAADKQJgBAgAAAAU5Mi42NwAIueMSIhPeCODA3hUiE94IK0NJUS5DQ0NDLklRX1NIT1JUX0lOVEVSRVNUX1BFUkNFTlQuNC84LzIwMjQBAAAABM4qEwIAAAAQNy43MDY5NzI5NDUxMTgwNwDFOWwSIhPeCAdAzBUiE94IK0NJUS5JT0JULklRX1NIT1JUX0lOVEVSRVNUX1BFUkNFTlQuNC85LzIwMjQBAAAA4Hd0ZAIAAAARMC4xMDM1MjQ2NzE4MDQwMzcAxTlsEiIT3gjxl8oVIhPeCCxDSVEuUk5BWi5JUV9TSE9SVF9JTlRFUkVTVF9QRVJDRU5ULjQvMTUvMjAyNAEAAAAZIZYgAgAAABEwLjY4ODAyNTQwOTcwNTY0OACi7SsSIhPeCGhCxBUiE94IIkNJUS5BUFZPLklRX0JFVEFfMVlSX1JTUS40LzEwLzIwMjQBAAAAlO6+EwIAAAASMC4wMzcwMTI3MjE3MDUyMTk1AKLtKxIiE94IS6rGFSIT3ggiQ0lRLlRGRlAuSVFfQkVUQV8xWVJfUlNRLjQvMTUvMjAyNAEAAADqNAsAAwAAAAAAou0rEiIT3ghoQsQVIhPeCCJDSVEuUFBCVC5JUV9CRVRBXzFZUl9SU1EuMy8yOC8yMDI0AQAAAC2iNgECAAAAEjAuMDUwMTM5ODM1Nzg4MDA3OQClmawSIhPeCGnj1BUiE94IIUNJUS5DT1JULklRX0JFVEFf</t>
  </si>
  <si>
    <t>MVlSX1JTUS40LzEvMjAyNAEAAADSuRUAAgAAABIwLjAxMDgyNDU1NDg0Mjc4MTUApZmsEiIT3ghp49QVIhPeCCFDSVEuU1BSWS5JUV9CRVRBXzFZUl9SU1EuNC8zLzIwMjQBAAAAB6bhIgIAAAARMC4xNDA3ODY3MTU1MTcyMjcApZmsEiIT3ghocdIVIhPeCCFDSVEuQUxOWS5JUV9CRVRBXzFZUl9SU1EuNC83LzIwMjQBAAAAc6wqAAIAAAARMC4yMjc1NTg5NzE3OTA2NjQAxTlsEiIT3ggupM0VIhPeCCFDSVEuQUdFTi5JUV9CRVRBXzFZUl9SU1EuNC84LzIwMjQBAAAAZEEGAAIAAAASMC4wNDI2MTYyMjI2NTY0OTE4AMU5bBIiE94Iw1XNFSIT3gghQ0lRLk9SSUMuSVFfQkVUQV8xWVJfUlNRLjQvOC8yMDI0AQAAAFRLGhICAAAAETAuMTIzMzkzNjk2MTg3NDczAMU5bBIiE94IbLXMFSIT3gghQ0lRLkNWS0QuSVFfQkVUQV8xWVJfUlNRLjQvOS8yMDI0AQAAADKP4WoCAAAAEjAuMDIyMjI2OTA3NTc0NDA5NgDFOWwSIhPeCH1uyxUiE94IIENJUS5MTFkuSVFfQkVUQV8xWVJfUlNRLjQvOS8yMDI0AQAAABtbBAACAAAAEzAuMDA1ODI0MDU0NzUxNjg5NzgAxTlsEiIT3ghbKssVIhPeCCFDSVEuQkNUWC5JUV9CRVRBXzFZUl9SU1EuNC85LzIwMjQBAAAA9tyhDwMAAAAAAMU5bBIiE94IDWnJFSIT3ggiQ0lRLlZTVE0uSVFfQkVUQV8xWVJfUlNRLjQvMTAvMjAyNAEAAAAoN+gGAgAAABIwLjAxODkzOTA0NjI1NTQ1</t>
  </si>
  <si>
    <t>MDMAxTlsEiIT3gjfp8cVIhPeCCJDSVEuUFJUQy5JUV9CRVRBXzFZUl9SU1EuNC8xMS8yMDI0AQAAABYAjQACAAAAEjAuMDkwNjg2OTA0NTA3NjAyNwCi7SsSIhPeCGhCxBUiE94IIkNJUS5URUxPLklRX0JFVEFfMVlSX1JTUS40LzE1LzIwMjQBAAAAxOMsbQIAAAASMC4wOTUzMjA0MDc2MDgyMDA0AKLtKxIiE94IaELEFSIT3gghQ0lRLlZUVlQuSVFfQkVUQV8xWVJfUlNRLjMvNC8yMDI0AQAAAB2jHxICAAAAFDAuMDAwNTEwMDYxNzYxOTU5MDIyAPu4FRMiE94INtfrFSIT3gghQ0lRLk1SSy5JUV9CRVRBXzFZUl9SU1EuMy8yMS8yMDI0AQAAAPZmBAACAAAAEjAuMDAwMzcyODQzMzYzMzQ1NQCRSLYSIhPeCBdo3RUiE94IIkNJUS5SWVRNLklRX0JFVEFfMVlSX1JTUS4zLzI1LzIwMjQBAAAAGMltEgIAAAARMC4xNjY4NTYyMjU0NTY1MDkAkUi2EiIT3gjWs9kVIhPeCCFDSVEuTVJLLklRX0JFVEFfMVlSX1JTUS4zLzI2LzIwMjQBAAAA9mYEAAIAAAAUMC4wMDA5OTMwNzkwNTUyMjk5NTIAkUi2EiIT3ggxTNcVIhPeCCJDSVEuQVZUWC5JUV9CRVRBXzFZUl9SU1EuMy8yNy8yMDI0AQAAAAhNqQgCAAAAFDAuMDAwMjUxMzEzNjI2Njc2NzMzAJFIthIiE94IMUzXFSIT3ggiQ0lRLkRTTktZLklRX0JFVEFfMVlSX1JTUS40LzMvMjAyNAEAAAA5mWkBAwAAAAAApZmsEiIT3ghocdIVIhPeCCFDSVEuQUNITC5JUV9C</t>
  </si>
  <si>
    <t>RVRBXzFZUl9SU1EuNC80LzIwMjQBAAAAhJdgAQMAAAAAAKWZrBIiE94IaHHSFSIT3gghQ0lRLkFNTFguSVFfQkVUQV8xWVJfUlNRLjQvNC8yMDI0AQAAAAag5xICAAAAEjAuMDI3NTA1MzYyMTQyMDUzOQClmawSIhPeCH4H0BUiE94IIUNJUS5JT05TLklRX0JFVEFfMVlSX1JTUS40LzcvMjAyNAEAAABcdgAAAgAAABEwLjE1OTkyMjg3ODA3ODQ1MwDFOWwSIhPeCC6kzRUiE94IIUNJUS5NUlVTLklRX0JFVEFfMVlSX1JTUS40LzgvMjAyNAEAAAAQZHwBAgAAABEwLjI1Mzk0MTg0NDI2MTc5OADFOWwSIhPeCC6kzRUiE94IIUNJUS5CTVJOLklRX0JFVEFfMVlSX1JTUS40LzgvMjAyNAEAAAAFZAAAAgAAABIwLjA1ODc5MDAxMDI0MDg1NDgAxTlsEiIT3ggupM0VIhPeCCFDSVEuTVRFTS5JUV9CRVRBXzFZUl9SU1EuNC85LzIwMjQBAAAAmZupAQMAAAAAAMU5bBIiE94IEdzKFSIT3gggQ0lRLk9OQy5JUV9CRVRBXzFZUl9SU1EuNC85LzIwMjQBAAAA4OTdBgIAAAAQMC4xMDU3Nzk4NzQ1MjE3OQDFOWwSIhPeCKqSyBUiE94IIkNJUS5SRUdOLklRX0JFVEFfMVlSX1JTUS40LzEwLzIwMjQBAAAAs4MAAAIAAAAQMC4xMTYwMTU5NzIxNzk1NwCi7SsSIhPeCEQLxxUiE94IIUNJUS5GQklPLklRX0JFVEFfMVlSX1JTUS4zLzcvMjAyNAEAAAAJ8q0DAgAAABIwLjA5ODM5MDAwOTkxODIzNjgA+7gVEyIT3givkeUVIhPe</t>
  </si>
  <si>
    <t>CCJDSVEuVFZUWC5JUV9CRVRBXzFZUl9SU1EuMy8xMS8yMDI0AQAAAEHU9QcCAAAAETAuMTQzOTgxNDAwNTYwMjM0AAi54xIiE94IyijjFSIT3ggiQ0lRLkdFUk4uSVFfQkVUQV8xWVJfUlNRLjMvMTQvMjAyNAEAAAA4SwMAAgAAABIwLjAxMTgzNDc1NjAwMTcxMzkACLnjEiIT3ggEweAVIhPeCCJDSVEuQ1JOWC5JUV9CRVRBXzFZUl9SU1EuMy8xOS8yMDI0AQAAAP9fuRACAAAAEzAuMDA2MTc1NjI3NzAyMTk2NDcACLnjEiIT3gjgwN4VIhPeCCBDSVEuQVpOLklRX0JFVEFfMVlSX1JTUS40LzEvMjAyNAEAAACGIwUAAgAAABEwLjIxODg1MzAxMDI5OTMwOAClmawSIhPeCGnj1BUiE94IIUNJUS5WVEdOLklRX0JFVEFfMVlSX1JTUS40LzEvMjAyNAEAAAALXnUAAgAAABIwLjAwMTA2NTg5ODY4NjcxMDUApZmsEiIT3ghp49QVIhPeCCFDSVEuVkVSVi5JUV9CRVRBXzFZUl9SU1EuNC8yLzIwMjQBAAAALlsNAAMAAAAAAKWZrBIiE94IaHHSFSIT3gghQ0lRLkNSQlAuSVFfQkVUQV8xWVJfUlNRLjQvMi8yMDI0AQAAACRvJA8CAAAAEzAuMDAxMjAwMTIwMzkyNzU3NzcApZmsEiIT3ghocdIVIhPeCCFDSVEuVEFSQS5JUV9CRVRBXzFZUl9SU1EuNC81LzIwMjQBAAAA+KGJIAIAAAASMC4wOTQ1NDUyMDE5MjM4NzA0AKWZrBIiE94IfgfQFSIT3gghQ0lRLkxFR04uSVFfQkVUQV8xWVJfUlNRLjQvNS8yMDI0AQAAAGwj</t>
  </si>
  <si>
    <t>8yACAAAAEjAuMDMzNjkyMDM2MjAzNzM5MQClmawSIhPeCP5yzxUiE94IIUNJUS5DQURMLklRX0JFVEFfMVlSX1JTUS40LzgvMjAyNAEAAACrWjoCAgAAABEwLjAxNTk0NzQwOTg3OTAxMQDFOWwSIhPeCC6kzRUiE94IIUNJUS5DSFJTLklRX0JFVEFfMVlSX1JTUS40LzgvMjAyNAEAAADHelUMAgAAABIwLjA1NjUzMTI5NDkxOTA2MDEAxTlsEiIT3gg9Z8wVIhPeCCJDSVEuV0hXSy5JUV9CRVRBXzFZUl9SU1EuNC8xMC8yMDI0AQAAAF+3pBkCAAAAFDIuNTM1NzY4Mzg4NzYxMTNFLTA2AMU5bBIiE94II/bHFSIT3ggiQ0lRLktSWVMuSVFfQkVUQV8xWVJfUlNRLjQvMTAvMjAyNAEAAAAoJ9UfAgAAABEwLjAxNDQ0NzMzNTU3MzcwNgCi7SsSIhPeCGhCxBUiE94IIkNJUS5FV1RYLklRX0JFVEFfMVlSX1JTUS40LzE1LzIwMjQBAAAA0jZ/IwIAAAASMC4wMjQyODAyOTA0NDQ4NTcyAKLtKxIiE94IaELEFSIT3gghQ0lRLkNWTS5JUV9CRVRBXzFZUl9SU1EuMy8xOS8yMDI0AQAAALryAwACAAAAETAuMTU0MTc1MjQ4NjU1MTU4AJFIthIiE94IVFLeFSIT3gghQ0lRLkNEVFguSVFfQkVUQV8xWVJfUlNRLjQvNS8yMDI0AQAAAOjf3g8CAAAAEzAuMDAyMDA0Mjg5NzY2MjM2ODgApZmsEiIT3gh+B9AVIhPeCCFDSVEuUFNUWC5JUV9CRVRBXzFZUl9SU1EuNC84LzIwMjQBAAAASrkFAAMAAAAAAMU5bBIiE94ILqTNFSIT</t>
  </si>
  <si>
    <t>3gghQ0lRLkNPUlQuSVFfQkVUQV8xWVJfUlNRLjQvOC8yMDI0AQAAANK5FQACAAAAEjAuMDExNjUxMzE4NzkwODY4MQDFOWwSIhPeCCEZzBUiE94IIENJUS5BWk4uSVFfQkVUQV8xWVJfUlNRLjQvOS8yMDI0AQAAAIYjBQACAAAAEDAuMjI3NjU2ODQ3NDY4MTcAxTlsEiIT3giSBcoVIhPeCCFDSVEuQUxYTy5JUV9CRVRBXzFZUl9SU1EuNC85LzIwMjQBAAAAkAP/EQIAAAARMC4xMDczNjUxMjQ4ODM5MzQAxTlsEiIT3gjDGskVIhPeCCBDSVEuUEZFLklRX0JFVEFfMVlSX1JTUS40LzkvMjAyNAEAAADeeQIAAgAAABIwLjAzMzY2ODU4ODgyNzIzODEAxTlsEiIT3giqksgVIhPeCCJDSVEuQkNUWC5JUV9CRVRBXzFZUl9SU1EuNC8xMC8yMDI0AQAAAPbcoQ8DAAAAAACi7SsSIhPeCEQLxxUiE94IIUNJUS5BWk4uSVFfQkVUQV8xWVJfUlNRLjQvMTEvMjAyNAEAAACGIwUAAgAAABAwLjIyNzY1Njg0NzQ2ODE3AKLtKxIiE94IaELEFSIT3ggiQ0lRLkhPVEguSVFfQkVUQV8xWVJfUlNRLjMvMTkvMjAyNAEAAABQYusZAgAAABIwLjAzMDY3ODg0MzEzMTMwNzgAkUi2EiIT3gjgwN4VIhPeCCJDSVEuSVZWRC5JUV9CRVRBXzFZUl9SU1EuMy8yMi8yMDI0AQAAAIKDXigCAAAAEzAuMDAxMzYwNDA1Njk0MzQzNTIAkUi2EiIT3gh3fdwVIhPeCCBDSVEuSENNLklRX0JFVEFfMVlSX1JTUS40LzUvMjAyNAEAAAC7r5YBAgAA</t>
  </si>
  <si>
    <t>ABIwLjA4NDc2MzUwNzE1NTU5MjYApZmsEiIT3gh+B9AVIhPeCCBDSVEuWExPLklRX0JFVEFfMVlSX1JTUS40LzcvMjAyNAEAAAA8jMYVAgAAABMwLjAwODcwODk3MDkyOTcxNjMzAMU5bBIiE94I/nLPFSIT3gghQ0lRLkVXVFguSVFfQkVUQV8xWVJfUlNRLjQvNy8yMDI0AQAAANI2fyMCAAAAEjAuMDIxMTM5MjkzMTE0MTY2MwDFOWwSIhPeCC6kzRUiE94IIENJUS5QVE4uSVFfQkVUQV8xWVJfUlNRLjQvOC8yMDI0AQAAAAgv3AwCAAAAEzAuMDAxNzg0NDI3NzMxNDA4NDEAxTlsEiIT3gi03MwVIhPeCCFDSVEuTlhUQy5JUV9CRVRBXzFZUl9SU1EuNC84LzIwMjQBAAAAVRopEwIAAAARMC4wNjk4ODE4NjkzMTE0ODgAxTlsEiIT3ghZpMsVIhPeCCFDSVEuSU1SWC5JUV9CRVRBXzFZUl9SU1EuNC85LzIwMjQBAAAA1Q5hEgIAAAARMC4xNjQyMjM1NjcxMTIxOTcAxTlsEiIT3ghbKssVIhPeCCFDSVEuUkFQVC5JUV9CRVRBXzFZUl9SU1EuNC85LzIwMjQBAAAA0CBWEAIAAAASMC4wNzg3MTk2NjQ0ODAyMTAyAMU5bBIiE94I8ZfKFSIT3gghQ0lRLkFQUkUuSVFfQkVUQV8xWVJfUlNRLjQvOS8yMDI0AQAAAKvTqBMCAAAAEjAuMDY5NjI3ODAzNjg1MjE2NADFOWwSIhPeCCP2xxUiE94IIkNJUS5WUlRYLklRX0JFVEFfMVlSX1JTUS40LzEwLzIwMjQBAAAAi40AAAIAAAARMC4xOTIwOTEzNTI3NjkwOTQAou0rEiIT</t>
  </si>
  <si>
    <t>3ghoQsQVIhPeCCJDSVEuT05WTy5JUV9CRVRBXzFZUl9SU1EuNC8xNS8yMDI0AQAAAEVkXAYDAAAAAACi7SsSIhPeCGhCxBUiE94IIUNJUS5aTEFCLklRX0JFVEFfMVlSX1JTUS4zLzYvMjAyNAEAAAB3AikQAgAAABEwLjE4ODA1MDgzODU5MTAwMgD7uBUTIhPeCI/55xUiE94IIkNJUS5QSElPLklRX0JFVEFfMVlSX1JTUS4zLzEzLzIwMjQBAAAAOQZnCAIAAAATMC4wMDcyNTczMzIwMTAxMzgxMQAIueMSIhPeCATB4BUiE94IIUNJUS5YTE8uSVFfQkVUQV8xWVJfUlNRLjMvMjgvMjAyNAEAAAA8jMYVAgAAABMwLjAwNTI1NzU3NTc1MzU2MDY1AKWZrBIiE94IaePUFSIT3gghQ0lRLkRUSUwuSVFfQkVUQV8xWVJfUlNRLjQvNC8yMDI0AQAAAOjlcQICAAAAETAuMjA4NzkzNzQ4NDI4NzQyAKWZrBIiE94IfgfQFSIT3gghQ0lRLkNSREYuSVFfQkVUQV8xWVJfUlNRLjQvOC8yMDI0AQAAALw6pwACAAAAEjAuMDE3ODIyMzQ1ODA5MTg2MwDFOWwSIhPeCC6kzRUiE94IIUNJUS5BRENULklRX0JFVEFfMVlSX1JTUS40LzgvMjAyNAEAAACao+kKAgAAABIwLjAzMTM0MDA0Nzc1MjU0MDYAxTlsEiIT3gjDVc0VIhPeCCJDSVEuQUNSVi5JUV9CRVRBXzFZUl9SU1EuNC8xMC8yMDI0AQAAAIlD5yYCAAAAEjAuMDIwNDg1MDU5MTQzMzAxNwCi7SsSIhPeCJRZxxUiE94IIkNJUS5QVElYLklRX0JFVEFfMVlSX1JTUS4zLzI3</t>
  </si>
  <si>
    <t>LzIwMjQBAAAAc69tcAMAAAAAAJFIthIiE94IMUzXFSIT3gghQ0lRLkxFTlouSVFfQkVUQV8xWVJfUlNRLjQvMy8yMDI0AQAAAJTDDxYDAAAAAAClmawSIhPeCGhx0hUiE94IIUNJUS5QUkZYLklRX0JFVEFfMVlSX1JTUS40LzMvMjAyNAEAAAAlQDsDAgAAABIwLjA5MTk2NTIyMTAzOTIzMzQApZmsEiIT3ghocdIVIhPeCCFDSVEuQVJXUi5JUV9CRVRBXzFZUl9SU1EuNC83LzIwMjQBAAAAhhkDAAIAAAARMC4xMjk0MzA2ODcwMzUwNDEAxTlsEiIT3ggupM0VIhPeCCBDSVEuUEZFLklRX0JFVEFfMVlSX1JTUS40LzgvMjAyNAEAAADeeQIAAgAAABIwLjAzMzY2ODU4ODgyNzIzODEAxTlsEiIT3ggdjswVIhPeCCFDSVEuUFJMRC5JUV9CRVRBXzFZUl9SU1EuNC85LzIwMjQBAAAAZl5HFgIAAAAQMC4xMDY2MzkwMTcwNzUzMQDFOWwSIhPeCJIFyhUiE94IIUNJUS5HSUxELklRX0JFVEFfMVlSX1JTUS40LzkvMjAyNAEAAABKcQAAAgAAABIwLjA1NjI2MjM2MDkwMDkxMzkAxTlsEiIT3gjO1sgVIhPeCCFDSVEuQ0NDQy5JUV9CRVRBXzFZUl9SU1EuNC85LzIwMjQBAAAABM4qEwIAAAASMC4wNTYzNjg4ODYyMzQ4MTUzAMU5bBIiE94IaUTIFSIT3ggiQ0lRLlZJUlguSVFfQkVUQV8xWVJfUlNRLjQvMTUvMjAyNAEAAAAt004CAwAAAAAAou0rEiIT3ghoQsQVIhPeCCxDSVEuVlNUTS5JUV9TSE9SVF9JTlRFUkVTVF9Q</t>
  </si>
  <si>
    <t>RVJDRU5ULjQvMTAvMjAyNAEAAAAoN+gGAgAAABAyLjUwODI0ODk5ODQ4NzY4AMU5bBIiE94I36fHFSIT3ggiQ0lRLkFMS1MuSVFfVkFMVUVfVFJBREVELjQvMTAvMjAyNAEAAAD8XwAAAgAAAAk1My4wNzM4NDYAou0rEiIT3giUWccVIhPeCCxDSVEuUFJUQy5JUV9TSE9SVF9JTlRFUkVTVF9QRVJDRU5ULjQvMTEvMjAyNAEAAAAWAI0AAwAAAAAAou0rEiIT3ghoQsQVIhPeCCJDSVEuQ0xZTS5JUV9WQUxVRV9UUkFERUQuNC8xMS8yMDI0AQAAAMoJ9CMCAAAACjE3OS4xMDU1MDcAou0rEiIT3ghoQsQVIhPeCCxDSVEuVEVMTy5JUV9TSE9SVF9JTlRFUkVTVF9QRVJDRU5ULjQvMTUvMjAyNAEAAADE4yxtAgAAABIwLjA1MzA1MzM1NTg5MDcxOTIAou0rEiIT3ghoQsQVIhPeCCFDSVEuTlZTLklRX1ZBTFVFX1RSQURFRC40LzE1LzIwMjQBAAAAqbXoDwIAAAAIMC4yMDk2MTIAou0rEiIT3ghoQsQVIhPeCCtDSVEuSUJSWC5JUV9TSE9SVF9JTlRFUkVTVF9QRVJDRU5ULjMvNS8yMDI0AQAAAAfCDxICAAAADzcuMDMyMzU1NDY5MzQzMwD7uBUTIhPeCI/55xUiE94IHkNJUS5YQkkuSVFfTEFTVFNBTEVQUklDRS40NTM1NgEAAADKQJgBAgAAAAU5OS40NgCIdSETIhPeCK/S7xUiE94IHkNJUS5YQkkuSVFfTEFTVFNBTEVQUklDRS40NTM1OAEAAADKQJgBAgAAAAU5OC43OQD6KRgTIhPeCNI87hUiE94IIUNJUS5BUFZP</t>
  </si>
  <si>
    <t>LklRX1ZBTFVFX1RSQURFRC4zLzcvMjAyNAEAAACU7r4TAgAAAAkyMy45OTAyMzIA+ikYEyIT3givkeUVIhPeCCtDSVEuTU5LRC5JUV9TSE9SVF9JTlRFUkVTVF9QRVJDRU5ULjMvOC8yMDI0AQAAAGaljQACAAAAEDEyLjgxNTEyNDE1ODcwMzYACLnjEiIT3givkeUVIhPeCCxDSVEuTFJNUi5JUV9TSE9SVF9JTlRFUkVTVF9QRVJDRU5ULjMvMTEvMjAyNAEAAAAXYB0iAgAAABEwLjc5NjM0MjE0Mzk0NzQzNwAIueMSIhPeCMoo4xUiE94ILENJUS5CR05FLklRX1NIT1JUX0lOVEVSRVNUX1BFUkNFTlQuMy8xNC8yMDI0AQAAAODk3QYDAAAAAAAIueMSIhPeCATB4BUiE94ILENJUS5SWVRNLklRX1NIT1JUX0lOVEVSRVNUX1BFUkNFTlQuMy8yNS8yMDI0AQAAABjJbRICAAAAEDE0Ljk3MjIzNDU5ODMzNTEAkUi2EiIT3gjWs9kVIhPeCClDSVEuRVEuSVFfU0hPUlRfSU5URVJFU1RfUEVSQ0VOVC40LzEvMjAyNAEAAAADu04iAgAAABAxLjE1OTg0OTMxNjE5OTk4AKWZrBIiE94IaePUFSIT3ggrQ0lRLkdOUFguSVFfU0hPUlRfSU5URVJFU1RfUEVSQ0VOVC40LzIvMjAyNAEAAACqvHENAgAAAA80LjIwMTk0NzIzNjE4MDkApZmsEiIT3ghocdIVIhPeCB5DSVEuWEJJLklRX0xBU1RTQUxFUFJJQ0UuNDUzODYBAAAAykCYAQIAAAAFODkuNDkAkUi2EiIT3ggxTNcVIhPeCCxDSVEuRFNOS1kuSVFfU0hPUlRfSU5URVJF</t>
  </si>
  <si>
    <t>U1RfUEVSQ0VOVC40LzMvMjAyNAEAAAA5mWkBAwAAAAAApZmsEiIT3ghocdIVIhPeCCtDSVEuQUNITC5JUV9TSE9SVF9JTlRFUkVTVF9QRVJDRU5ULjQvNC8yMDI0AQAAAISXYAEDAAAAAAClmawSIhPeCGhx0hUiE94IKkNJUS5HU0suSVFfU0hPUlRfSU5URVJFU1RfUEVSQ0VOVC40LzQvMjAyNAEAAADyMwQAAwAAAAAApZmsEiIT3gh+B9AVIhPeCCtDSVEuQU1MWC5JUV9TSE9SVF9JTlRFUkVTVF9QRVJDRU5ULjQvNC8yMDI0AQAAAAag5xICAAAAEDcuNTEyMTgxMDQ4MTY2NjkApZmsEiIT3gh+B9AVIhPeCCFDSVEuR09WWC5JUV9WQUxVRV9UUkFERUQuNC80LzIwMjQBAAAAr/i3AAIAAAAIMC4xNzA2NDEApZmsEiIT3gh+B9AVIhPeCCFDSVEuSE9XTC5JUV9WQUxVRV9UUkFERUQuNC81LzIwMjQBAAAA4SVsIQIAAAAIMC41NDkyMzQAJAevEiIT3gh+B9AVIhPeCCtDSVEuWllNRS5JUV9TSE9SVF9JTlRFUkVTVF9QRVJDRU5ULjQvOC8yMDI0AQAAAGdklAICAAAAEDUuNjA2NjI4NDMzOTcxMzEAxTlsEiIT3ggupM0VIhPeCCFDSVEuVklOQy5JUV9WQUxVRV9UUkFERUQuNC84LzIwMjQBAAAA5DUjKQIAAAAJMTAuNjA5Njg4AMU5bBIiE94ILqTNFSIT3ggrQ0lRLkJNUk4uSVFfU0hPUlRfSU5URVJFU1RfUEVSQ0VOVC40LzgvMjAyNAEAAAAFZAAAAgAAABAxLjU3MTEwMzg3MDUzNjA3AMU5bBIiE94ILqTNFSIT</t>
  </si>
  <si>
    <t>3ggrQ0lRLk1URU0uSVFfU0hPUlRfSU5URVJFU1RfUEVSQ0VOVC40LzkvMjAyNAEAAACZm6kBAwAAAAAAxTlsEiIT3ggR3MoVIhPeCCtDSVEuUFJMRC5JUV9TSE9SVF9JTlRFUkVTVF9QRVJDRU5ULjQvOS8yMDI0AQAAAGZeRxYCAAAAETAuODIxMjAxODAyMDE2NzMxAMU5bBIiE94IkgXKFSIT3gghQ0lRLkNHRU4uSVFfVkFMVUVfVFJBREVELjQvOS8yMDI0AQAAAOOIAgACAAAACDAuMzU4OTM1AMU5bBIiE94IwxrJFSIT3ggqQ0lRLk9OQy5JUV9TSE9SVF9JTlRFUkVTVF9QRVJDRU5ULjQvOS8yMDI0AQAAAODk3QYCAAAAEDEuNjUzNDYyMjg1Mzc2NTMAxTlsEiIT3giqksgVIhPeCCBDSVEuT05DLklRX1ZBTFVFX1RSQURFRC40LzkvMjAyNAEAAADg5N0GAgAAAAkxNy43NDMyNTgAxTlsEiIT3giqksgVIhPeCCxDSVEuUkVHTi5JUV9TSE9SVF9JTlRFUkVTVF9QRVJDRU5ULjQvMTAvMjAyNAEAAACzgwAAAgAAABAxLjMyMjcxMDcwMjk2Mzk2AKLtKxIiE94IRAvHFSIT3ggiQ0lRLkFQVk8uSVFfVkFMVUVfVFJBREVELjQvMTAvMjAyNAEAAACU7r4TAgAAAAgxLjc1MTEzOACi7SsSIhPeCEuqxhUiE94ILENJUS5MR05ELklRX1NIT1JUX0lOVEVSRVNUX1BFUkNFTlQuNC8xNS8yMDI0AQAAAGR4AAACAAAAEDMuNzk1OTUwODkzMDg2MzQAou0rEiIT3ghoQsQVIhPeCCJDSVEuVEZGUC5JUV9WQUxVRV9UUkFERUQu</t>
  </si>
  <si>
    <t>NC8xNS8yMDI0AQAAAOo0CwADAAAAAACi7SsSIhPeCGhCxBUiE94IIkNJUS5PQ1VMLklRX1ZBTFVFX1RSQURFRC4yLzEzLzIwMjQBAAAAQjGAAgIAAAAINy40OTAwNTUA7WNREyIT3ghdR/YVIhPeCCBDSVEuUEZFLklRX1ZBTFVFX1RSQURFRC4zLzQvMjAyNAEAAADeeQIAAgAAAAsyMjQ2LjY3NTI3NAD7uBUTIhPeCG026xUiE94IK0NJUS5CTUVBLklRX1NIT1JUX0lOVEVSRVNUX1BFUkNFTlQuMy82LzIwMjQBAAAAx5hxKQIAAAAQMzIuOTk4OTk5MDk3NzkzMwD7uBUTIhPeCI/55xUiE94IIUNJUS5NTktELklRX1ZBTFVFX1RSQURFRC4zLzgvMjAyNAEAAABmpY0AAgAAAAkyNy4wNTcyODEACLnjEiIT3givkeUVIhPeCB5DSVEuWEJJLklRX0xBU1RTQUxFUFJJQ0UuNDUzNjQBAAAAykCYAQIAAAAEOTcuMQD6KRgTIhPeCI/55xUiE94IIkNJUS5CR05FLklRX1ZBTFVFX1RSQURFRC4zLzE0LzIwMjQBAAAA4OTdBgMAAAAAAAi54xIiE94IBMHgFSIT3ggiQ0lRLlNFRUwuSVFfVkFMVUVfVFJBREVELjMvMTkvMjAyNAEAAADsNP0XAwAAAAAAkUi2EiIT3gjgwN4VIhPeCCxDSVEuQVBHRS5JUV9TSE9SVF9JTlRFUkVTVF9QRVJDRU5ULjMvMjUvMjAyNAEAAACV+0ZsAgAAAA81LjY2ODU1MjIyMjE4NzIAkUi2EiIT3gjWs9kVIhPeCCxDSVEuTElUUy5JUV9TSE9SVF9JTlRFUkVTVF9QRVJDRU5ULjMvMjYvMjAyNAEA</t>
  </si>
  <si>
    <t>AAA9ySEAAgAAABEwLjEzNjUxODAxMzIxODY1NACRSLYSIhPeCNaz2RUiE94IHkNJUS5YQkkuSVFfTEFTVFNBTEVQUklDRS40NTM3OAEAAADKQJgBAgAAAAU5NC45MQCRSLYSIhPeCBsr3hUiE94IH0NJUS5FUS5JUV9WQUxVRV9UUkFERUQuNC8xLzIwMjQBAAAAA7tOIgIAAAAIMC44NTI0NzIApZmsEiIT3ghp49QVIhPeCCpDSVEuQVpOLklRX1NIT1JUX0lOVEVSRVNUX1BFUkNFTlQuNC8xLzIwMjQBAAAAhiMFAAMAAAAAAKWZrBIiE94IaePUFSIT3ggrQ0lRLlZUR04uSVFfU0hPUlRfSU5URVJFU1RfUEVSQ0VOVC40LzEvMjAyNAEAAAALXnUAAgAAAA80LjkzODc5OTkxODI1NDEApZmsEiIT3ghp49QVIhPeCCFDSVEuQ09SVC5JUV9WQUxVRV9UUkFERUQuNC8xLzIwMjQBAAAA0rkVAAIAAAAJMjEuNTcxMjUzAKWZrBIiE94IaePUFSIT3gghQ0lRLkdOUFguSVFfVkFMVUVfVFJBREVELjQvMi8yMDI0AQAAAKq8cQ0CAAAACDAuMTYwMzE4AKWZrBIiE94IaHHSFSIT3ggrQ0lRLkNSQlAuSVFfU0hPUlRfSU5URVJFU1RfUEVSQ0VOVC40LzIvMjAyNAEAAAAkbyQPAgAAABAzLjg0Mjk2MDgwODgyMTU4AKWZrBIiE94IaHHSFSIT3ggrQ0lRLkZHRU4uSVFfU0hPUlRfSU5URVJFU1RfUEVSQ0VOVC40LzMvMjAyNAEAAABEbwAAAgAAABA1LjU5NzA4MjU1MTExNzQ5AKWZrBIiE94IaHHSFSIT3gghQ0lRLlNQUlkuSVFf</t>
  </si>
  <si>
    <t>VkFMVUVfVFJBREVELjQvMy8yMDI0AQAAAAem4SICAAAABzUuMTg4MTgApZmsEiIT3ghocdIVIhPeCCBDSVEuR1NLLklRX1ZBTFVFX1RSQURFRC40LzQvMjAyNAEAAADyMwQAAgAAAAoxOTIuNzQ1ODY4AKWZrBIiE94IfgfQFSIT3ggrQ0lRLkxFR04uSVFfU0hPUlRfSU5URVJFU1RfUEVSQ0VOVC40LzUvMjAyNAEAAABsI/MgAgAAABA1Ljc3NzQ0NjY4MzA4NTc2ACQHrxIiE94I/nLPFSIT3gghQ0lRLkFMTlkuSVFfVkFMVUVfVFJBREVELjQvNy8yMDI0AQAAAHOsKgADAAAAAADFOWwSIhPeCC6kzRUiE94IIUNJUS5aWU1FLklRX1ZBTFVFX1RSQURFRC40LzgvMjAyNAEAAABnZJQCAgAAAAgyLjkyNjIxMgDFOWwSIhPeCC6kzRUiE94IK0NJUS5QWVhTLklRX1NIT1JUX0lOVEVSRVNUX1BFUkNFTlQuNC84LzIwMjQBAAAA8eCBJQIAAAAQMi44MTAxMjU4NTI4MzQxMQDFOWwSIhPeCLEuzRUiE94IIUNJUS5PUklDLklRX1ZBTFVFX1RSQURFRC40LzgvMjAyNAEAAABUSxoSAgAAAAg1LjQwNzA3OADFOWwSIhPeCGy1zBUiE94IIUNJUS5DVktELklRX1ZBTFVFX1RSQURFRC40LzkvMjAyNAEAAAAyj+FqAgAAAAgyLjQ5MTA0MQDFOWwSIhPeCH1uyxUiE94IIENJUS5MTFkuSVFfVkFMVUVfVFJBREVELjQvOS8yMDI0AQAAABtbBAACAAAACjE4NjYuNDczMTcAxTlsEiIT3ghbKssVIhPeCCFDSVEuUFJMRC5JUV9WQUxV</t>
  </si>
  <si>
    <t>RV9UUkFERUQuNC85LzIwMjQBAAAAZl5HFgIAAAAIMC4zMjA0MzMAxTlsEiIT3giSBcoVIhPeCCFDSVEuQkNUWC5JUV9WQUxVRV9UUkFERUQuNC85LzIwMjQBAAAA9tyhDwIAAAAIMC4wOTQ0ODEAxTlsEiIT3ggNackVIhPeCCxDSVEuV0hXSy5JUV9TSE9SVF9JTlRFUkVTVF9QRVJDRU5ULjQvMTAvMjAyNAEAAABft6QZAgAAABAzLjg0MDc1MTUxMjgyNjQyAMU5bBIiE94I36fHFSIT3ggiQ0lRLlZTVE0uSVFfVkFMVUVfVFJBREVELjQvMTAvMjAyNAEAAAAoN+gGAgAAAAgxLjA0MDA1MgDFOWwSIhPeCN+nxxUiE94ILENJUS5LUllTLklRX1NIT1JUX0lOVEVSRVNUX1BFUkNFTlQuNC8xMC8yMDI0AQAAACgn1R8CAAAAEDcuNjI0NzY0MzAwMTMwNzQAou0rEiIT3ghoQsQVIhPeCCJDSVEuUFJUQy5JUV9WQUxVRV9UUkFERUQuNC8xMS8yMDI0AQAAABYAjQACAAAACDEuMzM4OTMzAKLtKxIiE94IaELEFSIT3ggeQ0lRLlhCSS5JUV9MQVNUU0FMRVBSSUNFLjQ1MzMxAQAAAMpAmAECAAAABTkxLjA0AO1jURMiE94ICSP9FSIT3ggeQ0lRLlhCSS5JUV9MQVNUU0FMRVBSSUNFLjQ1MzM1AQAAAMpAmAECAAAABTg4LjcyAO1jURMiE94IhcP7FSIT3ggeQ0lRLlhCSS5JUV9MQVNUU0FMRVBSSUNFLjQ1MzQxAQAAAMpAmAECAAAABTkzLjE1AO1jURMiE94IvbD4FSIT3ggeQ0lRLlhCSS5JUV9MQVNUU0FMRVBSSUNFLjQ1</t>
  </si>
  <si>
    <t>MzQ5AQAAAMpAmAECAAAABjEwMi44OQCIdSETIhPeCI+w8xUiE94IHkNJUS5YQkkuSVFfTEFTVFNBTEVQUklDRS40NTM1OQEAAADKQJgBAgAAAAU5OC45NQD6KRgTIhPeCMo27RUiE94IHkNJUS5YQkkuSVFfTEFTVFNBTEVQUklDRS40NTM2MwEAAADKQJgBAgAAAAQ5Ni4yAPu4FRMiE94IUA/rFSIT3ggsQ0lRLklNTk4uSVFfU0hPUlRfSU5URVJFU1RfUEVSQ0VOVC4zLzEzLzIwMjQBAAAALvkDAAIAAAAQNS4yMjU2NjQ5NjY1ODM5NgAIueMSIhPeCATB4BUiE94IHkNJUS5YQkkuSVFfTEFTVFNBTEVQUklDRS40NTM2OQEAAADKQJgBAgAAAAU5Mi45NQDmKuYSIhPeCK+R5RUiE94ILENJUS5BTE1TLklRX1NIT1JUX0lOVEVSRVNUX1BFUkNFTlQuMy8yMC8yMDI0AQAAAF97DyoDAAAAAACRSLYSIhPeCCoE3hUiE94IIkNJUS5TVE9LLklRX1ZBTFVFX1RSQURFRC4zLzI1LzIwMjQBAAAAHogBDwIAAAAJMTYuNjgzMjM4AJFIthIiE94I1rPZFSIT3ggiQ0lRLkxJVFMuSVFfVkFMVUVfVFJBREVELjMvMjYvMjAyNAEAAAA9ySEAAgAAAAgwLjA5ODMzNwCRSLYSIhPeCNaz2RUiE94IIkNJUS5BVlRYLklRX1ZBTFVFX1RSQURFRC4zLzI3LzIwMjQBAAAACE2pCAIAAAAJMTQuOTU2MzI1AJFIthIiE94IMUzXFSIT3ggeQ0lRLlhCSS5JUV9MQVNUU0FMRVBSSUNFLjQ1Mzc5AQAAAMpAmAECAAAABTk0Ljg5AJFIthIiE94I</t>
  </si>
  <si>
    <t>4Y7dFSIT3ggsQ0lRLkNBREwuSVFfU0hPUlRfSU5URVJFU1RfUEVSQ0VOVC4zLzI4LzIwMjQBAAAAq1o6AgIAAAARMC41MDE4Mjg2NDE1NzEzOTYApZmsEiIT3ghp49QVIhPeCCtDSVEuQ1lUSy5JUV9TSE9SVF9JTlRFUkVTVF9QRVJDRU5ULjQvNS8yMDI0AQAAALNqAAACAAAAEDE0LjM2NTU3MTI0NDI2NjQApZmsEiIT3gh+B9AVIhPeCCtDSVEuQ0RUWC5JUV9TSE9SVF9JTlRFUkVTVF9QRVJDRU5ULjQvNS8yMDI0AQAAAOjf3g8CAAAAETAuMTk4MDQ0NDcyNzczMDUxAKWZrBIiE94IfgfQFSIT3gghQ0lRLklPTlMuSVFfVkFMVUVfVFJBREVELjQvNy8yMDI0AQAAAFx2AAADAAAAAADFOWwSIhPeCC6kzRUiE94IK0NJUS5QU1RYLklRX1NIT1JUX0lOVEVSRVNUX1BFUkNFTlQuNC84LzIwMjQBAAAASrkFAAMAAAAAAMU5bBIiE94ILqTNFSIT3gghQ0lRLk1SVVMuSVFfVkFMVUVfVFJBREVELjQvOC8yMDI0AQAAABBkfAECAAAACTIwLjAyMTk1MwDFOWwSIhPeCC6kzRUiE94IIUNJUS5QWVhTLklRX1ZBTFVFX1RSQURFRC40LzgvMjAyNAEAAADx4IElAgAAAAgzLjE2MjM0MgDFOWwSIhPeCLEuzRUiE94IIUNJUS5NVEVNLklRX1ZBTFVFX1RSQURFRC40LzkvMjAyNAEAAACZm6kBAwAAAAAAxTlsEiIT3ggR3MoVIhPeCCpDSVEuQVpOLklRX1NIT1JUX0lOVEVSRVNUX1BFUkNFTlQuNC85LzIwMjQBAAAAhiMFAAMA</t>
  </si>
  <si>
    <t>AAAAAMU5bBIiE94IkgXKFSIT3ggrQ0lRLkFMWE8uSVFfU0hPUlRfSU5URVJFU1RfUEVSQ0VOVC40LzkvMjAyNAEAAACQA/8RAgAAABA2LjIyMzAwOTg0NDMzNzA3AMU5bBIiE94IwxrJFSIT3ggqQ0lRLlBGRS5JUV9TSE9SVF9JTlRFUkVTVF9QRVJDRU5ULjQvOS8yMDI0AQAAAN55AgACAAAAEDEuMTQ3ODQ2MjUyNDExNTUAxTlsEiIT3giqksgVIhPeCCxDSVEuQkNUWC5JUV9TSE9SVF9JTlRFUkVTVF9QRVJDRU5ULjQvMTAvMjAyNAEAAAD23KEPAwAAAAAAou0rEiIT3ghEC8cVIhPeCCJDSVEuUkVHTi5JUV9WQUxVRV9UUkFERUQuNC8xMC8yMDI0AQAAALODAAACAAAACjM2NC44OTc5OTMAou0rEiIT3ghEC8cVIhPeCCtDSVEuQVpOLklRX1NIT1JUX0lOVEVSRVNUX1BFUkNFTlQuNC8xMS8yMDI0AQAAAIYjBQADAAAAAACi7SsSIhPeCGhCxBUiE94IIkNJUS5MR05ELklRX1ZBTFVFX1RSQURFRC40LzE1LzIwMjQBAAAAZHgAAAIAAAAJMTQuMDEwODAzAKLtKxIiE94IaELEFSIT3ggrQ0lRLklOQ1kuSVFfU0hPUlRfSU5URVJFU1RfUEVSQ0VOVC4xLzgvMjAyNAEAAACaFAUAAgAAABAzLjExMDkxOTA1OTkyNzM3AB+PlRMiE94IIvgGFiIT3ggeQ0lRLlhCSS5JUV9MQVNUU0FMRVBSSUNFLjQ1MzI0AQAAAMpAmAECAAAABTg3Ljk3AEgMihMiE94Ii7n/FSIT3ggeQ0lRLlhCSS5JUV9MQVNUU0FMRVBSSUNFLjQ1</t>
  </si>
  <si>
    <t>MzM0AQAAAMpAmAECAAAABDkzLjEA7WNREyIT3gjPhvwVIhPeCCJDSVEuQ01ORC5JUV9WQUxVRV9UUkFERUQuMi8yMy8yMDI0AQAAAD/2jyACAAAACDYuNjUwODMxAIh1IRMiE94InVnxFSIT3ggrQ0lRLkFUSEEuSVFfU0hPUlRfSU5URVJFU1RfUEVSQ0VOVC4zLzgvMjAyNAEAAAAcEdsPAgAAAA8xLjY5NjgwODg3ODQxNzUA+ikYEyIT3givkeUVIhPeCCxDSVEuQUxNUy5JUV9TSE9SVF9JTlRFUkVTVF9QRVJDRU5ULjMvMTEvMjAyNAEAAABfew8qAwAAAAAACLnjEiIT3gjKKOMVIhPeCCJDSVEuQUxNUy5JUV9WQUxVRV9UUkFERUQuMy8yMC8yMDI0AQAAAF97DyoDAAAAAACRSLYSIhPeCCoE3hUiE94ILENJUS5BWFNNLklRX1NIT1JUX0lOVEVSRVNUX1BFUkNFTlQuMy8yNS8yMDI0AQAAAGs3aw4CAAAAEDE1Ljc2ODczMzYyNDQ1NDEAkUi2EiIT3gjWs9kVIhPeCCxDSVEuUkFSRS5JUV9TSE9SVF9JTlRFUkVTVF9QRVJDRU5ULjMvMjcvMjAyNAEAAADxegAHAgAAABA0LjU5MjA5MjYxMjI4MzY2AJFIthIiE94IMUzXFSIT3ggsQ0lRLkdSVFguSVFfU0hPUlRfSU5URVJFU1RfUEVSQ0VOVC4zLzI4LzIwMjQBAAAAbblqDQIAAAAQNS4xNTIxNDIzMDI4MzUxMwClmawSIhPeCGnj1BUiE94IIkNJUS5DQURMLklRX1ZBTFVFX1RSQURFRC4zLzI4LzIwMjQBAAAAq1o6AgIAAAAIMC4wNDgzODEApZmsEiIT3ghp49QV</t>
  </si>
  <si>
    <t>IhPeCCBDSVEuQVpOLklRX1ZBTFVFX1RSQURFRC40LzEvMjAyNAEAAACGIwUAAwAAAAAApZmsEiIT3ghp49QVIhPeCCtDSVEuQ09SVC5JUV9TSE9SVF9JTlRFUkVTVF9QRVJDRU5ULjQvMS8yMDI0AQAAANK5FQACAAAAEDE5LjUyODQ1MzUxOTMyNTcApZmsEiIT3ghp49QVIhPeCCFDSVEuVkVSVi5JUV9WQUxVRV9UUkFERUQuNC8yLzIwMjQBAAAALlsNAAMAAAAAAKWZrBIiE94IaHHSFSIT3gghQ0lRLkNSQlAuSVFfVkFMVUVfVFJBREVELjQvMi8yMDI0AQAAACRvJA8CAAAACTEwLjE0NzUzOQClmawSIhPeCGhx0hUiE94IIUNJUS5UQVJBLklRX1ZBTFVFX1RSQURFRC40LzUvMjAyNAEAAAD4oYkgAgAAAAkzMS4xNjcwMjgApZmsEiIT3gh+B9AVIhPeCCFDSVEuTEVHTi5JUV9WQUxVRV9UUkFERUQuNC81LzIwMjQBAAAAbCPzIAIAAAAJMzUuNDcwNTUzACQHrxIiE94I/nLPFSIT3ggqQ0lRLlhMTy5JUV9TSE9SVF9JTlRFUkVTVF9QRVJDRU5ULjQvNy8yMDI0AQAAADyMxhUCAAAAETAuMTY3MTkwNDkyNjg3NTUyAMU5bBIiE94I/nLPFSIT3ggrQ0lRLkVXVFguSVFfU0hPUlRfSU5URVJFU1RfUEVSQ0VOVC40LzcvMjAyNAEAAADSNn8jAgAAABA0LjgxNjQwOTYxNjMzMzQ3AMU5bBIiE94ILqTNFSIT3gghQ0lRLkNBREwuSVFfVkFMVUVfVFJBREVELjQvOC8yMDI0AQAAAKtaOgICAAAACTk5Ljk3MDc3MgDFOWwS</t>
  </si>
  <si>
    <t>IhPeCC6kzRUiE94IKkNJUS5QVE4uSVFfU0hPUlRfSU5URVJFU1RfUEVSQ0VOVC40LzgvMjAyNAEAAAAIL9wMAwAAAAAAxTlsEiIT3gi03MwVIhPeCCFDSVEuQ0hSUy5JUV9WQUxVRV9UUkFERUQuNC84LzIwMjQBAAAAx3pVDAIAAAAINS4yOTgwOTUAxTlsEiIT3gg9Z8wVIhPeCCtDSVEuTlhUQy5JUV9TSE9SVF9JTlRFUkVTVF9QRVJDRU5ULjQvOC8yMDI0AQAAAFUaKRMCAAAAEDMuMDA5Mjk3NTc3Mzc5ODIAxTlsEiIT3ghZpMsVIhPeCCtDSVEuSU1SWC5JUV9TSE9SVF9JTlRFUkVTVF9QRVJDRU5ULjQvOS8yMDI0AQAAANUOYRICAAAAEDkuODIwOTU4NTMyMjI5NTkAxTlsEiIT3ggR3MoVIhPeCCtDSVEuUkFQVC5JUV9TSE9SVF9JTlRFUkVTVF9QRVJDRU5ULjQvOS8yMDI0AQAAANAgVhACAAAAEDguNTUzOTkxMzkxMTg5MTYAxTlsEiIT3gjxl8oVIhPeCCtDSVEuTUNSQi5JUV9TSE9SVF9JTlRFUkVTVF9QRVJDRU5ULjQvOS8yMDI0AQAAANNiQQ0CAAAAEDEyLjQ1MTcwNzk5MjMzMzcAxTlsEiIT3ghOt8kVIhPeCCtDSVEuQVBSRS5JUV9TSE9SVF9JTlRFUkVTVF9QRVJDRU5ULjQvOS8yMDI0AQAAAKvTqBMCAAAAEDEuOTQ4ODczMTEwOTE3MzQAxTlsEiIT3ggj9scVIhPeCCJDSVEuV0hXSy5JUV9WQUxVRV9UUkFERUQuNC8xMC8yMDI0AQAAAF+3pBkCAAAACDAuNzY0NzEyAMU5bBIiE94II/bHFSIT3ggs</t>
  </si>
  <si>
    <t>Q0lRLlZSVFguSVFfU0hPUlRfSU5URVJFU1RfUEVSQ0VOVC40LzEwLzIwMjQBAAAAi40AAAIAAAAQMS41MzgxNjQ5NDA3MDQwNACi7SsSIhPeCGhCxBUiE94IIkNJUS5LUllTLklRX1ZBTFVFX1RSQURFRC40LzEwLzIwMjQBAAAAKCfVHwIAAAAJNDMuMDQ2MzI0AKLtKxIiE94IaELEFSIT3ggsQ0lRLk9OVk8uSVFfU0hPUlRfSU5URVJFU1RfUEVSQ0VOVC40LzE1LzIwMjQBAAAARWRcBgMAAAAAAKLtKxIiE94IaELEFSIT3ggiQ0lRLkVXVFguSVFfVkFMVUVfVFJBREVELjQvMTUvMjAyNAEAAADSNn8jAgAAAAc2LjY1MDI0AKLtKxIiE94IaELEFSIT3ggrQ0lRLklWQS5JUV9TSE9SVF9JTlRFUkVTVF9QRVJDRU5ULjMvMTgvMjAyNAEAAACKh00QAwAAAAAACLnjEiIT3gjgwN4VIhPeCCxDSVEuT0tZTy5JUV9TSE9SVF9JTlRFUkVTVF9QRVJDRU5ULjMvMjIvMjAyNAEAAABLz7YCAgAAABEwLjE5NDQ2OTU1OTQwOTEzNgCRSLYSIhPeCLry3BUiE94IIkNJUS5BWFNNLklRX1ZBTFVFX1RSQURFRC4zLzI1LzIwMjQBAAAAazdrDgIAAAAKMTA4LjIwMDE5NwCRSLYSIhPeCNaz2RUiE94IIkNJUS5aTEFCLklRX1ZBTFVFX1RSQURFRC4zLzI3LzIwMjQBAAAAdwIpEAIAAAAJMTYuNzk1OTExAJFIthIiE94IMUzXFSIT3ggiQ0lRLlJBUkUuSVFfVkFMVUVfVFJBREVELjMvMjcvMjAyNAEAAADxegAHAgAAAAkyNS44MTQz</t>
  </si>
  <si>
    <t>MDEAkUi2EiIT3ggxTNcVIhPeCCFDSVEuR1JUUy5JUV9WQUxVRV9UUkFERUQuNC8xLzIwMjQFAAAAAAAAAAgAAAAUKEludmFsaWQgSWRlbnRpZmllcimlmawSIhPeCGnj1BUiE94IK0NJUS5CTUVBLklRX1NIT1JUX0lOVEVSRVNUX1BFUkNFTlQuNC8yLzIwMjQBAAAAx5hxKQIAAAAQMzEuMjIwMjE2Nzk5NjMwOQClmawSIhPeCGnj1BUiE94IIUNJUS5DRFRYLklRX1ZBTFVFX1RSQURFRC40LzUvMjAyNAEAAADo394PAgAAAAgyLjY1ODY3NAClmawSIhPeCH4H0BUiE94IIUNJUS5QU1RYLklRX1ZBTFVFX1RSQURFRC40LzgvMjAyNAEAAABKuQUAAwAAAAAAxTlsEiIT3ggupM0VIhPeCCtDSVEuQ1JERi5JUV9TSE9SVF9JTlRFUkVTVF9QRVJDRU5ULjQvOC8yMDI0AQAAALw6pwACAAAAEDYuMjk3MjA1MTc4Nzc5MzUAxTlsEiIT3ggupM0VIhPeCCtDSVEuQURDVC5JUV9TSE9SVF9JTlRFUkVTVF9QRVJDRU5ULjQvOC8yMDI0AQAAAJqj6QoCAAAAEDEuMTM4Njc3MDA4ODg1NjMAxTlsEiIT3gjDVc0VIhPeCCFDSVEuQ09SVC5JUV9WQUxVRV9UUkFERUQuNC84LzIwMjQBAAAA0rkVAAIAAAAJMjMuMDg3NTA3AMU5bBIiE94IIRnMFSIT3gggQ0lRLkFaTi5JUV9WQUxVRV9UUkFERUQuNC85LzIwMjQBAAAAhiMFAAIAAAAKMTgzLjc5MDA3NwDFOWwSIhPeCJIFyhUiE94IIUNJUS5NQ1JCLklRX1ZBTFVFX1RSQURFRC40</t>
  </si>
  <si>
    <t>LzkvMjAyNAEAAADTYkENAgAAAAg0Ljk1ODk0NwDFOWwSIhPeCE63yRUiE94IIUNJUS5BTFhPLklRX1ZBTFVFX1RSQURFRC40LzkvMjAyNAEAAACQA/8RAgAAAAg1LjQyNDYwMgDFOWwSIhPeCMMayRUiE94IIENJUS5QRkUuSVFfVkFMVUVfVFJBREVELjQvOS8yMDI0AQAAAN55AgACAAAACzEyMTAuMjg1Nzg2AMU5bBIiE94IqpLIFSIT3ggsQ0lRLkFDUlYuSVFfU0hPUlRfSU5URVJFU1RfUEVSQ0VOVC40LzEwLzIwMjQBAAAAiUPnJgIAAAAQMi4zNTQzODUwOTM2NDYyMgCi7SsSIhPeCJRZxxUiE94IIkNJUS5CQ1RYLklRX1ZBTFVFX1RSQURFRC40LzEwLzIwMjQBAAAA9tyhDwIAAAAIMC4yMzUwNTMAou0rEiIT3ghEC8cVIhPeCCFDSVEuQVpOLklRX1ZBTFVFX1RSQURFRC40LzExLzIwMjQBAAAAhiMFAAIAAAAJMjk1LjgxMjQyAKLtKxIiE94IaELEFSIT3ggsQ0lRLkhBTE8uSVFfU0hPUlRfSU5URVJFU1RfUEVSQ0VOVC40LzE2LzIwMjQBAAAARgV5AAIAAAAQNi4yMDY3NzE4Njk4ODA2NACi7SsSIhPeCGhCxBUiE94IHkNJUS5YQkkuSVFfTEFTVFNBTEVQUklDRS40NTM1NwEAAADKQJgBAgAAAAYxMDAuMTIAiHUhEyIT3ghsJ+8VIhPeCCFDSVEuTExZLklRX1ZBTFVFX1RSQURFRC4zLzExLzIwMjQBAAAAG1sEAAIAAAALMjkxNC42MDczMTIACLnjEiIT3gjKKOMVIhPeCCFDSVEuTlZTLklRX1ZBTFVFX1RS</t>
  </si>
  <si>
    <t>QURFRC4zLzEyLzIwMjQBAAAAqbXoDwIAAAAIMC4xNDY3NDgACLnjEiIT3gjKKOMVIhPeCB5DSVEuWEJJLklRX0xBU1RTQUxFUFJJQ0UuNDUzNjUBAAAAykCYAQIAAAAFOTQuNDUA+ikYEyIT3givkeUVIhPeCCFDSVEuSVZBLklRX1ZBTFVFX1RSQURFRC4zLzE4LzIwMjQBAAAAiodNEAIAAAAIMC41NzQ1MzcACLnjEiIT3gjgwN4VIhPeCCJDSVEuUEhJTy5JUV9WQUxVRV9UUkFERUQuMy8yMS8yMDI0AQAAADkGZwgCAAAABzAuODk0MjgAkUi2EiIT3ggXaN0VIhPeCCJDSVEuT0tZTy5JUV9WQUxVRV9UUkFERUQuMy8yMi8yMDI0AQAAAEvPtgICAAAACDMuMjc5ODI0AJFIthIiE94IuvLcFSIT3ggsQ0lRLkFSR1guSVFfU0hPUlRfSU5URVJFU1RfUEVSQ0VOVC4zLzI3LzIwMjQBAAAAveKzAwMAAAAAAJFIthIiE94IMUzXFSIT3gghQ0lRLkJNRUEuSVFfVkFMVUVfVFJBREVELjQvMi8yMDI0AQAAAMeYcSkCAAAACTM2LjAwNTMyNQClmawSIhPeCGnj1BUiE94IIUNJUS5WVEdOLklRX1ZBTFVFX1RSQURFRC40LzEvMjAyNAEAAAALXnUAAgAAAAc1LjA4NDI0AKWZrBIiE94IaePUFSIT3ggrQ0lRLkFEQ1QuSVFfU0hPUlRfSU5URVJFU1RfUEVSQ0VOVC40LzQvMjAyNAEAAACao+kKAgAAABAxLjEzODY3NzAwODg4NTYzAKWZrBIiE94IfgfQFSIT3gggQ0lRLkhDTS5JUV9WQUxVRV9UUkFERUQuNC81LzIwMjQBAAAA</t>
  </si>
  <si>
    <t>u6+WAQIAAAAIMC4wNTcyOTIApZmsEiIT3gh+B9AVIhPeCCtDSVEuSE9XTC5JUV9TSE9SVF9JTlRFUkVTVF9QRVJDRU5ULjQvNS8yMDI0AQAAAOElbCECAAAAEDEuMDEwNzU0MzA5OTg3MjkAJAevEiIT3gh+B9AVIhPeCCBDSVEuWExPLklRX1ZBTFVFX1RSQURFRC40LzcvMjAyNAEAAAA8jMYVAwAAAAAAxTlsEiIT3gj+cs8VIhPeCCtDSVEuQVJXUi5JUV9TSE9SVF9JTlRFUkVTVF9QRVJDRU5ULjQvNy8yMDI0AQAAAIYZAwACAAAAEDcuNDI3NzUyMzk3NDQ4NzQAxTlsEiIT3ggupM0VIhPeCCFDSVEuRVdUWC5JUV9WQUxVRV9UUkFERUQuNC83LzIwMjQBAAAA0jZ/IwMAAAAAAMU5bBIiE94ILqTNFSIT3gggQ0lRLlBUTi5JUV9WQUxVRV9UUkFERUQuNC84LzIwMjQBAAAACC/cDAIAAAAIMC4wMTIxMDgAxTlsEiIT3gi03MwVIhPeCCpDSVEuUEZFLklRX1NIT1JUX0lOVEVSRVNUX1BFUkNFTlQuNC84LzIwMjQBAAAA3nkCAAIAAAAQMS4yNjU0MDQxMjM2NTUzMwDFOWwSIhPeCB2OzBUiE94IIUNJUS5OWFRDLklRX1ZBTFVFX1RSQURFRC40LzgvMjAyNAEAAABVGikTAgAAAAgwLjMzNjQ1NADFOWwSIhPeCFmkyxUiE94IIUNJUS5JTVJYLklRX1ZBTFVFX1RSQURFRC40LzkvMjAyNAEAAADVDmESAgAAAAgwLjg2ODU1OADFOWwSIhPeCFsqyxUiE94IK0NJUS5HSUxELklRX1NIT1JUX0lOVEVSRVNUX1BFUkNFTlQu</t>
  </si>
  <si>
    <t>NC85LzIwMjQBAAAASnEAAAIAAAAQMS44MTI5NTUxMDQ3NTQ4MwDFOWwSIhPeCM7WyBUiE94IK0NJUS5DQ0NDLklRX1NIT1JUX0lOVEVSRVNUX1BFUkNFTlQuNC85LzIwMjQBAAAABM4qEwIAAAAQMTMuMzM3MTI2NDkzNjIwNgDFOWwSIhPeCGlEyBUiE94IIUNJUS5BUFJFLklRX1ZBTFVFX1RSQURFRC40LzkvMjAyNAEAAACr06gTAgAAAAgwLjA0MzYyOQDFOWwSIhPeCCP2xxUiE94ILENJUS5BUFZPLklRX1NIT1JUX0lOVEVSRVNUX1BFUkNFTlQuNC8xMC8yMDI0AQAAAJTuvhMCAAAAEDYuNDI5NDIzMDU1NTU1NTYAou0rEiIT3ghLqsYVIhPeCCJDSVEuVlJUWC5JUV9WQUxVRV9UUkFERUQuNC8xMC8yMDI0AQAAAIuNAAACAAAACjQwOC4xODc0MzQAou0rEiIT3ghoQsQVIhPeCB5DSVEuWEJJLklRX0xBU1RTQUxFUFJJQ0UuNDUzNTEBAAAAykCYAQIAAAAFOTguNDIAiHUhEyIT3gg2ePIVIhPeCCFDSVEuUlpMVC5JUV9WQUxVRV9UUkFERUQuMy82LzIwMjQBAAAAIQmbCgIAAAAIMC4yMTk5MDIA+7gVEyIT3giP+ecVIhPeCCFDSVEuQVJRVC5JUV9WQUxVRV9UUkFERUQuMy85LzIwMjQBAAAAKGG5IAMAAAAAAAi54xIiE94Ir5HlFSIT3ggsQ0lRLlBSVEMuSVFfU0hPUlRfSU5URVJFU1RfUEVSQ0VOVC4zLzEzLzIwMjQBAAAAFgCNAAMAAAAAAAi54xIiE94IyijjFSIT3ggiQ0lRLkFRU1QuSVFfVkFMVUVfVFJB</t>
  </si>
  <si>
    <t>REVELjMvMTUvMjAyNAEAAACoPnwAAgAAAAkzOC40OTIxMDEACLnjEiIT3ggEweAVIhPeCCxDSVEuRU5UWC5JUV9TSE9SVF9JTlRFUkVTVF9QRVJDRU5ULjMvMjAvMjAyNAEAAAAupmAGAgAAABMwLjAwMzcyMzA4MzYzNDI5NjY5AJFIthIiE94IIt3dFSIT3ggsQ0lRLk1FSVAuSVFfU0hPUlRfSU5URVJFU1RfUEVSQ0VOVC4zLzI2LzIwMjQBAAAAPckhAAMAAAAAAJFIthIiE94I1rPZFSIT3ggiQ0lRLkFSR1guSVFfVkFMVUVfVFJBREVELjMvMjcvMjAyNAEAAAC94rMDAgAAAAkxOC41NDQzOTMAkUi2EiIT3ggxTNcVIhPeCCFDSVEuWExPLklRX1ZBTFVFX1RSQURFRC4zLzI4LzIwMjQBAAAAPIzGFQIAAAAJMzcuMzAyNDE0AKWZrBIiE94IaePUFSIT3ggrQ0lRLlNSWk4uSVFfU0hPUlRfSU5URVJFU1RfUEVSQ0VOVC40LzEvMjAyNAEAAAAXPvUXAgAAABEwLjE2NDE1MzQyNTA3MTUxNwClmawSIhPeCGnj1BUiE94IK0NJUS5LTlNBLklRX1NIT1JUX0lOVEVSRVNUX1BFUkNFTlQuNC8yLzIwMjQBAAAAtaJFIQIAAAAQNC4wNjA3MTI0NjQyNjg1OAClmawSIhPeCGhx0hUiE94IK0NJUS5TR0hULklRX1NIT1JUX0lOVEVSRVNUX1BFUkNFTlQuNC8yLzIwMjQBAAAAa2BoCAIAAAAQMy4yODI3NTk1MTE5NjEzNgClmawSIhPeCGhx0hUiE94IIUNJUS5NUk5BLklRX1ZBTFVFX1RSQURFRC40LzMvMjAyNAEAAAD8g6sH</t>
  </si>
  <si>
    <t>AgAAAAo1MjMuMDM0NTU2AKWZrBIiE94IaHHSFSIT3gghQ0lRLkFEQ1QuSVFfVkFMVUVfVFJBREVELjQvNC8yMDI0AQAAAJqj6QoCAAAACDUuNzM3OTAxAKWZrBIiE94IfgfQFSIT3gghQ0lRLkNBREwuSVFfVkFMVUVfVFJBREVELjQvNC8yMDI0AQAAAKtaOgICAAAACTkyMS4xNTUxMwClmawSIhPeCH4H0BUiE94IK0NJUS5PQ0dOLklRX1NIT1JUX0lOVEVSRVNUX1BFUkNFTlQuNC81LzIwMjQBAAAAt8AcEgIAAAAQMTMuNzk5NzU0MDQwNTQwNgClmawSIhPeCH4H0BUiE94IIUNJUS5DUkRGLklRX1ZBTFVFX1RSQURFRC40LzgvMjAyNAEAAAC8OqcAAgAAAAg0Ljk3NzA4NQDFOWwSIhPeCC6kzRUiE94IK0NJUS5HTUFCLklRX1NIT1JUX0lOVEVSRVNUX1BFUkNFTlQuNC84LzIwMjQBAAAAaCgKAAMAAAAAAMU5bBIiE94ILqTNFSIT3gghQ0lRLkFEQ1QuSVFfVkFMVUVfVFJBREVELjQvOC8yMDI0AQAAAJqj6QoCAAAACDMuMjA0NzgxAMU5bBIiE94Iw1XNFSIT3ggrQ0lRLk1SS1IuSVFfU0hPUlRfSU5URVJFU1RfUEVSQ0VOVC40LzgvMjAyNAEAAAAiVBoAAgAAABAxLjY4MTUwODgzOTIwMTQ0AMU5bBIiE94I5MrLFSIT3ggrQ0lRLkFUT1MuSVFfU0hPUlRfSU5URVJFU1RfUEVSQ0VOVC40LzkvMjAyNAEAAACezPkFAgAAABA4LjQzMDMzMDcxOTM2MTE5AMU5bBIiE94IWyrLFSIT3ggrQ0lRLklOQUIuSVFfU0hP</t>
  </si>
  <si>
    <t>UlRfSU5URVJFU1RfUEVSQ0VOVC40LzkvMjAyNAEAAAAUNC4hAgAAABEwLjExOTIzNTg1OTM2NDY1OADFOWwSIhPeCLJJyhUiE94IK0NJUS5CQ1RYLklRX1NIT1JUX0lOVEVSRVNUX1BFUkNFTlQuNC85LzIwMjQBAAAA9tyhDwMAAAAAAMU5bBIiE94IDWnJFSIT3ggsQ0lRLkdBTFQuSVFfU0hPUlRfSU5URVJFU1RfUEVSQ0VOVC40LzEwLzIwMjQBAAAAx0EQAAIAAAAPMy42MjczNzI4NjQwODQ3AKLtKxIiE94I36fHFSIT3ggiQ0lRLkFDUlYuSVFfVkFMVUVfVFJBREVELjQvMTAvMjAyNAEAAACJQ+cmAgAAAAkxMC45MTI0NjEAou0rEiIT3giUWccVIhPeCCxDSVEuTEJQSC5JUV9TSE9SVF9JTlRFUkVTVF9QRVJDRU5ULjQvMTUvMjAyNAUAAAAAAAAACAAAABQoSW52YWxpZCBJZGVudGlmaWVyKaLtKxIiE94IaELEFSIT3ggiQ0lRLkhBTE8uSVFfVkFMVUVfVFJBREVELjQvMTYvMjAyNAEAAABGBXkAAgAAAAkyNC42NTEyNDQAou0rEiIT3ghoQsQVIhPeCCJDSVEuQUVPTi5JUV9WQUxVRV9UUkFERUQuMy8xOS8yMDI0AQAAAAb/xQ4CAAAACDUuMTE0NTM0AJFIthIiE94IGyveFSIT3gghQ0lRLktSQlAuSVFfVkFMVUVfVFJBREVELjQvMi8yMDI0AQAAAEC5fycDAAAAAAClmawSIhPeCGhx0hUiE94IK0NJUS5OVEJMLklRX1NIT1JUX0lOVEVSRVNUX1BFUkNFTlQuNC85LzIwMjQBAAAAAu1aAAMAAAAAAMU5bBIi</t>
  </si>
  <si>
    <t>E94IztbIFSIT3ggiQ0lRLlRFTE8uSVFfVkFMVUVfVFJBREVELjQvMTUvMjAyNAEAAADE4yxtAgAAAAgwLjUxMjg5NwCi7SsSIhPeCGhCxBUiE94IIENJUS5OVk8uSVFfQkVUQV8xWVJfUlNRLjMvNS8yMDI0AQAAAHzvBAADAAAAAAD7uBUTIhPeCGro6hUiE94IIUNJUS5BTE5ZLklRX0JFVEFfMVlSX1JTUS4zLzUvMjAyNAEAAABzrCoAAgAAABEwLjMxNzI4MjE3Mjc0OTc5MgD7uBUTIhPeCESa6hUiE94IIUNJUS5HQU5YLklRX0JFVEFfMVlSX1JTUS4zLzUvMjAyNAEAAADb0AwhAgAAABMwLjAwMzA4NzM1MzI1ODA5MTY1APu4FRMiE94I/G7qFSIT3ggiQ0lRLlROWUEuSVFfQkVUQV8xWVJfUlNRLjIvMjYvMjAyNAEAAAAWw2IYAgAAABIwLjA5MDIxMzM5NDEzOTUyNjIAQ9UgEyIT3ggElvAVIhPeCCBDSVEuUEZFLklRX0JFVEFfMVlSX1JTUS4zLzQvMjAyNAEAAADeeQIAAgAAABIwLjA3MzQyNzg0NDQ5Mjg1MjIA+7gVEyIT3ghtNusVIhPeCCJDSVEuTFhSWC5JUV9CRVRBXzFZUl9SU1EuMy8xMS8yMDI0AQAAAD14AAACAAAAETAuMDM2MTA0MjQwMzU5NzM5AAi54xIiE94Ir5HlFSIT3ggiQ0lRLlZUUlMuSVFfQkVUQV8xWVJfUlNRLjMvMTEvMjAyNAEAAACbbQQAAgAAABIwLjA1MDQ3Njk0ODQxMDY3MDcACLnjEiIT3gjKKOMVIhPeCCJDSVEuQ1JOWC5JUV9CRVRBXzFZUl9SU1EuMy8xMi8yMDI0AQAAAP9f</t>
  </si>
  <si>
    <t>uRACAAAAEzAuMDA1MDIyNDQ5MDEzMDY0OTUACLnjEiIT3gjKKOMVIhPeCCFDSVEuSVZBLklRX0JFVEFfMVlSX1JTUS4zLzE4LzIwMjQBAAAAiodNEAIAAAASMC4wNDAxODg2NDg3ODUzNzkzAAi54xIiE94I4MDeFSIT3ggiQ0lRLkFMTVMuSVFfQkVUQV8xWVJfUlNRLjMvMjAvMjAyNAEAAABfew8qAwAAAAAAkUi2EiIT3ggqBN4VIhPeCCJDSVEuQUxQTi5JUV9CRVRBXzFZUl9SU1EuMy8yMS8yMDI0AQAAANmQZgACAAAAEDAuMDI5ODc5ODc3ODEyNDQAkUi2EiIT3gi2Gd0VIhPeCCJDSVEuQVhTTS5JUV9CRVRBXzFZUl9SU1EuMy8yNS8yMDI0AQAAAGs3aw4CAAAAEjAuMDQyNjM3Nzg0MjI2MzY4MgCRSLYSIhPeCNaz2RUiE94IIkNJUS5MSVRTLklRX0JFVEFfMVlSX1JTUS4zLzI2LzIwMjQBAAAAPckhAAIAAAASMC4wMzUwNjQ0MzU4OTE0MjQ5AJFIthIiE94I1rPZFSIT3ggiQ0lRLklOQ1kuSVFfQkVUQV8xWVJfUlNRLjMvMTEvMjAyNAEAAACaFAUAAgAAABEwLjE2MjE4MTIyMzkxMjE1NgAIueMSIhPeCK+R5RUiE94IIkNJUS5CR05FLklRX0JFVEFfMVlSX1JTUS4zLzE0LzIwMjQBAAAA4OTdBgMAAAAAAAi54xIiE94IBMHgFSIT3gghQ0lRLkFaTi5JUV9CRVRBXzFZUl9SU1EuMy8yNS8yMDI0AQAAAIYjBQACAAAAETAuMjI3MTcwOTIzMjEzMzcyAJFIthIiE94I1rPZFSIT3ggiQ0lRLlJFR04uSVFfQkVU</t>
  </si>
  <si>
    <t>QV8xWVJfUlNRLjMvMjUvMjAyNAEAAACzgwAAAgAAABIwLjA5OTM1OTA3NjM0Mzg1ODQAkUi2EiIT3gjWs9kVIhPeCCJDSVEuQVRBSS5JUV9CRVRBXzFZUl9SU1EuMy8yNy8yMDI0AQAAAO03VyoCAAAAETAuMTcyMzkzODcwNjY2ODczAJFIthIiE94IMUzXFSIT3gghQ0lRLkFYU00uSVFfQkVUQV8xWVJfUlNRLjQvMS8yMDI0AQAAAGs3aw4CAAAAEjAuMDQ4NTAzOTgwNjY2NDAyNgClmawSIhPeCGnj1BUiE94IIUNJUS5TUlpOLklRX0JFVEFfMVlSX1JTUS40LzEvMjAyNAEAAAAXPvUXAgAAABMwLjAwOTgwMzMwMDk3NjUzODkxAKWZrBIiE94IaePUFSIT3gghQ0lRLlNHSFQuSVFfQkVUQV8xWVJfUlNRLjQvMi8yMDI0AQAAAGtgaAgCAAAAETAuMTM1MzA3MDg0MDcyODgyAKWZrBIiE94IaHHSFSIT3gghQ0lRLk9DR04uSVFfQkVUQV8xWVJfUlNRLjQvNS8yMDI0AQAAALfAHBICAAAAEzAuMDA5Mzc0NDc4MzI4MjEwOTgApZmsEiIT3gh+B9AVIhPeCCFDSVEuR01BQi5JUV9CRVRBXzFZUl9SU1EuNC84LzIwMjQBAAAAaCgKAAIAAAASMC4wOTQwMDE1ODU4MDYxMTc2AMU5bBIiE94ILqTNFSIT3gghQ0lRLk1SS1IuSVFfQkVUQV8xWVJfUlNRLjQvOC8yMDI0AQAAACJUGgACAAAAEzAuMDA3NzcyNjc4NjY1MzIzNjgAxTlsEiIT3gjkyssVIhPeCCFDSVEuQVRPUy5JUV9CRVRBXzFZUl9SU1EuNC85LzIwMjQBAAAA</t>
  </si>
  <si>
    <t>nsz5BQIAAAASMC4wMzgzODc0OTExOTg3MDQ5AMU5bBIiE94IWyrLFSIT3gghQ0lRLk5SSVguSVFfQkVUQV8xWVJfUlNRLjQvOS8yMDI0AQAAAEwqVQwCAAAAETAuMjE1MDI2OTMwNjIxMjg4AMU5bBIiE94IEdzKFSIT3gghQ0lRLklOQUIuSVFfQkVUQV8xWVJfUlNRLjQvOS8yMDI0AQAAABQ0LiECAAAAEzAuMDAzMDcyODUxNjU1NzIxNTUAxTlsEiIT3giyScoVIhPeCCJDSVEuR0FMVC5JUV9CRVRBXzFZUl9SU1EuNC8xMC8yMDI0AQAAAMdBEAACAAAAEzAuMDA2NDA3ODg2MzAyODM4ODEAou0rEiIT3gjfp8cVIhPeCCJDSVEuVktUWC5JUV9CRVRBXzFZUl9SU1EuMi8yNy8yMDI0AQAAAPK8tQ4CAAAAETAuMTMyMjg3Njg3NzA3MjA0AEPVIBMiE94ImavvFSIT3ggiQ0lRLkFNUlguSVFfQkVUQV8xWVJfUlNRLjMvMjUvMjAyNAEAAABXnEoCAgAAABIwLjAyNDM0MTM3OTg2NDExNDIAkUi2EiIT3gjWs9kVIhPeCCFDSVEuQk1FQS5JUV9CRVRBXzFZUl9SU1EuNC8yLzIwMjQBAAAAx5hxKQIAAAAUMC4wMDAxMTg3OTI5MzE1NzU3NTkApZmsEiIT3ghp49QVIhPeCCFDSVEuVFNWVC5JUV9CRVRBXzFZUl9SU1EuNC81LzIwMjQFAAAAAAAAAAgAAAAUKEludmFsaWQgSWRlbnRpZmllcimlmawSIhPeCH4H0BUiE94IIUNJUS5JVE9TLklRX0JFVEFfMVlSX1JTUS40LzcvMjAyNAUAAAAAAAAACAAAABQoSW52YWxpZCBJ</t>
  </si>
  <si>
    <t>ZGVudGlmaWVyKcU5bBIiE94ILqTNFSIT3gghQ0lRLk5WQ1QuSVFfQkVUQV8xWVJfUlNRLjQvOC8yMDI0AQAAAKKJGWQCAAAAEjAuMDA3OTI5ODUwMzkzNTQxMgDFOWwSIhPeCAdAzBUiE94IIUNJUS5CR05FLklRX0JFVEFfMVlSX1JTUS40LzkvMjAyNAEAAADg5N0GAwAAAAAAxTlsEiIT3giqksgVIhPeCCJDSVEuQk5UWC5JUV9CRVRBXzFZUl9SU1EuNC8xMC8yMDI0AQAAAHs7DQMCAAAAEDAuMTA4NTE2NjY2ODAyODkAou0rEiIT3ghLqsYVIhPeCCJDSVEuTVJOUy5JUV9CRVRBXzFZUl9SU1EuNC8xNS8yMDI0AQAAACEWNwECAAAAEzAuMDAyOTg2MDc1NjUzMzEyMzMAou0rEiIT3ghoQsQVIhPeCCJDSVEuQUxJTS5JUV9CRVRBXzFZUl9SU1EuMy8xOS8yMDI0AQAAADvlnQADAAAAAACRSLYSIhPeCODA3hUiE94IIkNJUS5URkZQLklRX0JFVEFfMVlSX1JTUS4zLzI3LzIwMjQBAAAA6jQLAAMAAAAAAJFIthIiE94IMUzXFSIT3gghQ0lRLkNPR1QuSVFfQkVUQV8xWVJfUlNRLjQvOC8yMDI0AQAAAGnURCgCAAAAEzAuMDAyMTQ5MjY3NDcwNzYzNjYAxTlsEiIT3ggUfc0VIhPeCCFDSVEuRkhUWC5JUV9CRVRBXzFZUl9SU1EuNC85LzIwMjQBAAAA6GMSIAIAAAASMC4wNDc4NjcyMTU2NjU1Njg2AMU5bBIiE94I8ZfKFSIT3ggiQ0lRLkJUQUkuSVFfQkVUQV8xWVJfUlNRLjQvMTAvMjAyNAEAAAANL2YgAgAAABMw</t>
  </si>
  <si>
    <t>LjAwODgxMjAzNjYzNTk0ODg2AMU5bBIiE94I36fHFSIT3ggiQ0lRLkxQQ04uSVFfQkVUQV8xWVJfUlNRLjQvMTEvMjAyNAEAAAAa9HoAAgAAABIwLjA2NjQ4ODQ0Mjg0OTUzMDYAou0rEiIT3ghoQsQVIhPeCCJDSVEuT1JJQy5JUV9CRVRBXzFZUl9SU1EuNC8xNS8yMDI0AQAAAFRLGhICAAAAETAuMTM2NTUzNzMzOTE4OTc0AKLtKxIiE94IaELEFSIT3ggiQ0lRLk9DR04uSVFfQkVUQV8xWVJfUlNRLjMvMTMvMjAyNAEAAAC3wBwSAgAAABQwLjAwMDY3MDgwNDQ2NjcyODI2MgAIueMSIhPeCATB4BUiE94IIkNJUS5BS0JBLklRX0JFVEFfMVlSX1JTUS4zLzI3LzIwMjQBAAAAdygvAgIAAAASMC4wMTc3NDIxNTU0Nzc5NTkzAJFIthIiE94IMUzXFSIT3gghQ0lRLkVGVFIuSVFfQkVUQV8xWVJfUlNRLjQvNC8yMDI0AQAAAP8dVw4CAAAAEzAuMDA3NjAyMTY0Mzk3MTYxNjUApZmsEiIT3gh+B9AVIhPeCCFDSVEuQ1JCVS5JUV9CRVRBXzFZUl9SU1EuNC80LzIwMjQBAAAAL0c5EAIAAAASMC4wNDE0OTY3NzA3MDA5MTU5AKWZrBIiE94IfgfQFSIT3gghQ0lRLlJFUEwuSVFfQkVUQV8xWVJfUlNRLjQvNy8yMDI0AQAAAEToEiICAAAAEjAuMDIwOTQxNjY0NjkxNDAwNwDFOWwSIhPeCP5yzxUiE94IIUNJUS5TTkRYLklRX0JFVEFfMVlSX1JTUS40LzgvMjAyNAEAAADKpp8BAgAAABEwLjI3MDIwMTg5Nzc4NjQ5NwDF</t>
  </si>
  <si>
    <t>OWwSIhPeCC6kzRUiE94IIUNJUS5JTk1CLklRX0JFVEFfMVlSX1JTUS40LzgvMjAyNAEAAACXS5wfAgAAABIwLjAyMTYwNDY5ODAzMzI4OTUAxTlsEiIT3gjr8csVIhPeCCFDSVEuQ01QWC5JUV9CRVRBXzFZUl9SU1EuNC85LzIwMjQBAAAA/GHdDwIAAAASMC4wMjA3OTc0NjU1Nzk3NDM0AMU5bBIiE94IEdzKFSIT3gghQ0lRLlFMR04uSVFfQkVUQV8xWVJfUlNRLjQvOS8yMDI0AQAAAI3qFQACAAAAEzAuMDA3MzM1NjIxNzU5MDc1MzUAxTlsEiIT3ggNackVIhPeCCFDSVEuR05QWC5JUV9CRVRBXzFZUl9SU1EuNC85LzIwMjQBAAAAqrxxDQIAAAARMC4xNjIwMDgwNDQ1NjEzNDMAxTlsEiIT3gjDGskVIhPeCCJDSVEuQU1MWC5JUV9CRVRBXzFZUl9SU1EuNC8xMC8yMDI0AQAAAAag5xICAAAAEjAuMDI5MTU0MDQ1ODEyNDM3NACi7SsSIhPeCEQLxxUiE94IIkNJUS5SQVJFLklRX0JFVEFfMVlSX1JTUS40LzE1LzIwMjQBAAAA8XoABwIAAAARMC4xMDQ4ODQ0Mjg2OTg1NTQAou0rEiIT3ghoQsQVIhPeCCJDSVEuUFRHWC5JUV9CRVRBXzFZUl9SU1EuMy8xMS8yMDI0AQAAANxmtAcCAAAAETAuMDkzMjgyNDIwMjU5NDE0AAi54xIiE94IyijjFSIT3ggiQ0lRLklSV0QuSVFfQkVUQV8xWVJfUlNRLjMvMjgvMjAyNAEAAAAKewAAAgAAABMwLjAwNTM1ODQ4NjM3NDgyMTA4AKWZrBIiE94IMUzXFSIT3ggiQ0lRLkNO</t>
  </si>
  <si>
    <t>VFguSVFfQkVUQV8xWVJfUlNRLjMvMjgvMjAyNAEAAAAgmVEYAgAAABIwLjAzOTkyOTg2MzA3MDA0MjMApZmsEiIT3ghp49QVIhPeCCBDSVEuTVJLLklRX0JFVEFfMVlSX1JTUS40LzMvMjAyNAEAAAD2ZgQAAgAAABQwLjAwMDExMTA0NTQzODc1MTQwNwClmawSIhPeCGhx0hUiE94IIUNJUS5OQlRYLklRX0JFVEFfMVlSX1JTUS40LzMvMjAyNAEAAAC7rj8BAwAAAAAApZmsEiIT3ghocdIVIhPeCCBDSVEuSk5KLklRX0JFVEFfMVlSX1JTUS40LzUvMjAyNAEAAACdIQIAAgAAABEwLjEzODgwMjUzOTI2NTc0NwClmawSIhPeCH4H0BUiE94IIUNJUS5OVVZMLklRX0JFVEFfMVlSX1JTUS40LzgvMjAyNAEAAACFbN4pAgAAABAwLjExNzcxMTUxMjUxNTYyAMU5bBIiE94ILqTNFSIT3gghQ0lRLkFMWE8uSVFfQkVUQV8xWVJfUlNRLjQvOC8yMDI0AQAAAJAD/xECAAAAETAuMTA3MzY1MTI0ODgzOTM0AMU5bBIiE94IsS7NFSIT3gggQ0lRLllTLklRX0JFVEFfMVlSX1JTUS40LzEwLzIwMjQBAAAAeNFaDAMAAAAAAMU5bBIiE94II/bHFSIT3ggiQ0lRLkFMUE4uSVFfQkVUQV8xWVJfUlNRLjQvMTAvMjAyNAEAAADZkGYAAgAAABIwLjAyNTUzMjYzOTc0ODczMTMAou0rEiIT3ghoQsQVIhPeCCJDSVEuQ09SVC5JUV9CRVRBXzFZUl9SU1EuNC8xNS8yMDI0AQAAANK5FQACAAAAETAuMDE3MDcxODgxNTU5NTI4AKLtKxIi</t>
  </si>
  <si>
    <t>E94IaELEFSIT3ggiQ0lRLk5SSVguSVFfQkVUQV8xWVJfUlNRLjMvMTEvMjAyNAEAAABMKlUMAgAAABEwLjE3ODE5ODYyNzY2Nzk3NAAIueMSIhPeCK+R5RUiE94IIkNJUS5BUldSLklRX0JFVEFfMVlSX1JTUS4zLzI1LzIwMjQBAAAAhhkDAAIAAAARMC4xMTg5NDE2OTY5NzE1MDYAkUi2EiIT3gjWs9kVIhPeCCJDSVEuQVROTS5JUV9CRVRBXzFZUl9SU1EuMy8yNi8yMDI0AQAAAJu3dwACAAAAEjAuMDIyMTc1OTIxNjkzNzc0MgCRSLYSIhPeCDFM1xUiE94IIUNJUS5ST0lWLklRX0JFVEFfMVlSX1JTUS40LzIvMjAyNAEAAAA5OM8QAgAAABIwLjA3MzUyNTQwMTgxODAwNzMApZmsEiIT3ghocdIVIhPeCCFDSVEuQ1ZBQy5JUV9CRVRBXzFZUl9SU1EuNC80LzIwMjQBAAAAfis9AQIAAAATMC4wMDE0OTg3MzM3ODI1NzQzMQClmawSIhPeCH4H0BUiE94IIUNJUS5CTlRYLklRX0JFVEFfMVlSX1JTUS40LzcvMjAyNAEAAAB7Ow0DAgAAABAwLjEwODUxNjY2NjgwMjg5AMU5bBIiE94ILqTNFSIT3gghQ0lRLk1JU1QuSVFfQkVUQV8xWVJfUlNRLjQvOC8yMDI0AQAAADPtJwICAAAAEjAuMDE1NTM5MzUyNjY4NzIzNADFOWwSIhPeCC6kzRUiE94IIUNJUS5FTlRYLklRX0JFVEFfMVlSX1JTUS40LzgvMjAyNAEAAAAupmAGAgAAABMwLjAwNjYyMDM2OTQ0NTk4NTg2AMU5bBIiE94IPWfMFSIT3ggiQ0lRLlZUWVguSVFf</t>
  </si>
  <si>
    <t>QkVUQV8xWVJfUlNRLjMvMTEvMjAyNAEAAAAEFBYoAgAAABIwLjAxMzEyNDkzNDM4ODU2NzgACLnjEiIT3gjKKOMVIhPeCCFDSVEuUEJNLklRX0JFVEFfMVlSX1JTUS4zLzE4LzIwMjQBAAAAPEWiKQIAAAATMC4wMDk0OTAyOTk4Mzc0NTgyNgAIueMSIhPeCODA3hUiE94IIkNJUS5MR05ELklRX0JFVEFfMVlSX1JTUS4zLzE5LzIwMjQBAAAAZHgAAAIAAAARMC4zODc0NzA4NDkzMzU0MTcAkUi2EiIT3ghUUt4VIhPeCCJDSVEuQUJCVi5JUV9CRVRBXzFZUl9SU1EuMy8yMi8yMDI0AQAAAAoBdQgCAAAAEjAuMDQ0MjI5MzcyNDQ0NzMwMwCRSLYSIhPeCLry3BUiE94IIENJUS5CTVkuSVFfQkVUQV8xWVJfUlNRLjQvNS8yMDI0AQAAAMZkAAACAAAAEjAuMDUxMDg3MTQwOTIyMzY3OAClmawSIhPeCH4H0BUiE94IIUNJUS5BTVJOLklRX0JFVEFfMVlSX1JTUS40LzYvMjAyNAEAAAA3OQYAAgAAABIwLjA4NDA3NTM5NDY0MDYxMjEApZmsEiIT3gj+cs8VIhPeCCFDSVEuQ0NDQy5JUV9CRVRBXzFZUl9SU1EuNC84LzIwMjQBAAAABM4qEwIAAAASMC4wNTYzNjg4ODYyMzQ4MTUzAMU5bBIiE94IB0DMFSIT3ggiQ0lRLkFMS1MuSVFfQkVUQV8xWVJfUlNRLjQvMTAvMjAyNAEAAAD8XwAAAgAAABIwLjAxMzEwMjk4MjcwNzc0OTIAou0rEiIT3giUWccVIhPeCCFDSVEuTlZTLklRX0JFVEFfMVlSX1JTUS40LzE1LzIwMjQB</t>
  </si>
  <si>
    <t>AAAAqbXoDwIAAAATMC4wMDEwNDM0MjQ2Mzc0MDgxNACi7SsSIhPeCGhCxBUiE94IIkNJUS5JTVVYLklRX0JFVEFfMVlSX1JTUS4yLzI5LzIwMjQBAAAAZX4FGAIAAAARMC4xMzU2NTc1MTQyODE3NzEA+7gVEyIT3giKEe4VIhPeCCFDSVEuQVNMTi5JUV9CRVRBXzFZUl9SU1EuMy82LzIwMjQFAAAAAAAAAAgAAAAUKEludmFsaWQgSWRlbnRpZmllcin7uBUTIhPeCI/55xUiE94IIUNJUS5BVE5NLklRX0JFVEFfMVlSX1JTUS40LzEvMjAyNAEAAACbt3cAAgAAABEwLjAyMTg1OTY1NzQxOTgyMwClmawSIhPeCGnj1BUiE94IIUNJUS5HT1ZYLklRX0JFVEFfMVlSX1JTUS40LzQvMjAyNAEAAACv+LcAAgAAABIwLjAxMzQ0NTUxODc4MjM4MzcApZmsEiIT3gh+B9AVIhPeCCBDSVEuSU5PLklRX0JFVEFfMVlSX1JTUS40LzcvMjAyNAEAAAD6cAAAAgAAABIwLjAyMDQzNDcxNTU3ODg1MzEAxTlsEiIT3ggupM0VIhPeCCFDSVEuVklOQy5JUV9CRVRBXzFZUl9SU1EuNC84LzIwMjQBAAAA5DUjKQIAAAASMC4wMDI2ODgwNDY5NDc4OTQ0AMU5bBIiE94ILqTNFSIT3gghQ0lRLkNHRU4uSVFfQkVUQV8xWVJfUlNRLjQvOS8yMDI0AQAAAOOIAgACAAAAEjAuMDI3OTUwMTA0NTQxODkyMgDFOWwSIhPeCM7WyBUiE94IIUNJUS5DTFJCLklRX1ZBTFVFX1RSQURFRC4zLzQvMjAyNAEAAADz7j0CAgAAAAkxMi41OTc2NDYA+7gV</t>
  </si>
  <si>
    <t>EyIT3ghETOwVIhPeCCpDSVEuUEZFLklRX1NIT1JUX0lOVEVSRVNUX1BFUkNFTlQuMy80LzIwMjQBAAAA3nkCAAIAAAAQMS4wNzQ2MTA1MjAwNjgzNQD7uBUTIhPeCG026xUiE94IIUNJUS5OS1RSLklRX1ZBTFVFX1RSQURFRC4zLzUvMjAyNAEAAADpdAAAAgAAAAg1LjA4MzE0NAD7uBUTIhPeCI/55xUiE94IIUNJUS5HTFlDLklRX1ZBTFVFX1RSQURFRC4xLzMvMjAyNAEAAAA5B1cAAwAAAAAAAhmVEyIT3gj1uAwWIhPeCB5DSVEuWEJJLklRX0xBU1RTQUxFUFJJQ0UuNDUyOTYBAAAAykCYAQIAAAAEODkuMwAztpUTIhPeCPW4DBYiE94IHkNJUS5YQkkuSVFfTEFTVFNBTEVQUklDRS40NTMwNgEAAADKQJgBAgAAAAU5MC40MgCGBJYTIhPeCOhxCRYiE94IHkNJUS5YQkkuSVFfTEFTVFNBTEVQUklDRS40NTMyOAEAAADKQJgBAgAAAAU4OS43NgBIDIoTIhPeCOIy/hUiE94IIENJUS5HU0suSVFfVkFMVUVfVFJBREVELjIvOC8yMDI0AQAAAPIzBAACAAAACjEyNC4zMjAxMTgAkj1REyIT3gi9sPgVIhPeCB5DSVEuWEJJLklRX0xBU1RTQUxFUFJJQ0UuNDUzMzYBAAAAykCYAQIAAAAFOTEuMTQA7WNREyIT3gi9sPgVIhPeCB5DSVEuWEJJLklRX0xBU1RTQUxFUFJJQ0UuNDUzNDMBAAAAykCYAQIAAAAFOTIuNDcAiHUhEyIT3ghdR/YVIhPeCB5DSVEuWEJJLklRX0xBU1RTQUxFUFJJQ0UuNDUzNDQBAAAAykCYAQIA</t>
  </si>
  <si>
    <t>AAAFOTQuMTUAiHUhEyIT3gjW1/MVIhPeCB5DSVEuWEJJLklRX0xBU1RTQUxFUFJJQ0UuNDUzNTIBAAAAykCYAQIAAAAGMTAxLjUzAIh1IRMiE94IwbTxFSIT3ggiQ0lRLkNMRFguSVFfVkFMVUVfVFJBREVELjIvMjQvMjAyNAEAAABVzJIAAwAAAAAAiHUhEyIT3gh7C/EVIhPeCCxDSVEuVktUWC5JUV9TSE9SVF9JTlRFUkVTVF9QRVJDRU5ULjIvMjcvMjAyNAEAAADyvLUOAgAAABAxMS43OTQwMTA5MTM1NjQzAIh1IRMiE94ImavvFSIT3ggsQ0lRLlNJTE8uSVFfU0hPUlRfSU5URVJFU1RfUEVSQ0VOVC4yLzI4LzIwMjQBAAAAGi+0BwIAAAAPMi4yMzQzMzc0MTAxMzk1AIh1IRMiE94IAtnuFSIT3gggQ0lRLk5WTy5JUV9WQUxVRV9UUkFERUQuMy81LzIwMjQBAAAAfO8EAAIAAAAKNTk5LjI5Mjc2OQD7uBUTIhPeCGro6hUiE94IIUNJUS5HQU5YLklRX1ZBTFVFX1RSQURFRC4zLzUvMjAyNAEAAADb0AwhAgAAAAgzLjI0NzE1OAD7uBUTIhPeCPxu6hUiE94IIUNJUS5JQlJYLklRX1ZBTFVFX1RSQURFRC4zLzUvMjAyNAEAAAAHwg8SAgAAAAkxNy42NTg4NTEA+7gVEyIT3giP+ecVIhPeCB5DSVEuWEJJLklRX0xBU1RTQUxFUFJJQ0UuNDUzNTUBAAAAykCYAQIAAAAGMTAwLjczAIh1IRMiE94IJuTwFSIT3ggrQ0lRLkFTTE4uSVFfU0hPUlRfSU5URVJFU1RfUEVSQ0VOVC4zLzYvMjAyNAUAAAAAAAAACAAAABQo</t>
  </si>
  <si>
    <t>SW52YWxpZCBJZGVudGlmaWVyKfu4FRMiE94Ij/nnFSIT3ggrQ0lRLlpMQUIuSVFfU0hPUlRfSU5URVJFU1RfUEVSQ0VOVC4zLzYvMjAyNAEAAAB3AikQAgAAABA0Ljc0OTgxMjI0OTY0NDg4APopGBMiE94Ij/nnFSIT3gghQ0lRLkZCSU8uSVFfVkFMVUVfVFJBREVELjMvNy8yMDI0AQAAAAnyrQMCAAAACDAuNjA1MTE3APopGBMiE94Ir5HlFSIT3gghQ0lRLktZVFguSVFfVkFMVUVfVFJBREVELjMvOC8yMDI0AQAAAGGtyiYCAAAACDcuNjQ2MTc0AAi54xIiE94Ir5HlFSIT3ggeQ0lRLlhCSS5JUV9MQVNUU0FMRVBSSUNFLjQ1MzY2AQAAAMpAmAECAAAABTk0LjcxAPopGBMiE94Ir5HlFSIT3ggiQ0lRLk5SSVguSVFfVkFMVUVfVFJBREVELjMvMTEvMjAyNAEAAABMKlUMAgAAAAkxMi44MTgwNDQACLnjEiIT3givkeUVIhPeCCtDSVEuTExZLklRX1NIT1JUX0lOVEVSRVNUX1BFUkNFTlQuMy8xMS8yMDI0AQAAABtbBAACAAAAETAuNjAyNDg3Nzk5NjQwNDE1AAi54xIiE94IyijjFSIT3ggiQ0lRLlRWVFguSVFfVkFMVUVfVFJBREVELjMvMTEvMjAyNAEAAABB1PUHAgAAAAg4Ljk0MDA3NQAIueMSIhPeCMoo4xUiE94ILENJUS5QVEdYLklRX1NIT1JUX0lOVEVSRVNUX1BFUkNFTlQuMy8xMS8yMDI0AQAAANxmtAcCAAAAEDUuMDM3NjE0OTMwNTA1ODcACLnjEiIT3gjKKOMVIhPeCCxDSVEuUEhJTy5JUV9TSE9S</t>
  </si>
  <si>
    <t>VF9JTlRFUkVTVF9QRVJDRU5ULjMvMTMvMjAyNAEAAAA5BmcIAgAAABAxLjg4MDk5MDgzODQ3MTU3AAi54xIiE94IBMHgFSIT3ggiQ0lRLklNTk4uSVFfVkFMVUVfVFJBREVELjMvMTMvMjAyNAEAAAAu+QMAAgAAAAgwLjAzMjY3NAAIueMSIhPeCATB4BUiE94ILENJUS5MRUdOLklRX1NIT1JUX0lOVEVSRVNUX1BFUkNFTlQuMy8xNS8yMDI0AQAAAGwj8yACAAAAEDUuNjQxNjg2ODg2OTExOTEACLnjEiIT3ggEweAVIhPeCB5DSVEuWEJJLklRX0xBU1RTQUxFUFJJQ0UuNDUzNzABAAAAykCYAQIAAAAFOTMuODUACLnjEiIT3gjKKOMVIhPeCCJDSVEuQ1JOWC5JUV9WQUxVRV9UUkFERUQuMy8xOS8yMDI0AQAAAP9fuRACAAAACTEzOS42MDg4MgAIueMSIhPeCODA3hUiE94IK0NJUS5DVk0uSVFfU0hPUlRfSU5URVJFU1RfUEVSQ0VOVC4zLzE5LzIwMjQBAAAAuvIDAAIAAAAPMTIuOTI0NDM5MzY5NzYxAJFIthIiE94IVFLeFSIT3gghQ0lRLk1SSy5JUV9WQUxVRV9UUkFERUQuMy8yMS8yMDI0AQAAAPZmBAACAAAACzEwMDguMjgyNDI0AJFIthIiE94IF2jdFSIT3ggsQ0lRLklWVkQuSVFfU0hPUlRfSU5URVJFU1RfUEVSQ0VOVC4zLzIyLzIwMjQBAAAAgoNeKAIAAAAQMS42MDUzNjA0ODE5Mzc5OACRSLYSIhPeCHd93BUiE94IIkNJUS5BUldSLklRX1ZBTFVFX1RSQURFRC4zLzI1LzIwMjQBAAAAhhkDAAIAAAAJ</t>
  </si>
  <si>
    <t>MTQuNDMwNzA0AJFIthIiE94I1rPZFSIT3ggsQ0lRLkFNUlguSVFfU0hPUlRfSU5URVJFU1RfUEVSQ0VOVC4zLzI1LzIwMjQBAAAAV5xKAgIAAAARMC41OTE2NTYxMjg1OTQ2NzkAkUi2EiIT3gjWs9kVIhPeCCFDSVEuTVJLLklRX1ZBTFVFX1RSQURFRC4zLzI2LzIwMjQBAAAA9mYEAAIAAAALMTExMi42NTk3MzkAkUi2EiIT3ggxTNcVIhPeCCFDSVEuUkVHTi5JUV9WQUxVRV9UUkFERUQuMy82LzIwMjQBAAAAs4MAAAIAAAAKMzU2LjU5OTMzMQD7uBUTIhPeCI/55xUiE94IIkNJUS5QUlRDLklRX1ZBTFVFX1RSQURFRC4zLzEzLzIwMjQBAAAAFgCNAAIAAAAIMC44MDM3ODkACLnjEiIT3gjKKOMVIhPeCCFDSVEuQk1ZLklRX1ZBTFVFX1RSQURFRC4zLzE1LzIwMjQBAAAAxmQAAAIAAAALNjQ2OC40NTM3MTIACLnjEiIT3gjgwN4VIhPeCCxDSVEuQllTSS5JUV9TSE9SVF9JTlRFUkVTVF9QRVJDRU5ULjMvMjUvMjAyNAEAAABHz2wYAgAAABA0LjgzMDE0OTk2NDA4MDkyAJFIthIiE94I1rPZFSIT3ggsQ0lRLlpMRFBGLklRX1NIT1JUX0lOVEVSRVNUX1BFUkNFTlQuNC8yLzIwMjQBAAAAIlsTAAMAAAAAAKWZrBIiE94IaHHSFSIT3gghQ0lRLktOU0EuSVFfVkFMVUVfVFJBREVELjQvMi8yMDI0AQAAALWiRSECAAAACDcuOTczMjExAKWZrBIiE94IaHHSFSIT3gghQ0lRLlBSRlguSVFfVkFMVUVfVFJBREVELjQv</t>
  </si>
  <si>
    <t>My8yMDI0AQAAACVAOwMCAAAACDAuMDEzNDI0AKWZrBIiE94IaHHSFSIT3gghQ0lRLkFDSEwuSVFfVkFMVUVfVFJBREVELjQvNC8yMDI0AQAAAISXYAEDAAAAAAClmawSIhPeCGhx0hUiE94IK0NJUS5UU1ZULklRX1NIT1JUX0lOVEVSRVNUX1BFUkNFTlQuNC81LzIwMjQFAAAAAAAAAAgAAAAUKEludmFsaWQgSWRlbnRpZmllcimlmawSIhPeCH4H0BUiE94IK0NJUS5JVE9TLklRX1NIT1JUX0lOVEVSRVNUX1BFUkNFTlQuNC83LzIwMjQFAAAAAAAAAAgAAAAUKEludmFsaWQgSWRlbnRpZmllcinFOWwSIhPeCC6kzRUiE94IIUNJUS5CTVJOLklRX1ZBTFVFX1RSQURFRC40LzgvMjAyNAEAAAAFZAAAAgAAAAoxMTcuMzg4ODA3AMU5bBIiE94ILqTNFSIT3ggrQ0lRLkVMVFguSVFfU0hPUlRfSU5URVJFU1RfUEVSQ0VOVC40LzgvMjAyNAEAAABAqs8MAgAAABEwLjI3NzkwNzg0NzQ5OTI3OQDFOWwSIhPeCHgDzRUiE94IIENJUS5QRkUuSVFfVkFMVUVfVFJBREVELjQvOC8yMDI0AQAAAN55AgACAAAACjY0OS4zODUzMzYAxTlsEiIT3ggdjswVIhPeCCtDSVEuTlZDVC5JUV9TSE9SVF9JTlRFUkVTVF9QRVJDRU5ULjQvOC8yMDI0AQAAAKKJGWQCAAAAEDQuMzExNDUwMjExODk5MjIAxTlsEiIT3ggHQMwVIhPeCCFDSVEuR0lMRC5JUV9WQUxVRV9UUkFERUQuNC85LzIwMjQBAAAASnEAAAIAAAAKNDE0LjYxODU4OADF</t>
  </si>
  <si>
    <t>OWwSIhPeCM7WyBUiE94IK0NJUS5CR05FLklRX1NIT1JUX0lOVEVSRVNUX1BFUkNFTlQuNC85LzIwMjQBAAAA4OTdBgMAAAAAAMU5bBIiE94IqpLIFSIT3gghQ0lRLkNDQ0MuSVFfVkFMVUVfVFJBREVELjQvOS8yMDI0AQAAAATOKhMCAAAACDkuMjQ1NjYyAMU5bBIiE94IaUTIFSIT3ggsQ0lRLkJOVFguSVFfU0hPUlRfSU5URVJFU1RfUEVSQ0VOVC40LzEwLzIwMjQBAAAAezsNAwIAAAAQMS4yNzY3MzYyMjUxOTAzNQCi7SsSIhPeCEuqxhUiE94IKkNJUS5OVlMuSVFfU0hPUlRfSU5URVJFU1RfUEVSQ0VOVC4zLzUvMjAyNAEAAACptegPAwAAAAAA+7gVEyIT3giP+ecVIhPeCCtDSVEuS1lUWC5JUV9TSE9SVF9JTlRFUkVTVF9QRVJDRU5ULjMvOC8yMDI0AQAAAGGtyiYCAAAAEDEuMzY3MjQxODgzMTcxNjYACLnjEiIT3givkeUVIhPeCCxDSVEuVlRSUy5JUV9TSE9SVF9JTlRFUkVTVF9QRVJDRU5ULjMvMTEvMjAyNAEAAACbbQQAAgAAABAzLjU4MDcyNTEzMzg0MjI5AAi54xIiE94IyijjFSIT3ggrQ0lRLlBGRS5JUV9TSE9SVF9JTlRFUkVTVF9QRVJDRU5ULjMvMTIvMjAyNAEAAADeeQIAAgAAABAxLjE3MDkzMjA0MzQzMzI0AAi54xIiE94IyijjFSIT3ggsQ0lRLkVTUFIuSVFfU0hPUlRfSU5URVJFU1RfUEVSQ0VOVC4zLzIyLzIwMjQBAAAATG4AAAIAAAAQOS4xNjAxNDQ0MDMxODUwMwCRSLYSIhPeCDtS</t>
  </si>
  <si>
    <t>3BUiE94IIUNJUS5BWk4uSVFfVkFMVUVfVFJBREVELjMvMjUvMjAyNAEAAACGIwUAAgAAAAoxNjEuOTIzMzQ1AJFIthIiE94I1rPZFSIT3ggiQ0lRLkJZU0kuSVFfVkFMVUVfVFJBREVELjMvMjUvMjAyNAEAAABHz2wYAgAAAAcwLjk2NjI4AJFIthIiE94I1rPZFSIT3ggsQ0lRLlRGRlAuSVFfU0hPUlRfSU5URVJFU1RfUEVSQ0VOVC4zLzI3LzIwMjQBAAAA6jQLAAMAAAAAAJFIthIiE94IMUzXFSIT3ggiQ0lRLkdSVFguSVFfVkFMVUVfVFJBREVELjMvMjgvMjAyNAEAAABtuWoNAgAAAAgwLjYwMzkzNwClmawSIhPeCGnj1BUiE94IK0NJUS5OVkNSLklRX1NIT1JUX0lOVEVSRVNUX1BFUkNFTlQuNC8xLzIwMjQBAAAA6HwfBAIAAAAQNS4xNzQyOTAyNDAzMjAyNQClmawSIhPeCGnj1BUiE94IIUNJUS5TUlpOLklRX1ZBTFVFX1RSQURFRC40LzEvMjAyNAEAAAAXPvUXAgAAAAgyLjI0NTMzMQClmawSIhPeCGnj1BUiE94IIkNJUS5aTERQRi5JUV9WQUxVRV9UUkFERUQuNC8yLzIwMjQBAAAAIlsTAAMAAAAAAKWZrBIiE94IaHHSFSIT3gghQ0lRLlNHSFQuSVFfVkFMVUVfVFJBREVELjQvMi8yMDI0AQAAAGtgaAgCAAAACDQuMzY5MjU2AKWZrBIiE94IaHHSFSIT3ggrQ0lRLkNPR1QuSVFfU0hPUlRfSU5URVJFU1RfUEVSQ0VOVC40LzgvMjAyNAEAAABp1EQoAgAAABAxMC4wNzU1MDY1NzQ0MTM1AMU5bBIiE94I</t>
  </si>
  <si>
    <t>FH3NFSIT3gghQ0lRLkVMVFguSVFfVkFMVUVfVFJBREVELjQvOC8yMDI0AQAAAECqzwwCAAAACDEuMTk3MTMyAMU5bBIiE94IeAPNFSIT3gghQ0lRLk1SS1IuSVFfVkFMVUVfVFJBREVELjQvOC8yMDI0AQAAACJUGgACAAAACDAuMDk1Nzc4AMU5bBIiE94I5MrLFSIT3gghQ0lRLkFUT1MuSVFfVkFMVUVfVFJBREVELjQvOS8yMDI0AQAAAJ7M+QUCAAAABzcuMTA5MjgAxTlsEiIT3ghbKssVIhPeCCFDSVEuTlJJWC5JUV9WQUxVRV9UUkFERUQuNC85LzIwMjQBAAAATCpVDAIAAAAIMzMuMzg3MDEAxTlsEiIT3ggR3MoVIhPeCCxDSVEuQlRBSS5JUV9TSE9SVF9JTlRFUkVTVF9QRVJDRU5ULjQvMTAvMjAyNAEAAAANL2YgAgAAAA84LjE0NzIwODc3MjYwMDkAxTlsEiIT3gjfp8cVIhPeCCJDSVEuR0FMVC5JUV9WQUxVRV9UUkFERUQuNC8xMC8yMDI0AQAAAMdBEAACAAAACDIuNDcyODA4AKLtKxIiE94I36fHFSIT3ggsQ0lRLkxQQ04uSVFfU0hPUlRfSU5URVJFU1RfUEVSQ0VOVC40LzExLzIwMjQBAAAAGvR6AAIAAAAQMi4wNDgzOTEzMTQyNDQ0NACi7SsSIhPeCGhCxBUiE94ILENJUS5PUklDLklRX1NIT1JUX0lOVEVSRVNUX1BFUkNFTlQuNC8xNS8yMDI0AQAAAFRLGhICAAAAEDEyLjA3ODMxNzkxNzEwMTcAou0rEiIT3ghoQsQVIhPeCCJDSVEuTEJQSC5JUV9WQUxVRV9UUkFERUQuNC8xNS8yMDI0BQAAAAAA</t>
  </si>
  <si>
    <t>AAAIAAAAFChJbnZhbGlkIElkZW50aWZpZXIpou0rEiIT3ghoQsQVIhPeCCBDSVEuTlZTLklRX1ZBTFVFX1RSQURFRC4zLzUvMjAyNAEAAACptegPAgAAAAcwLjAwOTk1APu4FRMiE94Ij/nnFSIT3ggiQ0lRLlZUUlMuSVFfVkFMVUVfVFJBREVELjMvMTEvMjAyNAEAAACbbQQAAgAAAAk5OS4xNDcxNjMACLnjEiIT3gjKKOMVIhPeCCxDSVEuSlNQUi5JUV9TSE9SVF9JTlRFUkVTVF9QRVJDRU5ULjMvMTUvMjAyNAEAAABekpUmAgAAABAxLjkxNzU1ODM3OTMxOTY3AAi54xIiE94IBMHgFSIT3ggsQ0lRLkFLQkEuSVFfU0hPUlRfSU5URVJFU1RfUEVSQ0VOVC4zLzI3LzIwMjQBAAAAdygvAgIAAAAONC44MzY1NTk2NjM4ODEAkUi2EiIT3ggxTNcVIhPeCCFDSVEuTlZDUi5JUV9WQUxVRV9UUkFERUQuNC8xLzIwMjQBAAAA6HwfBAIAAAAJMjUuOTI4MDQ1AKWZrBIiE94IaePUFSIT3gghQ0lRLlRTVlQuSVFfVkFMVUVfVFJBREVELjQvNS8yMDI0BQAAAAAAAAAIAAAAFChJbnZhbGlkIElkZW50aWZpZXIppZmsEiIT3gh+B9AVIhPeCCBDSVEuQVpOLklRX1ZBTFVFX1RSQURFRC40LzUvMjAyNAEAAACGIwUAAgAAAAoyNzcuMTQ2MTA0ACQHrxIiE94IfgfQFSIT3gghQ0lRLklUT1MuSVFfVkFMVUVfVFJBREVELjQvNy8yMDI0BQAAAAAAAAAIAAAAFChJbnZhbGlkIElkZW50aWZpZXIpxTlsEiIT3ggupM0VIhPeCCtD</t>
  </si>
  <si>
    <t>SVEuU05EWC5JUV9TSE9SVF9JTlRFUkVTVF9QRVJDRU5ULjQvOC8yMDI0AQAAAMqmnwECAAAAEDkuODAxNTQ3MTYwMzQxMzYAxTlsEiIT3ggupM0VIhPeCCtDSVEuS0FOVC5JUV9TSE9SVF9JTlRFUkVTVF9QRVJDRU5ULjQvOC8yMDI0BQAAAAAAAAAIAAAAFChJbnZhbGlkIElkZW50aWZpZXIpxTlsEiIT3ggupM0VIhPeCCtDSVEuSU5NQi5JUV9TSE9SVF9JTlRFUkVTVF9QRVJDRU5ULjQvOC8yMDI0AQAAAJdLnB8CAAAAEDguMDQ2MjUzODIyMTE4ODkAxTlsEiIT3gjr8csVIhPeCCtDSVEuQ01QWC5JUV9TSE9SVF9JTlRFUkVTVF9QRVJDRU5ULjQvOS8yMDI0AQAAAPxh3Q8CAAAAEDEuMTgwMDcxMDY4MjM4MzYAxTlsEiIT3ggR3MoVIhPeCCtDSVEuUUxHTi5JUV9TSE9SVF9JTlRFUkVTVF9QRVJDRU5ULjQvOS8yMDI0AQAAAI3qFQACAAAAEDEuMjY3MjgzNDA3NDUzMjEAxTlsEiIT3ggNackVIhPeCCtDSVEuR05QWC5JUV9TSE9SVF9JTlRFUkVTVF9QRVJDRU5ULjQvOS8yMDI0AQAAAKq8cQ0CAAAAEDMuNjYxMzI3NDcwNjg2NzcAxTlsEiIT3gjDGskVIhPeCCFDSVEuQkdORS5JUV9WQUxVRV9UUkFERUQuNC85LzIwMjQBAAAA4OTdBgMAAAAAAMU5bBIiE94IqpLIFSIT3ggsQ0lRLkFNTFguSVFfU0hPUlRfSU5URVJFU1RfUEVSQ0VOVC40LzEwLzIwMjQBAAAABqDnEgIAAAAQOC44NjI0MzM1MDkyMTY5MwCi</t>
  </si>
  <si>
    <t>7SsSIhPeCEQLxxUiE94IIkNJUS5CTlRYLklRX1ZBTFVFX1RSQURFRC40LzEwLzIwMjQBAAAAezsNAwIAAAAIMzguMDY5NTkAou0rEiIT3ghLqsYVIhPeCCxDSVEuUkFSRS5JUV9TSE9SVF9JTlRFUkVTVF9QRVJDRU5ULjQvMTUvMjAyNAEAAADxegAHAgAAABA0Ljc1OTA4NzAyODY5MDI0AKLtKxIiE94IaELEFSIT3ggiQ0lRLk1STlMuSVFfVkFMVUVfVFJBREVELjQvMTUvMjAyNAEAAAAhFjcBAgAAAAYxLjg4MTUAou0rEiIT3ghoQsQVIhPeCCxDSVEuQ1JERi5JUV9TSE9SVF9JTlRFUkVTVF9QRVJDRU5ULjIvMjkvMjAyNAEAAAC8OqcAAgAAABAyLjY1NzkzNjk4NzkwNTM5APu4FRMiE94IyqvtFSIT3ggeQ0lRLlhCSS5JUV9MQVNUU0FMRVBSSUNFLjQ1MzYyAQAAAMpAmAECAAAABTk2LjgzAPopGBMiE94IU3PsFSIT3ggiQ0lRLlNNTVQuSVFfVkFMVUVfVFJBREVELjMvMjIvMjAyNAEAAADDLbEAAgAAAAg5LjQ4OTM5MQCRSLYSIhPeCN7L3BUiE94ILENJUS5TTkRYLklRX1NIT1JUX0lOVEVSRVNUX1BFUkNFTlQuMy8yOC8yMDI0AQAAAMqmnwECAAAAEDkuODAzMTg1MjYwNDI0NDUApZmsEiIT3ghp49QVIhPeCCxDSVEuQ05UWC5JUV9TSE9SVF9JTlRFUkVTVF9QRVJDRU5ULjMvMjgvMjAyNAEAAAAgmVEYAgAAABEwLjEwNjQ5NDY5ODQ3MDU2MQClmawSIhPeCGnj1BUiE94IIUNJUS5WUlRYLklRX1ZBTFVF</t>
  </si>
  <si>
    <t>X1RSQURFRC40LzEvMjAyNAEAAACLjQAAAgAAAAozMjIuODI0MzYxAKWZrBIiE94IaePUFSIT3ggqQ0lRLkxMWS5JUV9TSE9SVF9JTlRFUkVTVF9QRVJDRU5ULjQvMi8yMDI0AQAAABtbBAACAAAAETAuNjE0NjU4Nzg4Nzc5OTA2AKWZrBIiE94IaePUFSIT3ggqQ0lRLk1SSy5JUV9TSE9SVF9JTlRFUkVTVF9QRVJDRU5ULjQvMy8yMDI0AQAAAPZmBAACAAAAETAuOTE0Mjk4MzA1MjYxMjkzAKWZrBIiE94IaHHSFSIT3ggqQ0lRLkpOSi5JUV9TSE9SVF9JTlRFUkVTVF9QRVJDRU5ULjQvNS8yMDI0AQAAAJ0hAgACAAAAETAuNjU3Mjc5MjkyMTYzMjAyACQHrxIiE94I/nLPFSIT3gghQ0lRLktBTlQuSVFfVkFMVUVfVFJBREVELjQvOC8yMDI0BQAAAAAAAAAIAAAAFChJbnZhbGlkIElkZW50aWZpZXIpxTlsEiIT3ggupM0VIhPeCCFDSVEuQ09HVC5JUV9WQUxVRV9UUkFERUQuNC84LzIwMjQBAAAAadREKAIAAAAIMy4yOTI4MjIAxTlsEiIT3ggUfc0VIhPeCCtDSVEuQUxYTy5JUV9TSE9SVF9JTlRFUkVTVF9QRVJDRU5ULjQvOC8yMDI0AQAAAJAD/xECAAAAEDUuODA5Nzk4NjgzOTMxMDEAxTlsEiIT3gixLs0VIhPeCCtDSVEuU1VQTi5JUV9TSE9SVF9JTlRFUkVTVF9QRVJDRU5ULjQvOC8yMDI0AQAAALBzBgACAAAAEDguOTk2MDkwMTc2ODE0OTgAxTlsEiIT3ghstcwVIhPeCCpDSVEuT0NTLklRX1NIT1JUX0lO</t>
  </si>
  <si>
    <t>VEVSRVNUX1BFUkNFTlQuNC84LzIwMjQBAAAAN/QdIwIAAAARMC4xMjg4MTY4NjIyMzY2ODEAxTlsEiIT3gh9bssVIhPeCCFDSVEuRkhUWC5JUV9WQUxVRV9UUkFERUQuNC85LzIwMjQBAAAA6GMSIAIAAAAIMC4zODc1MDkAxTlsEiIT3gjxl8oVIhPeCCpDSVEuWVMuSVFfU0hPUlRfSU5URVJFU1RfUEVSQ0VOVC40LzEwLzIwMjQBAAAAeNFaDAMAAAAAAMU5bBIiE94II/bHFSIT3ggiQ0lRLkJUQUkuSVFfVkFMVUVfVFJBREVELjQvMTAvMjAyNAEAAAANL2YgAgAAAAgxLjAyNjg3OADFOWwSIhPeCN+nxxUiE94ILENJUS5BTFBOLklRX1NIT1JUX0lOVEVSRVNUX1BFUkNFTlQuNC8xMC8yMDI0AQAAANmQZgADAAAAAACi7SsSIhPeCGhCxBUiE94IIkNJUS5MUENOLklRX1ZBTFVFX1RSQURFRC40LzExLzIwMjQBAAAAGvR6AAIAAAAJMTQuMTMyNzc0AKLtKxIiE94IaELEFSIT3ggsQ0lRLkNPUlQuSVFfU0hPUlRfSU5URVJFU1RfUEVSQ0VOVC40LzE1LzIwMjQBAAAA0rkVAAIAAAAQMjAuNTQyMjM5MTgyNDUyMwCi7SsSIhPeCGhCxBUiE94IIkNJUS5PUklDLklRX1ZBTFVFX1RSQURFRC40LzE1LzIwMjQBAAAAVEsaEgIAAAAIMy4xNjkzMTIAou0rEiIT3ghoQsQVIhPeCCJDSVEuU0lMTy5JUV9WQUxVRV9UUkFERUQuMi8yOC8yMDI0AQAAABovtAcCAAAABzMuMDE3NzcAiHUhEyIT3ggC2e4VIhPeCCtDSVEuSU1S</t>
  </si>
  <si>
    <t>Ti5JUV9TSE9SVF9JTlRFUkVTVF9QRVJDRU5ULjMvNy8yMDI0AQAAAPNMdQADAAAAAAD6KRgTIhPeCK+R5RUiE94ILENJUS5DRVJTLklRX1NIT1JUX0lOVEVSRVNUX1BFUkNFTlQuMy8xOS8yMDI0AQAAAN5mAAACAAAAEDIuNDc5ODgyNzM1NjU1MDQAkUi2EiIT3gjgwN4VIhPeCCxDSVEuVktUWC5JUV9TSE9SVF9JTlRFUkVTVF9QRVJDRU5ULjMvMjYvMjAyNAEAAADyvLUOAgAAAA4xMC4xODg2MDM1MDUzMgCRSLYSIhPeCNaz2RUiE94IIkNJUS5BS0JBLklRX1ZBTFVFX1RSQURFRC4zLzI3LzIwMjQBAAAAdygvAgIAAAAJMjMuNzAxMDgyAJFIthIiE94IMUzXFSIT3ggrQ0lRLk1HTlguSVFfU0hPUlRfSU5URVJFU1RfUEVSQ0VOVC40LzMvMjAyNAEAAABPKwkAAgAAABA4Ljk3Mzg1OTI5MjM0NzM0AKWZrBIiE94IaHHSFSIT3ggrQ0lRLkNWQUMuSVFfU0hPUlRfSU5URVJFU1RfUEVSQ0VOVC40LzQvMjAyNAEAAAB+Kz0BAgAAABAyLjE2ODE2ODM2NTYyOTI0AKWZrBIiE94IfgfQFSIT3gghQ0lRLkVGVFIuSVFfVkFMVUVfVFJBREVELjQvNC8yMDI0AQAAAP8dVw4CAAAACTI1Ljg3NjIyOAClmawSIhPeCH4H0BUiE94IIUNJUS5SRVBMLklRX1ZBTFVFX1RSQURFRC40LzcvMjAyNAEAAABE6BIiAwAAAAAAxTlsEiIT3gj+cs8VIhPeCCtDSVEuQk5UWC5JUV9TSE9SVF9JTlRFUkVTVF9QRVJDRU5ULjQvNy8yMDI0</t>
  </si>
  <si>
    <t>AQAAAHs7DQMCAAAAEDEuMjk2NTM0ODQ5Mjg3NTYAxTlsEiIT3ggupM0VIhPeCCFDSVEuU05EWC5JUV9WQUxVRV9UUkFERUQuNC84LzIwMjQBAAAAyqafAQIAAAAIOS43MzMyNTUAxTlsEiIT3ggupM0VIhPeCCtDSVEuTUlTVC5JUV9TSE9SVF9JTlRFUkVTVF9QRVJDRU5ULjQvOC8yMDI0AQAAADPtJwICAAAAETAuODAzODcyMTQ5MzU0MTQxAMU5bBIiE94ILqTNFSIT3gghQ0lRLlNVUE4uSVFfVkFMVUVfVFJBREVELjQvOC8yMDI0AQAAALBzBgACAAAABzI0LjgxOTgAxTlsEiIT3ghstcwVIhPeCCFDSVEuSU5NQi5JUV9WQUxVRV9UUkFERUQuNC84LzIwMjQBAAAAl0ucHwIAAAAIMi4zMTk1NTIAxTlsEiIT3gjr8csVIhPeCCBDSVEuT0NTLklRX1ZBTFVFX1RSQURFRC40LzgvMjAyNAEAAAA39B0jAgAAAAgwLjA4NzA5MQDFOWwSIhPeCH1uyxUiE94IIUNJUS5DTVBYLklRX1ZBTFVFX1RSQURFRC40LzkvMjAyNAEAAAD8Yd0PAgAAAAcwLjQwNjAxAMU5bBIiE94IEdzKFSIT3gghQ0lRLlFMR04uSVFfVkFMVUVfVFJBREVELjQvOS8yMDI0AQAAAI3qFQACAAAACDAuMDMzNDQ4AMU5bBIiE94IDWnJFSIT3ggrQ0lRLkFJTS5JUV9TSE9SVF9JTlRFUkVTVF9QRVJDRU5ULjQvMTAvMjAyNAEAAABzoK4oAwAAAAAAou0rEiIT3giUWccVIhPeCCJDSVEuQU1MWC5JUV9WQUxVRV9UUkFERUQuNC8xMC8yMDI0AQAAAAag</t>
  </si>
  <si>
    <t>5xICAAAACDcuNzk4NzI5AKLtKxIiE94IRAvHFSIT3ggsQ0lRLkJPTEQuSVFfU0hPUlRfSU5URVJFU1RfUEVSQ0VOVC40LzExLzIwMjQBAAAAg6QBJgMAAAAAAKLtKxIiE94IaELEFSIT3ggiQ0lRLlJBUkUuSVFfVkFMVUVfVFJBREVELjQvMTUvMjAyNAEAAADxegAHAgAAAAk3NC4wNDkxMzcAou0rEiIT3ghoQsQVIhPeCCxDSVEuQVJHWC5JUV9TSE9SVF9JTlRFUkVTVF9QRVJDRU5ULjQvMTYvMjAyNAEAAAC94rMDAwAAAAAAou0rEiIT3ghoQsQVIhPeCCFDSVEuR0lMRC5JUV9WQUxVRV9UUkFERUQuMy82LzIwMjQBAAAASnEAAAIAAAAKNDQ4LjE1MDkyMwD6KRgTIhPeCI/55xUiE94IIUNJUS5MTFkuSVFfVkFMVUVfVFJBREVELjMvMTMvMjAyNAEAAAAbWwQAAgAAAAoxNzg2LjU5NzE5AAi54xIiE94IBMHgFSIT3ggsQ0lRLkFFT04uSVFfU0hPUlRfSU5URVJFU1RfUEVSQ0VOVC4zLzE5LzIwMjQBAAAABv/FDgIAAAARMC4yMTUzMzg5NTAyMTM2MTkAkUi2EiIT3ggbK94VIhPeCCJDSVEuVEZGUC5JUV9WQUxVRV9UUkFERUQuMy8yMC8yMDI0AQAAAOo0CwADAAAAAACRSLYSIhPeCPW13RUiE94IIkNJUS5WS1RYLklRX1ZBTFVFX1RSQURFRC4zLzI2LzIwMjQBAAAA8ry1DgIAAAALMTU4MS40Njg2MTUAkUi2EiIT3gjWs9kVIhPeCCJDSVEuSVJXRC5JUV9WQUxVRV9UUkFERUQuMy8yOC8yMDI0AQAAAAp7AAAC</t>
  </si>
  <si>
    <t>AAAACTIzLjUxMTYxNwClmawSIhPeCDFM1xUiE94ILENJUS5BUExULklRX1NIT1JUX0lOVEVSRVNUX1BFUkNFTlQuMy8yOC8yMDI0AQAAAHuMVCECAAAAEDMuNTgxNDc1NTg1MDA0NTIApZmsEiIT3ghp49QVIhPeCCJDSVEuQ05UWC5JUV9WQUxVRV9UUkFERUQuMy8yOC8yMDI0AQAAACCZURgCAAAACDAuMDc3MzQxAKWZrBIiE94IaePUFSIT3ggrQ0lRLkFUTk0uSVFfU0hPUlRfSU5URVJFU1RfUEVSQ0VOVC40LzEvMjAyNAEAAACbt3cAAgAAABA2LjIwMjcxNjM3OTIyMDU4AKWZrBIiE94IaePUFSIT3ggrQ0lRLktSQlAuSVFfU0hPUlRfSU5URVJFU1RfUEVSQ0VOVC40LzIvMjAyNAEAAABAuX8nAwAAAAAApZmsEiIT3ghocdIVIhPeCCtDSVEuVk5EQS5JUV9TSE9SVF9JTlRFUkVTVF9QRVJDRU5ULjQvMi8yMDI0AQAAACOHdgECAAAAEDUuMjE1NzAxMTU1MTcxODYApZmsEiIT3ghocdIVIhPeCCFDSVEuTkJUWC5JUV9WQUxVRV9UUkFERUQuNC8zLzIwMjQBAAAAu64/AQIAAAAIMS4zODY5NTUApZmsEiIT3ghocdIVIhPeCCFDSVEuTUdOWC5JUV9WQUxVRV9UUkFERUQuNC8zLzIwMjQBAAAATysJAAIAAAAJMjMuOTM3MTQxAKWZrBIiE94IaHHSFSIT3ggrQ0lRLklHWFQuSVFfU0hPUlRfSU5URVJFU1RfUEVSQ0VOVC40LzUvMjAyNAEAAAAEqMsBAwAAAAAApZmsEiIT3gh+B9AVIhPeCCBDSVEuSk5KLklRX1ZB</t>
  </si>
  <si>
    <t>TFVFX1RSQURFRC40LzUvMjAyNAEAAACdIQIAAgAAAAsxMDMzLjY2NDQxOAAkB68SIhPeCH4H0BUiE94IIUNJUS5OVVZMLklRX1ZBTFVFX1RSQURFRC40LzgvMjAyNAEAAACFbN4pAgAAAAk4Ni45Mjk1NDUAxTlsEiIT3ggupM0VIhPeCCtDSVEuSU5LVC5JUV9TSE9SVF9JTlRFUkVTVF9QRVJDRU5ULjQvOC8yMDI0AQAAAMTRFmQCAAAAETAuMTMzODkxMjczNjgwNDAzAMU5bBIiE94ILqTNFSIT3gghQ0lRLkFMWE8uSVFfVkFMVUVfVFJBREVELjQvOC8yMDI0AQAAAJAD/xECAAAACTEwLjg1NjMyOQDFOWwSIhPeCLEuzRUiE94IK0NJUS5SSUdMLklRX1NIT1JUX0lOVEVSRVNUX1BFUkNFTlQuNC84LzIwMjQBAAAAO4QAAAIAAAAQMi44MTk0MDU3MTYxNTA3NQDFOWwSIhPeCLTczBUiE94IKkNJUS5OVlMuSVFfU0hPUlRfSU5URVJFU1RfUEVSQ0VOVC40LzgvMjAyNAEAAACptegPAwAAAAAAxTlsEiIT3ghZpMsVIhPeCCpDSVEuQk1ZLklRX1NIT1JUX0lOVEVSRVNUX1BFUkNFTlQuMy83LzIwMjQBAAAAxmQAAAIAAAAQMS41NTc0MzQ0MDkwMjc0NgD6KRgTIhPeCK+R5RUiE94IIkNJUS5NSVJNLklRX1ZBTFVFX1RSQURFRC4zLzEzLzIwMjQBAAAA2mYzIwIAAAAJMTYuMjEzNzY0AAi54xIiE94IBMHgFSIT3ggeQ0lRLlhCSS5JUV9MQVNUU0FMRVBSSUNFLjQ1MzIwAQAAAMpAmAECAAAABDkwLjgASAyKEyIT3giv</t>
  </si>
  <si>
    <t>JwIWIhPeCB5DSVEuWEJJLklRX0xBU1RTQUxFUFJJQ0UuNDUzMjIBAAAAykCYAQIAAAAFODcuNDMASAyKEyIT3giLuf8VIhPeCCxDSVEuTFhSWC5JUV9TSE9SVF9JTlRFUkVTVF9QRVJDRU5ULjMvMTEvMjAyNAEAAAA9eAAAAgAAABA4LjYzMjUyNjMxMDUwMzEyAAi54xIiE94Ir5HlFSIT3ggiQ0lRLkNSTlguSVFfVkFMVUVfVFJBREVELjMvMTIvMjAyNAEAAAD/X7kQAgAAAAkyMS40NDExODMACLnjEiIT3gjKKOMVIhPeCCxDSVEuTktUWC5JUV9TSE9SVF9JTlRFUkVTVF9QRVJDRU5ULjMvMjEvMjAyNAEAAACN5HQgAgAAABA4LjU4MzkyNjMyNzI5Njg5AJFIthIiE94IthndFSIT3ggsQ0lRLlNMUlguSVFfU0hPUlRfSU5URVJFU1RfUEVSQ0VOVC4zLzIyLzIwMjQBAAAA0N+rEwIAAAARMC40MTc0NDMzNTEwNDE2MzgAkUi2EiIT3gjmG9wVIhPeCCJDSVEuTVROQi5JUV9WQUxVRV9UUkFERUQuMy8yNS8yMDI0AQAAANrShQ4CAAAACDAuODg5Mjg5AJFIthIiE94I1rPZFSIT3ggiQ0lRLk1STkEuSVFfVkFMVUVfVFJBREVELjMvMjcvMjAyNAEAAAD8g6sHAgAAAAk1MDUuOTY3OTQAkUi2EiIT3ggxTNcVIhPeCCtDSVEuSVJPTi5JUV9TSE9SVF9JTlRFUkVTVF9QRVJDRU5ULjQvMS8yMDI0AQAAAE7fOSYCAAAAEDUuMTIzMDU2NDYyNjQwMDUApZmsEiIT3ghp49QVIhPeCCpDSVEuSU5PLklRX1NIT1JUX0lOVEVS</t>
  </si>
  <si>
    <t>RVNUX1BFUkNFTlQuNC83LzIwMjQBAAAA+nAAAAIAAAAQOC44MDcxOTY2MzU1NjgxNgDFOWwSIhPeCC6kzRUiE94IK0NJUS5WSU5DLklRX1NIT1JUX0lOVEVSRVNUX1BFUkNFTlQuNC84LzIwMjQBAAAA5DUjKQIAAAAQNC4wMzM0NDA3NzM5NDYwMQDFOWwSIhPeCC6kzRUiE94IIUNJUS5SSUdMLklRX1ZBTFVFX1RSQURFRC40LzgvMjAyNAEAAAA7hAAAAgAAAAg4LjAxNDI2OADFOWwSIhPeCHgDzRUiE94IIENJUS5OVlMuSVFfVkFMVUVfVFJBREVELjQvOC8yMDI0AQAAAKm16A8DAAAAAADFOWwSIhPeCOTKyxUiE94IIUNJUS5JT0JULklRX1ZBTFVFX1RSQURFRC40LzkvMjAyNAEAAADgd3RkAgAAAAgwLjEwNjU2OADFOWwSIhPeCPGXyhUiE94IIUNJUS5UUFNULklRX1ZBTFVFX1RSQURFRC40LzkvMjAyNAEAAADdw/EgAgAAAAgyLjk0NTk1MQDFOWwSIhPeCLJJyhUiE94IIUNJUS5DUlZTLklRX1ZBTFVFX1RSQURFRC40LzkvMjAyNAEAAAD0sKYQAgAAAAgwLjMxOTY4NwDFOWwSIhPeCE63yRUiE94IIUNJUS5JUEhBLklRX1ZBTFVFX1RSQURFRC40LzkvMjAyNAEAAACZgAYAAgAAAAgwLjA0NjAxNQDFOWwSIhPeCMMayRUiE94IIUNJUS5CQ1lDLklRX1ZBTFVFX1RSQURFRC40LzkvMjAyNAEAAACdbFIEAgAAAAg3LjM3NjQ5NADFOWwSIhPeCGlEyBUiE94IIkNJUS5DUkJVLklRX1ZBTFVFX1RSQURFRC40LzEw</t>
  </si>
  <si>
    <t>LzIwMjQBAAAAL0c5EAIAAAAIOS4yODg1ODEAou0rEiIT3ghoQsQVIhPeCCxDSVEuVEZGUC5JUV9TSE9SVF9JTlRFUkVTVF9QRVJDRU5ULjQvMTUvMjAyNAEAAADqNAsAAwAAAAAAou0rEiIT3ghoQsQVIhPeCCJDSVEuUk5BWi5JUV9WQUxVRV9UUkFERUQuNC8xNS8yMDI0AQAAABkhliACAAAACDEuOTE4NzM3AKLtKxIiE94IaELEFSIT3ggiQ0lRLkxYUlguSVFfVkFMVUVfVFJBREVELjMvMTEvMjAyNAEAAAA9eAAAAgAAAAk4Mi44ODM1MDEACLnjEiIT3givkeUVIhPeCCJDSVEuTEVHTi5JUV9WQUxVRV9UUkFERUQuMy8xNS8yMDI0AQAAAGwj8yACAAAACjE2Mi42OTEyNzMACLnjEiIT3ggEweAVIhPeCCtDSVEuQVpOLklRX1NIT1JUX0lOVEVSRVNUX1BFUkNFTlQuMy8xOC8yMDI0AQAAAIYjBQADAAAAAAAIueMSIhPeCODA3hUiE94ILUNJUS5DU0xMWS5JUV9TSE9SVF9JTlRFUkVTVF9QRVJDRU5ULjMvMjcvMjAyNAEAAABfcw0AAwAAAAAAkUi2EiIT3ggxTNcVIhPeCCtDSVEuVkVSVi5JUV9TSE9SVF9JTlRFUkVTVF9QRVJDRU5ULjQvMi8yMDI0AQAAAC5bDQADAAAAAAClmawSIhPeCGhx0hUiE94IIUNJUS5BTVJOLklRX1ZBTFVFX1RSQURFRC40LzYvMjAyNAEAAAA3OQYAAwAAAAAAJAevEiIT3gj+cs8VIhPeCCtDSVEuQUdFTi5JUV9TSE9SVF9JTlRFUkVTVF9QRVJDRU5ULjQvOC8yMDI0AQAAAGRBBgAC</t>
  </si>
  <si>
    <t>AAAAEDEwLjkxOTkwMzY2ODQ5NDcAxTlsEiIT3gjDVc0VIhPeCCtDSVEuT1JJQy5JUV9TSE9SVF9JTlRFUkVTVF9QRVJDRU5ULjQvOC8yMDI0AQAAAFRLGhICAAAAEDEwLjI4MjUwMzc1ODM1NzIAxTlsEiIT3ghstcwVIhPeCCtDSVEuQ1ZLRC5JUV9TSE9SVF9JTlRFUkVTVF9QRVJDRU5ULjQvOS8yMDI0AQAAADKP4WoCAAAAETAuMjYyNDYxMjcyODY0MDc1AMU5bBIiE94IfW7LFSIT3gghQ0lRLk9OQy5JUV9CRVRBXzFZUl9SU1EuMy8xNC8yMDI0AQAAAODk3QYCAAAAETAuMTE0NTM5MDQwNjQ4Mzk3AAi54xIiE94IBMHgFSIT3ggiQ0lRLk9QVE4uSVFfQkVUQV8xWVJfUlNRLjMvMTUvMjAyNAUAAAAAAAAACAAAABQoSW52YWxpZCBJZGVudGlmaWVyKQi54xIiE94I4MDeFSIT3ggiQ0lRLk5LVFguSVFfQkVUQV8xWVJfUlNRLjMvMjEvMjAyNAEAAACN5HQgAgAAABIwLjAxMTU5NTkzMjE0NjEyOTQAkUi2EiIT3gi2Gd0VIhPeCCJDSVEuVEVWQS5JUV9CRVRBXzFZUl9SU1EuMS8xOS8yMDI0AQAAAE+zBAACAAAAEjAuMDU4ODUwMTQ5MDY5NjM1MgB1G4gTIhPeCK8nAhYiE94IIkNJUS5LUllTLklRX0JFVEFfMVlSX1JTUS4yLzEzLzIwMjQBAAAAKCfVHwIAAAARMC4wNTMyNzc1Nzg2NzUxMzcAJfBQEyIT3ghdR/YVIhPeCCJDSVEuRU5TQy5JUV9CRVRBXzFZUl9SU1EuMi8xNS8yMDI0AQAAAD9GFgMCAAAAEzAu</t>
  </si>
  <si>
    <t>MDA0NDY0OTMxMDkzMzkxMTQAQ9UgEyIT3gjW1/MVIhPeCCJDSVEuS1pJQS5JUV9CRVRBXzFZUl9SU1EuMi8yMS8yMDI0AQAAAG0hBgACAAAAEzAuMDAxMjAxOTc0MTA0Nzk1NDUAQ9UgEyIT3ggUxvIVIhPeCCJDSVEuQkxSWC5JUV9CRVRBXzFZUl9SU1EuMi8yOC8yMDI0AQAAACiGTAACAAAAEjAuMDA2Nzg0MTU0MDEwNTAxNgD7uBUTIhPeCAZk7hUiE94IIkNJUS5UR1RYLklRX0JFVEFfMVlSX1JTUS4yLzI5LzIwMjQBAAAAWpSPCAIAAAARMC4xNTUwMzEwMjI3ODIyODIA+7gVEyIT3gikhO0VIhPeCCFDSVEuVEVMTy5JUV9CRVRBXzFZUl9SU1EuMy83LzIwMjQBAAAAxOMsbQIAAAARMC44Njk3MjY0NTE4Mjg1NDQA+7gVEyIT3givkeUVIhPeCCFDSVEuSk5KLklRX0JFVEFfMVlSX1JTUS4zLzExLzIwMjQBAAAAnSECAAIAAAARMC4xMTkwMTkyMjcyOTIzNDIACLnjEiIT3gjKKOMVIhPeCCJDSVEuQ1lCTi5JUV9CRVRBXzFZUl9SU1EuMy8xMy8yMDI0AQAAAP7LvicCAAAAEjAuMDQ3NTA3OTYxNDEyNTgzOQAIueMSIhPeCMoo4xUiE94IIkNJUS5QTVZQLklRX0JFVEFfMVlSX1JTUS4zLzE4LzIwMjQBAAAAl+p9DwIAAAARMC4xMjA5MjgzMjk0ODA1NjMACLnjEiIT3gjgwN4VIhPeCCJDSVEuS1JCUC5JUV9CRVRBXzFZUl9SU1EuMy8xOS8yMDI0AQAAAEC5fycDAAAAAACRSLYSIhPeCODA3hUiE94IIkNJUS5B</t>
  </si>
  <si>
    <t>UEdFLklRX0JFVEFfMVlSX1JTUS4zLzI1LzIwMjQBAAAAlftGbAIAAAASMC4wMzIzMTkyMzI5MTE4Mjg4AJFIthIiE94I1rPZFSIT3ggiQ0lRLk1FSVAuSVFfQkVUQV8xWVJfUlNRLjMvMjYvMjAyNAEAAAA9ySEAAwAAAAAAkUi2EiIT3gjWs9kVIhPeCCJDSVEuTlZDUi5JUV9CRVRBXzFZUl9SU1EuMy8yNy8yMDI0AQAAAOh8HwQCAAAAEjAuMDU1NDQ3NDEzNDg2MTc0NgCRSLYSIhPeCDFM1xUiE94IIkNJUS5TTkRYLklRX0JFVEFfMVlSX1JTUS4zLzI4LzIwMjQBAAAAyqafAQIAAAARMC4yMzg2MTUyNDk2NDczMjQApZmsEiIT3ghp49QVIhPeCCJDSVEuQVBMVC5JUV9CRVRBXzFZUl9SU1EuMy8yOC8yMDI0AQAAAHuMVCECAAAAEjAuMDI1NzU2ODYyMjA3NDQ2MQClmawSIhPeCGnj1BUiE94IH0NJUS5FUS5JUV9CRVRBXzFZUl9SU1EuNC8xLzIwMjQBAAAAA7tOIgIAAAAUNS4wOTM5ODQ3MjAwMTI1N0UtMDcApZmsEiIT3ghp49QVIhPeCCJDSVEuWkxEUEYuSVFfQkVUQV8xWVJfUlNRLjQvMi8yMDI0AQAAACJbEwADAAAAAAClmawSIhPeCGhx0hUiE94IIENJUS5BWk4uSVFfQkVUQV8xWVJfUlNRLjQvNS8yMDI0AQAAAIYjBQACAAAAEDAuMjI3NjU2ODQ3NDY4MTcApZmsEiIT3gh+B9AVIhPeCCFDSVEuS0FOVC5JUV9CRVRBXzFZUl9SU1EuNC84LzIwMjQFAAAAAAAAAAgAAAAUKEludmFsaWQgSWRlbnRpZmll</t>
  </si>
  <si>
    <t>cinFOWwSIhPeCC6kzRUiE94IIUNJUS5TVVBOLklRX0JFVEFfMVlSX1JTUS40LzgvMjAyNAEAAACwcwYAAgAAABIwLjA5MDg2MzU3MDI5MDgzMzgAxTlsEiIT3ghstcwVIhPeCCFDSVEuTUNSQi5JUV9CRVRBXzFZUl9SU1EuNC85LzIwMjQBAAAA02JBDQIAAAATMC4wMDMwNDk2NDc3OTA5NzcxMQDFOWwSIhPeCE63yRUiE94IIkNJUS5UTlhQLklRX0JFVEFfMVlSX1JTUS4yLzEyLzIwMjQBAAAAax6tBgIAAAARMC4xMzE4Njg5OTE3NzQ3ODcAJfBQEyIT3ghdR/YVIhPeCCFDSVEuQkNEQS5JUV9CRVRBXzFZUl9SU1EuMy80LzIwMjQBAAAAZy6VAAIAAAASMC4wMTkwMzMzMDIzNzk2NzA0APu4FRMiE94IQ/7rFSIT3gghQ0lRLkJUQUkuSVFfQkVUQV8xWVJfUlNRLjMvNi8yMDI0AQAAAA0vZiACAAAAEjAuMDIyNzYwODAwNjA5MjEyNQD7uBUTIhPeCI/55xUiE94IIUNJUS5YT01BLklRX0JFVEFfMVlSX1JTUS4zLzYvMjAyNAEAAAChjwAAAgAAABQwLjAwMDU3ODAxODM1MDkyMDI5MwD7uBUTIhPeCI/55xUiE94IIUNJUS5HSUxELklRX0JFVEFfMVlSX1JTUS4zLzYvMjAyNAEAAABKcQAAAgAAABIwLjA3OTExNjIwNTM2MTgzODkA+7gVEyIT3giP+ecVIhPeCCJDSVEuQVNMTi5JUV9CRVRBXzFZUl9SU1EuMy8xMS8yMDI0BQAAAAAAAAAIAAAAFChJbnZhbGlkIElkZW50aWZpZXIpCLnjEiIT3givkeUVIhPeCCJD</t>
  </si>
  <si>
    <t>SVEuUFNUVi5JUV9CRVRBXzFZUl9SU1EuMy8xMS8yMDI0AQAAAAEIBAACAAAAETAuMTAzNDAwMzg4MTk5OTE4AAi54xIiE94IyijjFSIT3ggiQ0lRLlNHTU8uSVFfQkVUQV8xWVJfUlNRLjMvMTMvMjAyNAEAAAACTAYAAgAAABMwLjAwODMzNDQ3MzQxNTQ1MzI4AAi54xIiE94IBMHgFSIT3ggiQ0lRLklNUlguSVFfQkVUQV8xWVJfUlNRLjMvMTQvMjAyNAEAAADVDmESAgAAABEwLjE1MTE4MTcxODkyMzcxNQAIueMSIhPeCATB4BUiE94IIUNJUS5UQUsuSVFfQkVUQV8xWVJfUlNRLjMvMTkvMjAyNAEAAAAsWA0AAwAAAAAAkUi2EiIT3ghUUt4VIhPeCCJDSVEuQk5PWC5JUV9CRVRBXzFZUl9SU1EuMy8yMS8yMDI0BQAAAAAAAAAIAAAAFChJbnZhbGlkIElkZW50aWZpZXIpkUi2EiIT3gjhjt0VIhPeCCFDSVEuU0xTLklRX0JFVEFfMVlSX1JTUS4zLzI2LzIwMjQBAAAAKlehDwIAAAARMC4wODkxNjA1ODQ5MDI2MDIAkUi2EiIT3gjWs9kVIhPeCCJDSVEuR01EQS5JUV9CRVRBXzFZUl9SU1EuMy8yNy8yMDI0AQAAAEB9CAADAAAAAACRSLYSIhPeCDFM1xUiE94IIkNJUS5NSVNULklRX0JFVEFfMVlSX1JTUS4zLzI4LzIwMjQBAAAAM+0nAgIAAAASMC4wMjkxNzY4MDg5Nzk1NzA1AJFIthIiE94IMUzXFSIT3ggiQ0lRLkFMTEsuSVFfQkVUQV8xWVJfUlNRLjIvMjYvMjAyNAEAAAA5/m0NAwAAAAAAQ9UgEyIT3ggO</t>
  </si>
  <si>
    <t>vfAVIhPeCCFDSVEuQ1JWTy5JUV9CRVRBXzFZUl9SU1EuMy81LzIwMjQBAAAA9ZK5EAIAAAAUMC4wMDAyNjkxNTA2MDQwMTk4ODUA+7gVEyIT3gj8buoVIhPeCCBDSVEuTExZLklRX0JFVEFfMVlSX1JTUS4zLzUvMjAyNAEAAAAbWwQAAgAAABMwLjAwODEwMTM3NjI1MzUyNjc2APu4FRMiE94Ij/nnFSIT3gghQ0lRLk1BSUEuSVFfQkVUQV8xWVJfUlNRLjMvNi8yMDI0AQAAAHXynyUCAAAAEzAuMDAxODQzMzIyMjE0MjcyNjUA+7gVEyIT3giP+ecVIhPeCCFDSVEuTU5NRC5JUV9CRVRBXzFZUl9SU1EuMy83LzIwMjQBAAAAovycJQIAAAARMC4yMjI4NjkwMzMzNTUxMDcA+7gVEyIT3givkeUVIhPeCCFDSVEuVExTQS5JUV9CRVRBXzFZUl9SU1EuMy84LzIwMjQBAAAAFR6SDwIAAAARMC4wMTk2NTI0MDI2ODEzMjEACLnjEiIT3givkeUVIhPeCCJDSVEuQUxNUy5JUV9CRVRBXzFZUl9SU1EuMy8xMS8yMDI0AQAAAF97DyoDAAAAAAAIueMSIhPeCMoo4xUiE94IIkNJUS5DQUxDLklRX0JFVEFfMVlSX1JTUS4zLzEzLzIwMjQBAAAABmMKAgIAAAASMC4wMzc2ODU5ODU2MDMxNDM3AAi54xIiE94IBMHgFSIT3ggiQ0lRLk1ER0wuSVFfQkVUQV8xWVJfUlNRLjMvMTQvMjAyNAEAAABMm6MIAgAAABEwLjExNjA4OTAxOTM4MTE1NgAIueMSIhPeCATB4BUiE94IIkNJUS5QSFZTLklRX0JFVEFfMVlSX1JTUS4zLzE1LzIw</t>
  </si>
  <si>
    <t>MjQBAAAAcIsEGAIAAAASMC4wNDA3MzU4NTEwODE2OTE5AAi54xIiE94I4MDeFSIT3ggiQ0lRLlNNTVQuSVFfQkVUQV8xWVJfUlNRLjMvMjIvMjAyNAEAAADDLbEAAgAAABQxLjIwODMwNjk2ODE3MjU1RS0wNQCRSLYSIhPeCN7L3BUiE94IIkNJUS5aTEFCLklRX0JFVEFfMVlSX1JTUS4zLzIyLzIwMjQBAAAAdwIpEAIAAAARMC4xMDQ4MzgzMjk0MTYwNTgAkUi2EiIT3gjmG9wVIhPeCCJDSVEuQUxWTy5JUV9CRVRBXzFZUl9SU1EuMS8yOS8yMDI0AQAAAD2JUSkCAAAAEzAuMDA5ODg1NTkyMTM0MDU2OTMAdRuIEyIT3gj0Wf4VIhPeCCBDSVEuR1NLLklRX0JFVEFfMVlSX1JTUS4zLzUvMjAyNAEAAADyMwQAAgAAABMwLjAwMTAyODA2Njc3ODY0NjE5APu4FRMiE94IUA/rFSIT3gggQ0lRLkJNWS5JUV9CRVRBXzFZUl9SU1EuMy82LzIwMjQBAAAAxmQAAAIAAAAQMC4xMjE4MzM0MTQyNzE4NwD7uBUTIhPeCI/55xUiE94IIUNJUS5BTUxYLklRX0JFVEFfMVlSX1JTUS4zLzgvMjAyNAEAAAAGoOcSAgAAABEwLjAzNzgwMTgxNzcwMDk3NAAIueMSIhPeCK+R5RUiE94IIkNJUS5BUlFULklRX0JFVEFfMVlSX1JTUS4zLzEwLzIwMjQBAAAAKGG5IAIAAAASMC4wOTQwNzMyNTI4NjQwOTU5AAi54xIiE94Ir5HlFSIT3ggiQ0lRLk5WQ1IuSVFfQkVUQV8xWVJfUlNRLjMvMTEvMjAyNAEAAADofB8EAgAAABIwLjA1MDU2</t>
  </si>
  <si>
    <t>MzcwMzgwOTIwMDIACLnjEiIT3gjKKOMVIhPeCCFDSVEuVEFLLklRX0JFVEFfMVlSX1JTUS4zLzEzLzIwMjQBAAAALFgNAAMAAAAAAAi54xIiE94IBMHgFSIT3gghQ0lRLkpOSi5JUV9CRVRBXzFZUl9SU1EuMy8xNS8yMDI0AQAAAJ0hAgACAAAAETAuMTIwMDA3MDI5Mjc0NjAzAAi54xIiE94IBMHgFSIT3ggiQ0lRLkFMR1MuSVFfQkVUQV8xWVJfUlNRLjMvMTgvMjAyNAEAAAAznqgiAgAAABIwLjA0NzgyMTY5NjE5OTMzMzQACLnjEiIT3gjgwN4VIhPeCCJDSVEuSlNQUi5JUV9CRVRBXzFZUl9SU1EuMy8xOS8yMDI0AQAAAF6SlSYCAAAAEjAuMDI0Mzk3MjgzMjkxODY5OACRSLYSIhPeCODA3hUiE94IIkNJUS5aTEFCLklRX0JFVEFfMVlSX1JTUS4zLzI1LzIwMjQBAAAAdwIpEAIAAAARMC4xMDQ4MzgzMjk0MTYwNTgAkUi2EiIT3gjWs9kVIhPeCCJDSVEuTktHTi5JUV9CRVRBXzFZUl9SU1EuMy8yNS8yMDI0AQAAADxUfyMCAAAAEjAuMDEzMDc0ODc2Njg0MjQ1NACRSLYSIhPeCNaz2RUiE94IIkNJUS5HSUxELklRX0JFVEFfMVlSX1JTUS4zLzI4LzIwMjQBAAAASnEAAAIAAAASMC4wNjIzNzg1MTAzMDQxMTE5AKWZrBIiE94IaePUFSIT3ggiQ0lRLkdSVFguSVFfQkVUQV8xWVJfUlNRLjMvMjgvMjAyNAEAAABtuWoNAgAAABMwLjAwMjYxMTY0MTA1OTA5OTcyAKWZrBIiE94IaePUFSIT3gghQ0lRLkxRREEu</t>
  </si>
  <si>
    <t>SVFfQkVUQV8xWVJfUlNRLjQvMS8yMDI0AQAAAItQWwECAAAAEzAuMDA3NjAxOTYwOTg3NTI3OTIApZmsEiIT3ghp49QVIhPeCCJDSVEuQUxWTy5JUV9CRVRBXzFZUl9SU1EuMi8yMy8yMDI0AQAAAD2JUSkCAAAAEjAuMDIxODUyOTMyMTAzMTE5OABD1SATIhPeCEIy8RUiE94IIkNJUS5DR09OLklRX0JFVEFfMVlSX1JTUS4yLzI3LzIwMjQBAAAAxIjoBgIAAAARMC4zNzEyMjA1NTEyMTI2NTIAQ9UgEyIT3giihO8VIhPeCCFDSVEuTElQTy5JUV9CRVRBXzFZUl9SU1EuMy81LzIwMjQBAAAAh+YjAgIAAAASMC4wMTE3MjIzNjEyMzM2NDg2APu4FRMiE94Ij/nnFSIT3gggQ0lRLkdTSy5JUV9CRVRBXzFZUl9SU1EuMy83LzIwMjQBAAAA8jMEAAIAAAATMC4wMDEwMjgwNjY3Nzg2NDYxOQD7uBUTIhPeCK+R5RUiE94IIkNJUS5BUFJFLklRX0JFVEFfMVlSX1JTUS4zLzExLzIwMjQBAAAAq9OoEwIAAAASMC4wNDUwODA2MDMxMTA2MzQ0AAi54xIiE94IyijjFSIT3ggiQ0lRLktBTlQuSVFfQkVUQV8xWVJfUlNRLjMvMTIvMjAyNAUAAAAAAAAACAAAABQoSW52YWxpZCBJZGVudGlmaWVyKQi54xIiE94IyijjFSIT3gghQ0lRLkJNWS5JUV9CRVRBXzFZUl9SU1EuMy8xNC8yMDI0AQAAAMZkAAACAAAAEjAuMDU5NjU1OTMyODYwMzc3NgAIueMSIhPeCATB4BUiE94IIkNJUS5BWFNNLklRX0JFVEFfMVlSX1JTUS4zLzE5</t>
  </si>
  <si>
    <t>LzIwMjQBAAAAazdrDgIAAAARMC4wMzUwMDE1MzczODczODkACLnjEiIT3gjgwN4VIhPeCCFDSVEuTVJLLklRX0JFVEFfMVlSX1JTUS4zLzE5LzIwMjQBAAAA9mYEAAIAAAASMC4wMDAzNzI4NDMzNjMzNDU1AJFIthIiE94IVFLeFSIT3ggiQ0lRLlZSVFguSVFfQkVUQV8xWVJfUlNRLjMvMjEvMjAyNAEAAACLjQAAAgAAABEwLjE2NjY0ODM4NDcyODY4MwCRSLYSIhPeCMNA3RUiE94IIkNJUS5DRVJTLklRX0JFVEFfMVlSX1JTUS4zLzI2LzIwMjQBAAAA3mYAAAIAAAARMC4zNTEwNjYwNTk2NTM5NTYAkUi2EiIT3gjWs9kVIhPeCCJDSVEuTVJOQS5JUV9CRVRBXzFZUl9SU1EuMy8yNy8yMDI0AQAAAPyDqwcCAAAAETAuMTc3NzY0NzM2MjEwMjM5AJFIthIiE94IMUzXFSIT3gghQ0lRLktOU0EuSVFfQkVUQV8xWVJfUlNRLjQvMi8yMDI0AQAAALWiRSECAAAAEjAuMDM5MDY5MzM4NTY1Mjg3OAClmawSIhPeCGhx0hUiE94IIUNJUS5NUk5BLklRX0JFVEFfMVlSX1JTUS40LzMvMjAyNAEAAAD8g6sHAgAAABEwLjE3ODk1OTA0ODgwMTgyNgClmawSIhPeCGhx0hUiE94IIUNJUS5IT1dMLklRX0JFVEFfMVlSX1JTUS40LzUvMjAyNAEAAADhJWwhAgAAABIwLjAxNDU1MTczMTg4OTA1NTYApZmsEiIT3gh+B9AVIhPeCCFDSVEuWllNRS5JUV9CRVRBXzFZUl9SU1EuNC84LzIwMjQBAAAAZ2SUAgIAAAASMC4wMzE1NDU3</t>
  </si>
  <si>
    <t>NjcxNzU4NTExAMU5bBIiE94ILqTNFSIT3gghQ0lRLlBZWFMuSVFfQkVUQV8xWVJfUlNRLjQvOC8yMDI0AQAAAPHggSUCAAAAEjAuMDIzNjczOTEyMTUxNzg0NADFOWwSIhPeCLEuzRUiE94IIUNJUS5BTUxYLklRX0JFVEFfMVlSX1JTUS4yLzgvMjAyNAEAAAAGoOcSAgAAABIwLjA4MjgyMzkyOTkyNTY5MjYAJfBQEyIT3gi9sPgVIhPeCCFDSVEuT1BULklRX0JFVEFfMVlSX1JTUS4yLzE0LzIwMjQBAAAA2t8lAAIAAAATMC4wMDYxNDQwNzQ2ODAzNjY1NgCQrSATIhPeCF1H9hUiE94IIkNJUS5UQ1JYLklRX0JFVEFfMVlSX1JTUS4yLzI2LzIwMjQBAAAAqsDAIgIAAAAUMC4wMDAxNTUyMzc4OTQ2Nzg2MDcAQ9UgEyIT3gjqR/AVIhPeCCJDSVEuVEVSTi5JUV9CRVRBXzFZUl9SU1EuMy8xMS8yMDI0AQAAAJbkRiECAAAAFDAuMDAwMTMxMDc5MDA4OTIzNzY5AAi54xIiE94IyijjFSIT3gghQ0lRLlNMTi5JUV9CRVRBXzFZUl9SU1EuMy8xMy8yMDI0AQAAAPDLAgACAAAAEzAuMDAzMzkwMzk5ODU5NjM2OTEACLnjEiIT3gjKKOMVIhPeCCJDSVEuUENSWC5JUV9CRVRBXzFZUl9SU1EuMy8xMy8yMDI0AQAAAHRrAAACAAAAEjAuMDU1MDE5ODY2MjgxMjkxOAAIueMSIhPeCATB4BUiE94IIUNJUS5NUksuSVFfQkVUQV8xWVJfUlNRLjMvMTgvMjAyNAEAAAD2ZgQAAgAAABIwLjAwMDM3Mjg0MzM2MzM0NTUACLnjEiIT</t>
  </si>
  <si>
    <t>3gjgwN4VIhPeCCFDSVEuT1BLLklRX0JFVEFfMVlSX1JTUS4zLzIwLzIwMjQBAAAAj7n9AQIAAAARMC4xMTU4Nzc1MjUyMDk5MzgAkUi2EiIT3ggi3d0VIhPeCCJDSVEuUlZQSC5JUV9CRVRBXzFZUl9SU1EuMy8yNy8yMDI0AQAAAJSEkAcCAAAAETAuMDIxMzQxODI2NjQ3NDAzAJFIthIiE94IMUzXFSIT3gghQ0lRLk5WUy5JUV9CRVRBXzFZUl9SU1EuMS8zMS8yMDI0AQAAAKm16A8CAAAAEzAuMDA4NzQ5NTU3NjQ3NDU0MzQAJfBQEyIT3gigvf0VIhPeCCJDSVEuUkFQVC5JUV9CRVRBXzFZUl9SU1EuMi8yMC8yMDI0AQAAANAgVhACAAAAETAuMjIzODY1NzY4MjMwNTQxAEPVIBMiE94Ij7DzFSIT3ggiQ0lRLkNNUFguSVFfQkVUQV8xWVJfUlNRLjIvMjgvMjAyNAEAAAD8Yd0PAgAAABIwLjA0NTkzNTc0OTQ1MzcxMDkAQ9UgEyIT3ggZAO8VIhPeCCFDSVEuVk5EQS5JUV9CRVRBXzFZUl9SU1EuMy82LzIwMjQBAAAAI4d2AQIAAAATMC4wMDk0MDc5NTA3NDYzNzU4MwD7uBUTIhPeCI/55xUiE94IIENJUS5CSEMuSVFfQkVUQV8xWVJfUlNRLjMvNi8yMDI0AQAAALNGBQACAAAAETAuMTY5NTEyODUzMjczOTk0APu4FRMiE94Ij/nnFSIT3gggQ0lRLkRZTi5JUV9CRVRBXzFZUl9SU1EuMy82LzIwMjQBAAAAAgZIJAIAAAASMC4wNjg1Mzk3NzYxOTcxNDcyAPu4FRMiE94Ir5HlFSIT3ggiQ0lRLlNQUkIuSVFfQkVU</t>
  </si>
  <si>
    <t>QV8xWVJfUlNRLjMvMTMvMjAyNAEAAADxEuYYAgAAABIwLjAyOTUxNjA3NzU1NDIzNDUACLnjEiIT3ggEweAVIhPeCCJDSVEuTlZDVC5JUV9CRVRBXzFZUl9SU1EuMy8xNC8yMDI0AQAAAKKJGWQCAAAAEjAuMDM0OTcxMjg1MDUzMTMxNwAIueMSIhPeCATB4BUiE94IIkNJUS5UU1ZULklRX0JFVEFfMVlSX1JTUS4zLzE1LzIwMjQFAAAAAAAAAAgAAAAUKEludmFsaWQgSWRlbnRpZmllcikIueMSIhPeCODA3hUiE94IIkNJUS5UU0hBLklRX0JFVEFfMVlSX1JTUS4zLzE5LzIwMjQBAAAAo5GxJwIAAAAUMC4wMDAyMzEzNjMyMTE5MDg0ODEAkUi2EiIT3ghUUt4VIhPeCCJDSVEuVEVMTy5JUV9CRVRBXzFZUl9SU1EuMy8yMi8yMDI0AQAAAMTjLG0CAAAAEjAuMDI0ODc5NTYyMjU2NzY5NgCRSLYSIhPeCOYb3BUiE94IIkNJUS5NQlJYLklRX0JFVEFfMVlSX1JTUS4zLzI1LzIwMjQBAAAAhmwUEwIAAAASMC4wMTI5OTYwOTI4Njc5NzMyAJFIthIiE94I1rPZFSIT3ggiQ0lRLk5CSVguSVFfQkVUQV8xWVJfUlNRLjMvMjgvMjAyNAEAAABJfQAAAgAAABEwLjEwMDEwNjgyODYxOTM0NgClmawSIhPeCGnj1BUiE94IIUNJUS5HUlRTLklRX0JFVEFfMVlSX1JTUS40LzEvMjAyNAUAAAAAAAAACAAAABQoSW52YWxpZCBJZGVudGlmaWVyKaWZrBIiE94IaePUFSIT3gghQ0lRLlZSVFguSVFfQkVUQV8xWVJfUlNRLjQvMS8y</t>
  </si>
  <si>
    <t>MDI0AQAAAIuNAAACAAAAETAuMTc5NzEyNDc3MTAyNDYzAKWZrBIiE94IaePUFSIT3gggQ0lRLkdTSy5JUV9CRVRBXzFZUl9SU1EuNC80LzIwMjQBAAAA8jMEAAIAAAAUMC4wMDAyMDU3MTQ0NjUzMTkxMDIApZmsEiIT3gh+B9AVIhPeCCJDSVEuSEFMTy5JUV9CRVRBXzFZUl9SU1EuMS8yNy8yMDI0AQAAAEYFeQACAAAAETAuMTY5MDA4NTc0MTk2Mjk2AHUbiBMiE94IZmv/FSIT3ggiQ0lRLkFUTk0uSVFfQkVUQV8xWVJfUlNRLjIvMjIvMjAyNAEAAACbt3cAAgAAABIwLjA4NTkyMDQ3ODg2MzQ5MDcAQ9UgEyIT3gi7AvIVIhPeCCJDSVEuQVRSQS5JUV9CRVRBXzFZUl9SU1EuMi8yOS8yMDI0AQAAANIuyw4CAAAAEjAuMDMxMDYxNDk1MjAyMTA1MwD7uBUTIhPeCAFe7RUiE94IIUNJUS5SWkxULklRX0JFVEFfMVlSX1JTUS4zLzYvMjAyNAEAAAAhCZsKAgAAABMwLjAwMzY3MjUwODY2NzA3MTgzAPu4FRMiE94Ij/nnFSIT3gghQ0lRLkFQVk8uSVFfQkVUQV8xWVJfUlNRLjMvNy8yMDI0AQAAAJTuvhMCAAAAEjAuMDczODMyMzk0MTgyMDY4OAD7uBUTIhPeCK+R5RUiE94IIUNJUS5BUlFULklRX0JFVEFfMVlSX1JTUS4zLzkvMjAyNAEAAAAoYbkgAgAAABIwLjA5NDA3MzI1Mjg2NDA5NTkACLnjEiIT3givkeUVIhPeCCFDSVEuTExZLklRX0JFVEFfMVlSX1JTUS4zLzEzLzIwMjQBAAAAG1sEAAIAAAATMC4wMDQy</t>
  </si>
  <si>
    <t>MzI1OTUzNDgzMTY5MwAIueMSIhPeCATB4BUiE94IIkNJUS5BUVNULklRX0JFVEFfMVlSX1JTUS4zLzE1LzIwMjQBAAAAqD58AAIAAAASMC4wMjA3NjA2Nzk0NjY3MzYxAAi54xIiE94IBMHgFSIT3ggiQ0lRLldIV0suSVFfQkVUQV8xWVJfUlNRLjMvMTgvMjAyNAEAAABft6QZAgAAABQyLjA0MzI3NTc2Mjk2MDk1RS0wNQAIueMSIhPeCODA3hUiE94IIkNJUS5TRUVMLklRX0JFVEFfMVlSX1JTUS4zLzE5LzIwMjQBAAAA7DT9FwMAAAAAAJFIthIiE94I4MDeFSIT3ggiQ0lRLk1UTkIuSVFfQkVUQV8xWVJfUlNRLjMvMjUvMjAyNAEAAADa0oUOAgAAABIwLjAxMzMzNDkzMjg5OTk0NDQAkUi2EiIT3gjWs9kVIhPeCCJDSVEuVEVDWC5JUV9CRVRBXzFZUl9SU1EuMy8yNi8yMDI0AQAAAK24ZyoDAAAAAACRSLYSIhPeCNaz2RUiE94IIkNJUS5aTEFCLklRX0JFVEFfMVlSX1JTUS4zLzI3LzIwMjQBAAAAdwIpEAIAAAARMC4xMDQ4MzgzMjk0MTYwNTgAkUi2EiIT3ggxTNcVIhPeCCJDSVEuT0NFQS5JUV9CRVRBXzFZUl9SU1EuMy8yOC8yMDI0AQAAAHfl6ScCAAAAFDQuMzQ4NjcyMTk3MzE1MjFFLTA1AKWZrBIiE94IaePUFSIT3gghQ0lRLkFEQ1QuSVFfQkVUQV8xWVJfUlNRLjEvNC8yMDI0AQAAAJqj6QoCAAAAEjAuMDQ2NDMwNjI0NzY0NjQ4NwCj75QTIhPeCPW4DBYiE94IIkNJUS5GRE1ULklRX0JFVEFfMVlS</t>
  </si>
  <si>
    <t>X1JTUS4yLzEyLzIwMjQBAAAAJdBDEAIAAAASMC4wOTQ5Mzk0OTQ3NzQwNTMzACXwUBMiE94IXUf2FSIT3ggiQ0lRLk1OUFIuSVFfQkVUQV8xWVJfUlNRLjIvMjIvMjAyNAEAAABLpiQSAgAAABMwLjAwOTgwMDAxMDIyNzA1NDMyAEPVIBMiE94INnjyFSIT3gghQ0lRLldIV0suSVFfQkVUQV8xWVJfUlNRLjMvMS8yMDI0AQAAAF+3pBkCAAAAEjAuMDExMzM4MTU5MjI0MzY2OAD7uBUTIhPeCIia7BUiE94ILENJUS5TUFJCLklRX1NIT1JUX0lOVEVSRVNUX1BFUkNFTlQuMy8xMy8yMDI0AQAAAPES5hgCAAAAEjAuMDgyMDg2NDczMjQ2Mjc0NwAIueMSIhPeCATB4BUiE94IIkNJUS5JT05TLklRX1ZBTFVFX1RSQURFRC4zLzEzLzIwMjQBAAAAXHYAAAIAAAAJNDcuOTMzNDk2AAi54xIiE94IBMHgFSIT3ggsQ0lRLlBNVlAuSVFfU0hPUlRfSU5URVJFU1RfUEVSQ0VOVC4zLzE4LzIwMjQBAAAAl+p9DwIAAAAQMy44NTU0NDIzMDU5MzM4NAAIueMSIhPeCODA3hUiE94ILENJUS5LUkJQLklRX1NIT1JUX0lOVEVSRVNUX1BFUkNFTlQuMy8xOS8yMDI0AQAAAEC5fycDAAAAAACRSLYSIhPeCODA3hUiE94IIkNJUS5MR05ELklRX1ZBTFVFX1RSQURFRC4zLzE5LzIwMjQBAAAAZHgAAAIAAAAINy4zNTUwMjIAkUi2EiIT3gjgwN4VIhPeCCJDSVEuRU5UWC5JUV9WQUxVRV9UUkFERUQuMy8yMC8yMDI0AQAAAC6mYAYCAAAA</t>
  </si>
  <si>
    <t>CDIuMTkwNjk1AJFIthIiE94IIt3dFSIT3ggiQ0lRLkFCQlYuSVFfVkFMVUVfVFJBREVELjMvMjIvMjAyNAEAAAAKAXUIAgAAAAo3MjguODUyNjE0AJFIthIiE94IuvLcFSIT3ggeQ0lRLlhCSS5JUV9MQVNUU0FMRVBSSUNFLjQ1MzI3AQAAAMpAmAECAAAABTg4LjQxAEgMihMiE94IXUT/FSIT3ggrQ0lRLlJHTlguSVFfU0hPUlRfSU5URVJFU1RfUEVSQ0VOVC4yLzcvMjAyNAEAAABUb8kHAgAAAA4xMC4wMzA0NDY0NTg2NQCSPVETIhPeCL2w+BUiE94IIkNJUS5CVEFJLklRX1ZBTFVFX1RSQURFRC4yLzEyLzIwMjQBAAAADS9mIAIAAAAJMTkuOTg2MzQ2AJI9URMiE94IXUf2FSIT3ggjQ0lRLklQU0VZLklRX1ZBTFVFX1RSQURFRC4yLzEzLzIwMjQBAAAARhACAAMAAAAAAEPVIBMiE94IXUf2FSIT3ggsQ0lRLkFSVk4uSVFfU0hPUlRfSU5URVJFU1RfUEVSQ0VOVC4yLzE0LzIwMjQBAAAAgIJ8DgIAAAAQOS41NTMyNTU2ODIxMDEzNgBD1SATIhPeCNbX8xUiE94ILENJUS5JTktULklRX1NIT1JUX0lOVEVSRVNUX1BFUkNFTlQuMi8xNC8yMDI0AQAAAMTRFmQCAAAAETAuNTQ4NzIxMTAxMTUwMjQ3AJX8IBMiE94I1tfzFSIT3ggiQ0lRLlJFR04uSVFfVkFMVUVfVFJBREVELjIvMjMvMjAyNAEAAACzgwAAAgAAAAo0MzEuMzU2MTI1AIh1IRMiE94IwbTxFSIT3ggiQ0lRLkFDWFAuSVFfVkFMVUVfVFJBREVELjIv</t>
  </si>
  <si>
    <t>MjcvMjAyNAEAAADOzEIhAgAAAAgwLjU2NTI3OACIdSETIhPeCKKE7xUiE94IIkNJUS5TTlNFLklRX1ZBTFVFX1RSQURFRC4yLzI4LzIwMjQBAAAA7SwLAAIAAAAIMC4xNTY0MDgA+7gVEyIT3ggIsu4VIhPeCCxDSVEuQ0xOTi5JUV9TSE9SVF9JTlRFUkVTVF9QRVJDRU5ULjIvMjkvMjAyNAEAAABkSTsUAgAAABEwLjE3ODExNDY1MjczNjg5NQD7uBUTIhPeCOXS7RUiE94IIENJUS5TTFMuSVFfVkFMVUVfVFJBREVELjMvMS8yMDI0AQAAACpXoQ8CAAAACDEuMDgxNjM3APu4FRMiE94I1sHsFSIT3ggqQ0lRLk5WTy5JUV9TSE9SVF9JTlRFUkVTVF9QRVJDRU5ULjMvNC8yMDI0AQAAAHzvBAADAAAAAAD7uBUTIhPeCFNz7BUiE94IK0NJUS5JTkRQLklRX1NIT1JUX0lOVEVSRVNUX1BFUkNFTlQuMy80LzIwMjQBAAAA/UyVEAIAAAARMC4yMDQyMjQ4OTM5Mjk3NDkA+7gVEyIT3ghD/usVIhPeCCtDSVEuQkNEQS5JUV9TSE9SVF9JTlRFUkVTVF9QRVJDRU5ULjMvNC8yMDI0AQAAAGculQACAAAAEDEuMTQ4Mjc0NDE4MjQyNTMA+7gVEyIT3ghD/usVIhPeCCFDSVEuQVBHRS5JUV9WQUxVRV9UUkFERUQuMy81LzIwMjQBAAAAlftGbAIAAAAKMzc3LjAzMzk2NgD7uBUTIhPeCFAP6xUiE94IIENJUS5PUEsuSVFfVkFMVUVfVFJBREVELjMvNS8yMDI0AQAAAI+5/QECAAAACTE0LjU1MDA3OAD7uBUTIhPeCI/55xUiE94I</t>
  </si>
  <si>
    <t>K0NJUS5CVEFJLklRX1NIT1JUX0lOVEVSRVNUX1BFUkNFTlQuMy82LzIwMjQBAAAADS9mIAIAAAAPMjQuNTUyNjU0NzY0NDk0APu4FRMiE94Ij/nnFSIT3gghQ0lRLkNPWUEuSVFfVkFMVUVfVFJBREVELjMvNi8yMDI0AQAAAKvKvCkCAAAACDAuNzg3NTczAPu4FRMiE94Ij/nnFSIT3ggrQ0lRLkdJTEQuSVFfU0hPUlRfSU5URVJFU1RfUEVSQ0VOVC4zLzYvMjAyNAEAAABKcQAAAgAAABAxLjU5NTgxMjA5NTExNDk2APopGBMiE94Ij/nnFSIT3gggQ0lRLk5WTy5JUV9WQUxVRV9UUkFERUQuMy84LzIwMjQBAAAAfO8EAAIAAAALMTY5OC42NDQxMzkACLnjEiIT3givkeUVIhPeCCxDSVEuQVNMTi5JUV9TSE9SVF9JTlRFUkVTVF9QRVJDRU5ULjMvMTEvMjAyNAUAAAAAAAAACAAAABQoSW52YWxpZCBJZGVudGlmaWVyKQi54xIiE94Ir5HlFSIT3ggiQ0lRLkxHTkQuSVFfVkFMVUVfVFJBREVELjMvMTEvMjAyNAEAAABkeAAAAgAAAAg4LjQwNTk5OQAIueMSIhPeCMoo4xUiE94ILENJUS5QU1RWLklRX1NIT1JUX0lOVEVSRVNUX1BFUkNFTlQuMy8xMS8yMDI0AQAAAAEIBAACAAAAETAuOTUzOTEwNjEyNTY1NDI4AAi54xIiE94IyijjFSIT3ggiQ0lRLlNQUkIuSVFfVkFMVUVfVFJBREVELjMvMTMvMjAyNAEAAADxEuYYAgAAAAkxOC44OTU3OTkACLnjEiIT3ggEweAVIhPeCCxDSVEuSU1SWC5JUV9TSE9SVF9JTlRF</t>
  </si>
  <si>
    <t>UkVTVF9QRVJDRU5ULjMvMTQvMjAyNAEAAADVDmESAgAAAA85LjE2NzY3MDg4MDQ5NDUACLnjEiIT3ggEweAVIhPeCCtDSVEuT05DLklRX1NIT1JUX0lOVEVSRVNUX1BFUkNFTlQuMy8xNC8yMDI0AQAAAODk3QYCAAAAEDEuODQ1Njg0MDkxNzYzNzUACLnjEiIT3ggEweAVIhPeCCJDSVEuT1BUTi5JUV9WQUxVRV9UUkFERUQuMy8xNS8yMDI0BQAAAAAAAAAIAAAAFChJbnZhbGlkIElkZW50aWZpZXIpCLnjEiIT3gjgwN4VIhPeCCtDSVEuVEFLLklRX1NIT1JUX0lOVEVSRVNUX1BFUkNFTlQuMy8xOS8yMDI0AQAAACxYDQADAAAAAACRSLYSIhPeCFRS3hUiE94ILENJUS5CTk9YLklRX1NIT1JUX0lOVEVSRVNUX1BFUkNFTlQuMy8yMS8yMDI0BQAAAAAAAAAIAAAAFChJbnZhbGlkIElkZW50aWZpZXIpkUi2EiIT3gjhjt0VIhPeCCJDSVEuTktUWC5JUV9WQUxVRV9UUkFERUQuMy8yMS8yMDI0AQAAAI3kdCACAAAACDguNzY4NjM5AJFIthIiE94IthndFSIT3ggiQ0lRLkVTUFIuSVFfVkFMVUVfVFJBREVELjMvMjIvMjAyNAEAAABMbgAAAgAAAAkyMi4xNjgyNzkAkUi2EiIT3gg7UtwVIhPeCCJDSVEuUllUTS5JUV9WQUxVRV9UUkFERUQuMy8yNS8yMDI0AQAAABjJbRICAAAACTE3LjE4MTk3MQCRSLYSIhPeCNaz2RUiE94ILENJUS5TWVJTLklRX1NIT1JUX0lOVEVSRVNUX1BFUkNFTlQuMy8yNS8yMDI0AQAAAJ6F</t>
  </si>
  <si>
    <t>FQ4CAAAAEDUuMDg0MTMxOTA0MzU1ODkAkUi2EiIT3gjWs9kVIhPeCCJDSVEuUkVHTi5JUV9WQUxVRV9UUkFERUQuMy8yNS8yMDI0AQAAALODAAACAAAACjMwOS43NDc3NzQAkUi2EiIT3gjWs9kVIhPeCCtDSVEuU0xTLklRX1NIT1JUX0lOVEVSRVNUX1BFUkNFTlQuMy8yNi8yMDI0AQAAACpXoQ8CAAAAEDkuMzkzMTA4OTI4Mzg1NTYAkUi2EiIT3gjWs9kVIhPeCCxDSVEuR01EQS5JUV9TSE9SVF9JTlRFUkVTVF9QRVJDRU5ULjMvMjcvMjAyNAEAAABAfQgAAwAAAAAAkUi2EiIT3ggxTNcVIhPeCCNDSVEuQ1NMTFkuSVFfVkFMVUVfVFJBREVELjMvMjcvMjAyNAEAAABfcw0AAwAAAAAAkUi2EiIT3ggxTNcVIhPeCCFDSVEuQVhTTS5JUV9WQUxVRV9UUkFERUQuNC8xLzIwMjQBAAAAazdrDgIAAAAJNDUuMTI0NzYzAKWZrBIiE94IaePUFSIT3gghQ0lRLlZOREEuSVFfVkFMVUVfVFJBREVELjQvMi8yMDI0AQAAACOHdgECAAAACDguMzAwNjY4AKWZrBIiE94IaHHSFSIT3ggrQ0lRLlBSRlguSVFfU0hPUlRfSU5URVJFU1RfUEVSQ0VOVC40LzMvMjAyNAEAAAAlQDsDAgAAABAwLjgwMjg1MzMwOTA3ODc5AKWZrBIiE94IaHHSFSIT3gghQ0lRLkNWQUMuSVFfVkFMVUVfVFJBREVELjQvNC8yMDI0AQAAAH4rPQECAAAACTEyLjMzMzcyOAClmawSIhPeCH4H0BUiE94IK0NJUS5DQURMLklRX1NIT1JUX0lOVEVSRVNU</t>
  </si>
  <si>
    <t>X1BFUkNFTlQuNC80LzIwMjQBAAAAq1o6AgIAAAARMC41MDE4Mjg2NDE1NzEzOTYApZmsEiIT3gh+B9AVIhPeCCtDSVEuVEFSQS5JUV9TSE9SVF9JTlRFUkVTVF9QRVJDRU5ULjQvNS8yMDI0AQAAAPihiSACAAAAETAuNTM3MzY5OTEzNTI5NDY1AKWZrBIiE94IfgfQFSIT3gggQ0lRLkJNWS5JUV9WQUxVRV9UUkFERUQuNC81LzIwMjQBAAAAxmQAAAIAAAAKNDY2Ljc4MzQyMQClmawSIhPeCH4H0BUiE94IK0NJUS5JT05TLklRX1NIT1JUX0lOVEVSRVNUX1BFUkNFTlQuNC83LzIwMjQBAAAAXHYAAAIAAAAQNi42MzE2MDI2Mjc4NTY0NQDFOWwSIhPeCC6kzRUiE94IIENJUS5JTk8uSVFfVkFMVUVfVFJBREVELjQvNy8yMDI0AQAAAPpwAAADAAAAAADFOWwSIhPeCC6kzRUiE94IK0NJUS5DQURMLklRX1NIT1JUX0lOVEVSRVNUX1BFUkNFTlQuNC84LzIwMjQBAAAAq1o6AgIAAAARMC41MDE4Mjg2NDE1NzEzOTYAxTlsEiIT3ggupM0VIhPeCCFDSVEuQUdFTi5JUV9WQUxVRV9UUkFERUQuNC84LzIwMjQBAAAAZEEGAAIAAAAJMTIuMjk2NzMyAMU5bBIiE94Iw1XNFSIT3ggrQ0lRLkNPUlQuSVFfU0hPUlRfSU5URVJFU1RfUEVSQ0VOVC40LzgvMjAyNAEAAADSuRUAAgAAABAxOS41Mjg0NTM1MTkzMjU3AMU5bBIiE94IIRnMFSIT3ggrQ0lRLkZIVFguSVFfU0hPUlRfSU5URVJFU1RfUEVSQ0VOVC40LzkvMjAyNAEA</t>
  </si>
  <si>
    <t>AADoYxIgAgAAABAyLjgwMTAyODI1OTYxMzYxAMU5bBIiE94IsknKFSIT3gghQ0lRLklOQUIuSVFfVkFMVUVfVFJBREVELjQvOS8yMDI0AQAAABQ0LiECAAAACDIuNTAwNDQxAMU5bBIiE94IsknKFSIT3ggrQ0lRLkNHRU4uSVFfU0hPUlRfSU5URVJFU1RfUEVSQ0VOVC40LzkvMjAyNAEAAADjiAIAAgAAABAyLjMzNjUwMjI3OTE4MDgzAMU5bBIiE94IztbIFSIT3gghQ0lRLk5UQkwuSVFfVkFMVUVfVFJBREVELjQvOS8yMDI0AQAAAALtWgADAAAAAADFOWwSIhPeCM7WyBUiE94IK0NJUS5BSU0uSVFfU0hPUlRfSU5URVJFU1RfUEVSQ0VOVC4xLzIyLzIwMjQBAAAAc6CuKAMAAAAAAHUbiBMiE94IrycCFiIT3ggeQ0lRLlhCSS5JUV9MQVNUU0FMRVBSSUNFLjQ1MzE1AQAAAMpAmAECAAAABTg3LjcyAEgMihMiE94IMpAEFiIT3ggeQ0lRLlhCSS5JUV9MQVNUU0FMRVBSSUNFLjQ1MzE3AQAAAMpAmAECAAAABTg4LjI0AEgMihMiE94IrycCFiIT3ggeQ0lRLlhCSS5JUV9MQVNUU0FMRVBSSUNFLjQ1MzE2AQAAAMpAmAECAAAABDg4LjUASAyKEyIT3givJwIWIhPeCCBDSVEuTExZLklRX1ZBTFVFX1RSQURFRC4yLzYvMjAyNAEAAAAbWwQAAgAAAAs1NzgxLjE3NjkwNwBWF1ETIhPeCJuc+xUiE94IK0NJUS5CRFJYLklRX1NIT1JUX0lOVEVSRVNUX1BFUkNFTlQuMi84LzIwMjQBAAAAzn+WEAIAAAAQMS43MzE0Mzcy</t>
  </si>
  <si>
    <t>OTcxOTQxMgCSPVETIhPeCL2w+BUiE94IIkNJUS5BVFhJLklRX1ZBTFVFX1RSQURFRC4yLzIyLzIwMjQBAAAA0qqGEgIAAAAIMC4yOTM4ODUAtkohEyIT3gjKKfIVIhPeCB5DSVEuWEJJLklRX0xBU1RTQUxFUFJJQ0UuNDUzNDUBAAAAykCYAQIAAAAFOTQuNzUAiHUhEyIT3gjW1/MVIhPeCCFDSVEuSU5EUC5JUV9WQUxVRV9UUkFERUQuMy80LzIwMjQBAAAA/UyVEAIAAAAINy45NzYzMTUA+7gVEyIT3ghD/usVIhPeCCtDSVEuTVRFTS5JUV9TSE9SVF9JTlRFUkVTVF9QRVJDRU5ULjMvNC8yMDI0AQAAAJmbqQEDAAAAAAD7uBUTIhPeCNSr6xUiE94IK0NJUS5DUlZPLklRX1NIT1JUX0lOVEVSRVNUX1BFUkNFTlQuMy81LzIwMjQBAAAA9ZK5EAIAAAARMC42NTg0NzQwMDE3NzUyMjcA+7gVEyIT3gj8buoVIhPeCCpDSVEuTExZLklRX1NIT1JUX0lOVEVSRVNUX1BFUkNFTlQuMy81LzIwMjQBAAAAG1sEAAIAAAAQMC41NzI0NDE4NDUzMjYyOAD7uBUTIhPeCI/55xUiE94IK0NJUS5NQUlBLklRX1NIT1JUX0lOVEVSRVNUX1BFUkNFTlQuMy82LzIwMjQBAAAAdfKfJQIAAAAQMi41NTc3OTc2MTY4MjU5MwD7uBUTIhPeCI/55xUiE94IIUNJUS5URUxPLklRX1ZBTFVFX1RSQURFRC4zLzcvMjAyNAEAAADE4yxtAgAAAAcwLjMwMTgyAPopGBMiE94Ir5HlFSIT3ggrQ0lRLlRMU0EuSVFfU0hPUlRfSU5URVJFU1RfUEVS</t>
  </si>
  <si>
    <t>Q0VOVC4zLzgvMjAyNAEAAAAVHpIPAgAAABEwLjMwNTc2MTgxMzE1OTU4NwAIueMSIhPeCK+R5RUiE94IIkNJUS5WVFlYLklRX1ZBTFVFX1RSQURFRC4zLzExLzIwMjQBAAAABBQWKAIAAAAJNjIuMTk2Mjc0AAi54xIiE94IyijjFSIT3ggiQ0lRLkNZQk4uSVFfVkFMVUVfVFJBREVELjMvMTMvMjAyNAEAAAD+y74nAgAAAAkxOS4xMTUzMTYACLnjEiIT3gjKKOMVIhPeCCxDSVEuQ0FMQy5JUV9TSE9SVF9JTlRFUkVTVF9QRVJDRU5ULjMvMTMvMjAyNAEAAAAGYwoCAgAAABEwLjE5Mzg3MTI5NDY3NDIxOQAIueMSIhPeCATB4BUiE94IIUNJUS5PTkMuSVFfVkFMVUVfVFJBREVELjMvMTQvMjAyNAEAAADg5N0GAgAAAAk2Ni43NDkxMTEACLnjEiIT3ggEweAVIhPeCCxDSVEuUEhWUy5JUV9TSE9SVF9JTlRFUkVTVF9QRVJDRU5ULjMvMTUvMjAyNAEAAABwiwQYAgAAABEwLjE4ODgwMTAzNTA2Nzc0MgAIueMSIhPeCODA3hUiE94IK0NJUS5KTkouSVFfU0hPUlRfSU5URVJFU1RfUEVSQ0VOVC4zLzE5LzIwMjQBAAAAnSECAAIAAAARMC42MTYyNDQ1NjA5MDk3NTYACLnjEiIT3gjgwN4VIhPeCCJDSVEuS1JCUC5JUV9WQUxVRV9UUkFERUQuMy8xOS8yMDI0AQAAAEC5fycDAAAAAACRSLYSIhPeCODA3hUiE94ILENJUS5TTU1ULklRX1NIT1JUX0lOVEVSRVNUX1BFUkNFTlQuMy8yMi8yMDI0AQAAAMMtsQACAAAAEDIu</t>
  </si>
  <si>
    <t>MjczMTkxODk4NjExNDQAkUi2EiIT3gjey9wVIhPeCCxDSVEuWkxBQi5JUV9TSE9SVF9JTlRFUkVTVF9QRVJDRU5ULjMvMjIvMjAyNAEAAAB3AikQAgAAAA80LjExNjcwOTg1NzA3MzcAkUi2EiIT3gjmG9wVIhPeCCJDSVEuQVBHRS5JUV9WQUxVRV9UUkFERUQuMy8yNS8yMDI0AQAAAJX7RmwCAAAACTQ2LjMxOTE5NQCRSLYSIhPeCNaz2RUiE94IIkNJUS5TWVJTLklRX1ZBTFVFX1RSQURFRC4zLzI1LzIwMjQBAAAAnoUVDgIAAAAIMC45OTg2NDMAkUi2EiIT3gjWs9kVIhPeCCJDSVEuTUVJUC5JUV9WQUxVRV9UUkFERUQuMy8yNi8yMDI0AQAAAD3JIQADAAAAAACRSLYSIhPeCNaz2RUiE94ILENJUS5aVlJBLklRX1NIT1JUX0lOVEVSRVNUX1BFUkNFTlQuMy8yNi8yMDI0AQAAAI674AMCAAAADjUuMTQwMTk0Njk5Mjc5AJFIthIiE94IMUzXFSIT3ggiQ0lRLk5WQ1IuSVFfVkFMVUVfVFJBREVELjMvMjcvMjAyNAEAAADofB8EAgAAAAoxNzQuNzg5NzQyAJFIthIiE94IMUzXFSIT3ggrQ0lRLkFMVC5JUV9TSE9SVF9JTlRFUkVTVF9QRVJDRU5ULjMvMjcvMjAyNAEAAAD3QkoAAgAAABAxNy42NDc3ODU0OTU5MjE0AJFIthIiE94IMUzXFSIT3ggiQ0lRLlNORFguSVFfVkFMVUVfVFJBREVELjMvMjgvMjAyNAEAAADKpp8BAgAAAAkyNS4xODkzMDEApZmsEiIT3ghp49QVIhPeCCJDSVEuQVBMVC5JUV9WQUxVRV9U</t>
  </si>
  <si>
    <t>UkFERUQuMy8yOC8yMDI0AQAAAHuMVCECAAAACTEwLjYxMzIzNgClmawSIhPeCGnj1BUiE94IHkNJUS5YQkkuSVFfTEFTVFNBTEVQUklDRS40NTMyMwEAAADKQJgBAgAAAAU4OC45NwBIDIoTIhPeCIu5/xUiE94IIUNJUS5CRFJYLklRX1ZBTFVFX1RSQURFRC4yLzgvMjAyNAEAAADOf5YQAgAAAAgxLjg0NjMyNQCSPVETIhPeCL2w+BUiE94ILENJUS5JWEhMLklRX1NIT1JUX0lOVEVSRVNUX1BFUkNFTlQuMi8yOC8yMDI0AQAAADukYRMCAAAAETAuNjEyNDc1OTUyMjU5NjQ4AIh1IRMiE94IGQDvFSIT3gghQ0lRLk1URU0uSVFfVkFMVUVfVFJBREVELjMvNC8yMDI0AQAAAJmbqQEDAAAAAAD7uBUTIhPeCNSr6xUiE94IIUNJUS5NTlBSLklRX1ZBTFVFX1RSQURFRC4zLzUvMjAyNAEAAABLpiQSAgAAAAgxLjc0OTQxOQD7uBUTIhPeCEfB6hUiE94IKkNJUS5CTVkuSVFfU0hPUlRfSU5URVJFU1RfUEVSQ0VOVC4zLzYvMjAyNAEAAADGZAAAAgAAABAxLjU1NzQzNDQwOTAyNzQ2APu4FRMiE94Ij/nnFSIT3ggrQ0lRLkFNTFguSVFfU0hPUlRfSU5URVJFU1RfUEVSQ0VOVC4zLzgvMjAyNAEAAAAGoOcSAgAAABA3LjM0NjIxMTA3MTkxNjc1AAi54xIiE94Ir5HlFSIT3ggiQ0lRLkFTTE4uSVFfVkFMVUVfVFJBREVELjMvMTEvMjAyNAUAAAAAAAAACAAAABQoSW52YWxpZCBJZGVudGlmaWVyKQi54xIiE94Ir5HlFSIT</t>
  </si>
  <si>
    <t>3ggsQ0lRLk5WQ1IuSVFfU0hPUlRfSU5URVJFU1RfUEVSQ0VOVC4zLzExLzIwMjQBAAAA6HwfBAIAAAAQNS4yNjczOTY3OTA0OTU5OAAIueMSIhPeCMoo4xUiE94IIkNJUS5QU1RWLklRX1ZBTFVFX1RSQURFRC4zLzExLzIwMjQBAAAAAQgEAAIAAAAGMC4wODA0AAi54xIiE94IyijjFSIT3ggrQ0lRLlRBSy5JUV9TSE9SVF9JTlRFUkVTVF9QRVJDRU5ULjMvMTMvMjAyNAEAAAAsWA0AAwAAAAAACLnjEiIT3ggEweAVIhPeCCJDSVEuSU1SWC5JUV9WQUxVRV9UUkFERUQuMy8xNC8yMDI0AQAAANUOYRICAAAACTE4LjIwNjM4OQAIueMSIhPeCATB4BUiE94IK0NJUS5KTkouSVFfU0hPUlRfSU5URVJFU1RfUEVSQ0VOVC4zLzE1LzIwMjQBAAAAnSECAAIAAAARMC42MTYyNDQ1NjA5MDk3NTYACLnjEiIT3ggEweAVIhPeCCFDSVEuSk5KLklRX1ZBTFVFX1RSQURFRC4zLzE5LzIwMjQBAAAAnSECAAIAAAALMTIyNC43ODM4NzUACLnjEiIT3gjgwN4VIhPeCCxDSVEuSlNQUi5JUV9TSE9SVF9JTlRFUkVTVF9QRVJDRU5ULjMvMTkvMjAyNAEAAABekpUmAgAAABAxLjkxNzU1ODM3OTMxOTY3AJFIthIiE94I4MDeFSIT3ggrQ0lRLkJNWS5JUV9TSE9SVF9JTlRFUkVTVF9QRVJDRU5ULjMvMjAvMjAyNAEAAADGZAAAAgAAABAxLjYxMDgyNjg3MTQxNjcxAJFIthIiE94IGyveFSIT3ggiQ0lRLkJOT1guSVFfVkFMVUVfVFJB</t>
  </si>
  <si>
    <t>REVELjMvMjEvMjAyNAUAAAAAAAAACAAAABQoSW52YWxpZCBJZGVudGlmaWVyKZFIthIiE94I4Y7dFSIT3ggsQ0lRLlpMQUIuSVFfU0hPUlRfSU5URVJFU1RfUEVSQ0VOVC4zLzI1LzIwMjQBAAAAdwIpEAIAAAAPNC4xMTY3MDk4NTcwNzM3AJFIthIiE94I1rPZFSIT3ggsQ0lRLk5LR04uSVFfU0hPUlRfSU5URVJFU1RfUEVSQ0VOVC4zLzI1LzIwMjQBAAAAPFR/IwIAAAAQMS41MzQ5NDYxNzU2NDU2OACRSLYSIhPeCNaz2RUiE94IIUNJUS5TTFMuSVFfVkFMVUVfVFJBREVELjMvMjYvMjAyNAEAAAAqV6EPAgAAAAg0LjQzNzMxNQCRSLYSIhPeCNaz2RUiE94IIkNJUS5aVlJBLklRX1ZBTFVFX1RSQURFRC4zLzI2LzIwMjQBAAAAjrvgAwIAAAAIMS4wNzc4MzEAkUi2EiIT3ggxTNcVIhPeCCJDSVEuR01EQS5JUV9WQUxVRV9UUkFERUQuMy8yNy8yMDI0AQAAAEB9CAADAAAAAACRSLYSIhPeCDFM1xUiE94ILENJUS5NUkVPLklRX1NIT1JUX0lOVEVSRVNUX1BFUkNFTlQuMy8yNy8yMDI0AQAAAKpBWxICAAAAEDEuNTY3MDExNDc2MjA1NzIAkUi2EiIT3ggxTNcVIhPeCCJDSVEuTUlTVC5JUV9WQUxVRV9UUkFERUQuMy8yOC8yMDI0AQAAADPtJwICAAAACDAuODEzNjQ4AJFIthIiE94IMUzXFSIT3ggsQ0lRLkdJTEQuSVFfU0hPUlRfSU5URVJFU1RfUEVSQ0VOVC4zLzI4LzIwMjQBAAAASnEAAAIAAAAQMS41NDU5</t>
  </si>
  <si>
    <t>MTcyMDk0OTMxNwClmawSIhPeCGnj1BUiE94IHkNJUS5YQkkuSVFfTEFTVFNBTEVQUklDRS40NTMyMQEAAADKQJgBAgAAAAU4OC43NwBIDIoTIhPeCIu5/xUiE94ILENJUS5LQUxWLklRX1NIT1JUX0lOVEVSRVNUX1BFUkNFTlQuMi8xMy8yMDI0AQAAABCOJQgCAAAAEDcuMTU3MzE1OTc0OTY4ODYA7WNREyIT3ghdR/YVIhPeCCJDSVEuRkJJTy5JUV9WQUxVRV9UUkFERUQuMi8xNi8yMDI0AQAAAAnyrQMCAAAACDAuNjU2ODUzAMglIRMiE94I1tfzFSIT3ggsQ0lRLkJEUlguSVFfU0hPUlRfSU5URVJFU1RfUEVSQ0VOVC4yLzIzLzIwMjQBAAAAzn+WEAIAAAAQMS43ODg3MzgzMDg4Mzc1NgCIdSETIhPeCJON8RUiE94ILENJUS5BTFZPLklRX1NIT1JUX0lOVEVSRVNUX1BFUkNFTlQuMi8yMy8yMDI0AQAAAD2JUSkCAAAAEjAuMDQwNjE2MTY4NzYxNzAyNwCIdSETIhPeCEIy8RUiE94IIkNJUS5HSUxELklRX1ZBTFVFX1RSQURFRC4yLzI2LzIwMjQBAAAASnEAAAIAAAAKMzc3LjczMDUwNACIdSETIhPeCEH67xUiE94IHkNJUS5YQkkuSVFfTEFTVFNBTEVQUklDRS40NTM0OAEAAADKQJgBAgAAAAU5Ny4zNACIdSETIhPeCI+w8xUiE94IHkNJUS5YQkkuSVFfTEFTVFNBTEVQUklDRS40NTM1MAEAAADKQJgBAgAAAAYxMDEuNTMAiHUhEyIT3ggUxvIVIhPeCCJDSVEuUllUTS5JUV9WQUxVRV9UUkFERUQuMi8yOS8y</t>
  </si>
  <si>
    <t>MDI0AQAAABjJbRICAAAACTIyLjc3MDU3NwD7uBUTIhPeCAFe7RUiE94IIUNJUS5DUlZPLklRX1ZBTFVFX1RSQURFRC4zLzUvMjAyNAEAAAD1krkQAgAAAAgwLjMxNjIzOAD7uBUTIhPeCPxu6hUiE94IIENJUS5MTFkuSVFfVkFMVUVfVFJBREVELjMvNS8yMDI0AQAAABtbBAACAAAACjI0NjMuOTQwODgA+7gVEyIT3giP+ecVIhPeCCtDSVEuTElQTy5JUV9TSE9SVF9JTlRFUkVTVF9QRVJDRU5ULjMvNS8yMDI0AQAAAIfmIwICAAAAETAuNDEwMzAxODk5MjU0Mjc2APu4FRMiE94Ij/nnFSIT3gghQ0lRLk1BSUEuSVFfVkFMVUVfVFJBREVELjMvNi8yMDI0AQAAAHXynyUCAAAACDMuMjM2OTg3APu4FRMiE94Ij/nnFSIT3ggqQ0lRLkdTSy5JUV9TSE9SVF9JTlRFUkVTVF9QRVJDRU5ULjMvNy8yMDI0AQAAAPIzBAADAAAAAAD6KRgTIhPeCK+R5RUiE94IIUNJUS5UTFNBLklRX1ZBTFVFX1RSQURFRC4zLzgvMjAyNAEAAAAVHpIPAgAAAAgwLjAzOTM1MgAIueMSIhPeCK+R5RUiE94ILENJUS5BUFJFLklRX1NIT1JUX0lOVEVSRVNUX1BFUkNFTlQuMy8xMS8yMDI0AQAAAKvTqBMCAAAAEDEuODc3NDE4NzYyNjI2NTQACLnjEiIT3gjKKOMVIhPeCCJDSVEuQUxNUy5JUV9WQUxVRV9UUkFERUQuMy8xMS8yMDI0AQAAAF97DyoDAAAAAAAIueMSIhPeCMoo4xUiE94ILENJUS5LQU5ULklRX1NIT1JUX0lOVEVSRVNUX1BF</t>
  </si>
  <si>
    <t>UkNFTlQuMy8xMi8yMDI0BQAAAAAAAAAIAAAAFChJbnZhbGlkIElkZW50aWZpZXIpCLnjEiIT3gjKKOMVIhPeCCJDSVEuQ0FMQy5JUV9WQUxVRV9UUkFERUQuMy8xMy8yMDI0AQAAAAZjCgICAAAABjAuMTQ5NAAIueMSIhPeCATB4BUiE94IK0NJUS5CTVkuSVFfU0hPUlRfSU5URVJFU1RfUEVSQ0VOVC4zLzE0LzIwMjQBAAAAxmQAAAIAAAAQMS42MTQ0NjM0NzQyODUzNQAIueMSIhPeCATB4BUiE94IIkNJUS5QSFZTLklRX1ZBTFVFX1RSQURFRC4zLzE1LzIwMjQBAAAAcIsEGAIAAAAIMi43OTAwNDUACLnjEiIT3gjgwN4VIhPeCCxDSVEuQVhTTS5JUV9TSE9SVF9JTlRFUkVTVF9QRVJDRU5ULjMvMTkvMjAyNAEAAABrN2sOAgAAABAxNS43Njg3MzM2MjQ0NTQxAOYq5hIiE94I4MDeFSIT3gghQ0lRLkJNWS5JUV9WQUxVRV9UUkFERUQuMy8yMC8yMDI0AQAAAMZkAAACAAAACjU0MS40MzY0MzcAkUi2EiIT3ggbK94VIhPeCCxDSVEuVlJUWC5JUV9TSE9SVF9JTlRFUkVTVF9QRVJDRU5ULjMvMjEvMjAyNAEAAACLjQAAAgAAABAxLjU2OTcyMjE0ODg2NDQ0AJFIthIiE94Iw0DdFSIT3ggiQ0lRLlpMQUIuSVFfVkFMVUVfVFJBREVELjMvMjIvMjAyNAEAAAB3AikQAgAAAAkxMi42NTU4MTgAkUi2EiIT3gjmG9wVIhPeCCxDSVEuQ0VSUy5JUV9TSE9SVF9JTlRFUkVTVF9QRVJDRU5ULjMvMjYvMjAyNAEAAADeZgAA</t>
  </si>
  <si>
    <t>AgAAABAyLjc5NTQ0Mjg2NDE3ODA0AJFIthIiE94I1rPZFSIT3gghQ0lRLkFMVC5JUV9WQUxVRV9UUkFERUQuMy8yNy8yMDI0AQAAAPdCSgACAAAACTk5LjA3NzM0MwCRSLYSIhPeCDFM1xUiE94IIkNJUS5NUkVPLklRX1ZBTFVFX1RSQURFRC4zLzI3LzIwMjQBAAAAqkFbEgIAAAAIMS4zNTUyNDcAkUi2EiIT3ggxTNcVIhPeCCtDSVEuQk1ZLklRX1NIT1JUX0lOVEVSRVNUX1BFUkNFTlQuMy8yOC8yMDI0AQAAAMZkAAACAAAAEDEuODM4MTE1NDk1NjU3MzEApZmsEiIT3ghp49QVIhPeCCJDSVEuQ1NMTFkuSVFfVkFMVUVfVFJBREVELjIvNS8yMDI0AQAAAF9zDQADAAAAAABWF1ETIhPeCI8R/BUiE94IIkNJUS5CRFJYLklRX1ZBTFVFX1RSQURFRC4yLzIzLzIwMjQBAAAAzn+WEAIAAAAINi4xNTc0MjUAiHUhEyIT3giTjfEVIhPeCCxDSVEuVENSWC5JUV9TSE9SVF9JTlRFUkVTVF9QRVJDRU5ULjIvMjYvMjAyNAEAAACqwMAiAgAAABEwLjUwOTM0NTgwMjIwOTIzNgCIdSETIhPeCOpH8BUiE94ILENJUS5SRUdOLklRX1NIT1JUX0lOVEVSRVNUX1BFUkNFTlQuMi8yOC8yMDI0AQAAALODAAACAAAAEDEuMjc1MjY2OTA5NDkxMzQA+7gVEyIT3gjViu4VIhPeCCpDSVEuSk5KLklRX1NIT1JUX0lOVEVSRVNUX1BFUkNFTlQuMy8xLzIwMjQBAAAAnSECAAIAAAARMC40NTUxOTIxNzc2NjQ0MTYA+7gVEyIT3giImuwV</t>
  </si>
  <si>
    <t>IhPeCCtDSVEuR0lMRC5JUV9TSE9SVF9JTlRFUkVTVF9QRVJDRU5ULjMvNS8yMDI0AQAAAEpxAAACAAAAEDEuNTk1ODEyMDk1MTE0OTYA+7gVEyIT3giP+ecVIhPeCCBDSVEuQk1ZLklRX1ZBTFVFX1RSQURFRC4zLzYvMjAyNAEAAADGZAAAAgAAAAsxMTU3LjkzNjI1NQD7uBUTIhPeCI/55xUiE94IKkNJUS5HU0suSVFfU0hPUlRfSU5URVJFU1RfUEVSQ0VOVC4zLzYvMjAyNAEAAADyMwQAAwAAAAAA+7gVEyIT3giP+ecVIhPeCCFDSVEuQU1MWC5JUV9WQUxVRV9UUkFERUQuMy84LzIwMjQBAAAABqDnEgIAAAAKMjA2LjUyODU0OQAIueMSIhPeCK+R5RUiE94ILENJUS5JTkNZLklRX1NIT1JUX0lOVEVSRVNUX1BFUkNFTlQuMy8xMS8yMDI0AQAAAJoUBQACAAAAEDMuNDYyNDcwMDc4MzE1MzQACLnjEiIT3givkeUVIhPeCCJDSVEuTlZDUi5JUV9WQUxVRV9UUkFERUQuMy8xMS8yMDI0AQAAAOh8HwQCAAAACTE4LjEwNjI2MQAIueMSIhPeCMoo4xUiE94ILENJUS5URVJOLklRX1NIT1JUX0lOVEVSRVNUX1BFUkNFTlQuMy8xMS8yMDI0AQAAAJbkRiECAAAAEDcuMDkxMjQ5OTMzMTI1MTQACLnjEiIT3gjKKOMVIhPeCCFDSVEuVEFLLklRX1ZBTFVFX1RSQURFRC4zLzEzLzIwMjQBAAAALFgNAAIAAAAJMjEuNDY4ODU3AAi54xIiE94IBMHgFSIT3ggsQ0lRLlBDUlguSVFfU0hPUlRfSU5URVJFU1RfUEVSQ0VOVC4z</t>
  </si>
  <si>
    <t>LzEzLzIwMjQBAAAAdGsAAAIAAAAQOC45NzYxODc0NTIxNzU1MwAIueMSIhPeCATB4BUiE94IIUNJUS5KTkouSVFfVkFMVUVfVFJBREVELjMvMTUvMjAyNAEAAACdIQIAAgAAAAoyMDgyLjUxODc5AAi54xIiE94IBMHgFSIT3ggrQ0lRLk1SSy5JUV9TSE9SVF9JTlRFUkVTVF9QRVJDRU5ULjMvMTgvMjAyNAEAAAD2ZgQAAgAAABEwLjY1NTYyODQ1OTM5Njc1OAAIueMSIhPeCODA3hUiE94IIkNJUS5KU1BSLklRX1ZBTFVFX1RSQURFRC4zLzE5LzIwMjQBAAAAXpKVJgIAAAAIMi41ODgwNTEAkUi2EiIT3gjgwN4VIhPeCCtDSVEuT1BLLklRX1NIT1JUX0lOVEVSRVNUX1BFUkNFTlQuMy8yMC8yMDI0AQAAAI+5/QECAAAAEDE0LjIxMjkzODQ0MjMwNTEAkUi2EiIT3ggi3d0VIhPeCCJDSVEuSVZWRC5JUV9WQUxVRV9UUkFERUQuMy8yMi8yMDI0AQAAAIKDXigCAAAACTE2LjA5ODAwOQCRSLYSIhPeCHd93BUiE94IK0NJUS5BWk4uSVFfU0hPUlRfSU5URVJFU1RfUEVSQ0VOVC4zLzI1LzIwMjQBAAAAhiMFAAMAAAAAAJFIthIiE94I1rPZFSIT3ggrQ0lRLk1SSy5JUV9TSE9SVF9JTlRFUkVTVF9QRVJDRU5ULjMvMjUvMjAyNAEAAAD2ZgQAAgAAABEwLjY1NTYyODQ1OTM5Njc1OACRSLYSIhPeCNaz2RUiE94IIkNJUS5OS0dOLklRX1ZBTFVFX1RSQURFRC4zLzI1LzIwMjQBAAAAPFR/IwIAAAAIMy4yNzg0OTgAkUi2</t>
  </si>
  <si>
    <t>EiIT3gjWs9kVIhPeCCxDSVEuUlZQSC5JUV9TSE9SVF9JTlRFUkVTVF9QRVJDRU5ULjMvMjcvMjAyNAEAAACUhJAHAgAAABAyLjMzMDUzNTY3MjMyNjk0AJFIthIiE94IMUzXFSIT3ggiQ0lRLkdJTEQuSVFfVkFMVUVfVFJBREVELjMvMjgvMjAyNAEAAABKcQAAAgAAAAo2MTMuMDgwNzQ1AKWZrBIiE94IaePUFSIT3gghQ0lRLkJNWS5JUV9WQUxVRV9UUkFERUQuMy8yOC8yMDI0AQAAAMZkAAACAAAACjc3OC4xMDI2NjkApZmsEiIT3ghp49QVIhPeCCBDSVEuTExZLklRX1ZBTFVFX1RSQURFRC40LzIvMjAyNAEAAAAbWwQAAgAAAAsxOTgzLjg0MjkyNAClmawSIhPeCGnj1BUiE94IIENJUS5NUksuSVFfVkFMVUVfVFJBREVELjQvMy8yMDI0AQAAAPZmBAACAAAACzEwMDUuNjEyNDA3AKWZrBIiE94IaHHSFSIT3gghQ0lRLkFNTFguSVFfVkFMVUVfVFJBREVELjQvNC8yMDI0AQAAAAag5xICAAAACDcuMzgzODU3AKWZrBIiE94IfgfQFSIT3ggrQ0lRLkRUSUwuSVFfU0hPUlRfSU5URVJFU1RfUEVSQ0VOVC40LzQvMjAyNAEAAADo5XECAgAAABAyLjU3NDE3MzYyMjM5Nzk1AKWZrBIiE94IfgfQFSIT3gghQ0lRLk9DR04uSVFfVkFMVUVfVFJBREVELjQvNS8yMDI0AQAAALfAHBICAAAACTM4LjA2NjAxMQClmawSIhPeCH4H0BUiE94IK0NJUS5SRVBMLklRX1NIT1JUX0lOVEVSRVNUX1BFUkNFTlQuNC83LzIwMjQB</t>
  </si>
  <si>
    <t>AAAAROgSIgIAAAAQMTEuMjc5NTkzOTU3MDEyOQDFOWwSIhPeCP5yzxUiE94IIUNJUS5BUldSLklRX1ZBTFVFX1RSQURFRC40LzcvMjAyNAEAAACGGQMAAwAAAAAAxTlsEiIT3ggupM0VIhPeCCtDSVEuTlVWTC5JUV9TSE9SVF9JTlRFUkVTVF9QRVJDRU5ULjQvOC8yMDI0AQAAAIVs3ikCAAAAEDExLjAwNTg5NTA1MTEwMjEAxTlsEiIT3ggupM0VIhPeCCFDSVEuR01BQi5JUV9WQUxVRV9UUkFERUQuNC84LzIwMjQBAAAAaCgKAAIAAAAKMTMyLjg3NjA4NgDFOWwSIhPeCC6kzRUiE94IK0NJUS5FTlRYLklRX1NIT1JUX0lOVEVSRVNUX1BFUkNFTlQuNC84LzIwMjQBAAAALqZgBgIAAAARMC4wMjI4MDkxNzE3Mjc3NTQAxTlsEiIT3gg9Z8wVIhPeCCFDSVEuTlZDVC5JUV9WQUxVRV9UUkFERUQuNC84LzIwMjQBAAAAookZZAIAAAAIMC4xODk5NzgAxTlsEiIT3ggHQMwVIhPeCCJDSVEuVEVWQS5JUV9WQUxVRV9UUkFERUQuMS8xOS8yMDI0AQAAAE+zBAACAAAACjExMi4wMDcyNDQAdRuIEyIT3givJwIWIhPeCCtDSVEuTlZTLklRX1NIT1JUX0lOVEVSRVNUX1BFUkNFTlQuMS8zMS8yMDI0AQAAAKm16A8DAAAAAABWF1ETIhPeCKC9/RUiE94IIUNJUS5WUlBYLklRX1ZBTFVFX1RSQURFRC4yLzcvMjAyNAEAAACS0kchAgAAAAgwLjE3OTkyOACSPVETIhPeCL2w+BUiE94IIkNJUS5OVVZMLklRX1ZBTFVFX1RSQURF</t>
  </si>
  <si>
    <t>RC4yLzEyLzIwMjQBAAAAhWzeKQIAAAAJNDcuMTM2MDY5AO1jURMiE94IXUf2FSIT3gghQ0lRLkFJTS5JUV9WQUxVRV9UUkFERUQuMi8xNC8yMDI0AQAAAHOgrigCAAAACDAuMDAxMzMyAJX8IBMiE94I1tfzFSIT3ggiQ0lRLk5SU04uSVFfVkFMVUVfVFJBREVELjIvMjEvMjAyNAEAAABqZeUgAgAAAAgyLjgzMDk5NgC2SiETIhPeCDZ48hUiE94IIkNJUS5BTFZPLklRX1ZBTFVFX1RSQURFRC4yLzIzLzIwMjQBAAAAPYlRKQIAAAAJMTEuNDgzMTA3AIh1IRMiE94IQjLxFSIT3gggQ0lRLkpOSi5JUV9WQUxVRV9UUkFERUQuMy8xLzIwMjQBAAAAnSECAAIAAAAKOTE5LjI0MjI4NgD7uBUTIhPeCNbB7BUiE94IIUNJUS5HSUxELklRX1ZBTFVFX1RSQURFRC4zLzUvMjAyNAEAAABKcQAAAgAAAAo0NTguNDA4NTg2APu4FRMiE94Ij/nnFSIT3ggrQ0lRLlZOREEuSVFfU0hPUlRfSU5URVJFU1RfUEVSQ0VOVC4zLzYvMjAyNAEAAAAjh3YBAgAAABA1LjE0NDA2NjEzMzI4ODE0APu4FRMiE94Ij/nnFSIT3ggqQ0lRLkJIQy5JUV9TSE9SVF9JTlRFUkVTVF9QRVJDRU5ULjMvNi8yMDI0AQAAALNGBQACAAAADzUuODkwODA2MjA0Njg5MgD7uBUTIhPeCI/55xUiE94IIENJUS5HU0suSVFfVkFMVUVfVFJBREVELjMvNi8yMDI0AQAAAPIzBAACAAAACjEwMS4zOTc1OTMA+7gVEyIT3giP+ecVIhPeCCBDSVEuR1NLLklRX1ZB</t>
  </si>
  <si>
    <t>TFVFX1RSQURFRC4zLzcvMjAyNAEAAADyMwQAAgAAAAoxNzQuMjA4ODg3APopGBMiE94Ir5HlFSIT3ggrQ0lRLkFCT1MuSVFfU0hPUlRfSU5URVJFU1RfUEVSQ0VOVC4zLzgvMjAyNAEAAACBTYIAAgAAABAxLjE3Mzc2ODkzMjY5NzY3AAi54xIiE94Ir5HlFSIT3ggiQ0lRLkFQUkUuSVFfVkFMVUVfVFJBREVELjMvMTEvMjAyNAEAAACr06gTAgAAAAg3LjgwMjc1NwAIueMSIhPeCMoo4xUiE94IIkNJUS5LQU5ULklRX1ZBTFVFX1RSQURFRC4zLzEyLzIwMjQFAAAAAAAAAAgAAAAUKEludmFsaWQgSWRlbnRpZmllcikIueMSIhPeCMoo4xUiE94IIUNJUS5CTVkuSVFfVkFMVUVfVFJBREVELjMvMTQvMjAyNAEAAADGZAAAAgAAAAo3NTcuNDM5NTE4AAi54xIiE94IBMHgFSIT3ggsQ0lRLlRTVlQuSVFfU0hPUlRfSU5URVJFU1RfUEVSQ0VOVC4zLzE1LzIwMjQFAAAAAAAAAAgAAAAUKEludmFsaWQgSWRlbnRpZmllcikIueMSIhPeCODA3hUiE94IIkNJUS5BWFNNLklRX1ZBTFVFX1RSQURFRC4zLzE5LzIwMjQBAAAAazdrDgIAAAAJOTQuNjYzNDA2AOYq5hIiE94I4MDeFSIT3ggsQ0lRLlRTSEEuSVFfU0hPUlRfSU5URVJFU1RfUEVSQ0VOVC4zLzE5LzIwMjQBAAAAo5GxJwIAAAAQNy40MjM5MTg4NjU2ODMwNQCRSLYSIhPeCFRS3hUiE94IIkNJUS5WUlRYLklRX1ZBTFVFX1RSQURFRC4zLzIxLzIwMjQBAAAAi40A</t>
  </si>
  <si>
    <t>AAIAAAAKMzcyLjE4NDMzMgCRSLYSIhPeCMNA3RUiE94ILENJUS5URUxPLklRX1NIT1JUX0lOVEVSRVNUX1BFUkNFTlQuMy8yMi8yMDI0AQAAAMTjLG0CAAAAEjAuMDE1MzMyNzU0MjAxMDIyNwCRSLYSIhPeCOYb3BUiE94IIUNJUS5NUksuSVFfVkFMVUVfVFJBREVELjMvMjUvMjAyNAEAAAD2ZgQAAgAAAAo5NTMuMDc3MTU5AJFIthIiE94I1rPZFSIT3ggsQ0lRLlNUT0suSVFfU0hPUlRfSU5URVJFU1RfUEVSQ0VOVC4zLzI2LzIwMjQBAAAAHogBDwIAAAAQNy42NzQ2MTQ5ODczODg4MgCRSLYSIhPeCDFM1xUiE94ILENJUS5OQklYLklRX1NIT1JUX0lOVEVSRVNUX1BFUkNFTlQuMy8yOC8yMDI0AQAAAEl9AAACAAAAEDIuNDk2MDA5MDk0MzkwNzgApZmsEiIT3ghp49QVIhPeCCtDSVEuVlJUWC5JUV9TSE9SVF9JTlRFUkVTVF9QRVJDRU5ULjQvMS8yMDI0AQAAAIuNAAACAAAADzEuNTk2OTk4NTIwNTU1OAClmawSIhPeCGnj1BUiE94IHkNJUS5YQkkuSVFfTEFTVFNBTEVQUklDRS40NTI5NQEAAADKQJgBAgAAAAU4OS40NQDvD8cTIhPeCMl6DhYiE94IHkNJUS5YQkkuSVFfTEFTVFNBTEVQUklDRS40NTMwMwEAAADKQJgBAgAAAAU5MC40MgCGBJYTIhPeCIbaCxYiE94ILENJUS5IQUxPLklRX1NIT1JUX0lOVEVSRVNUX1BFUkNFTlQuMS8yNy8yMDI0AQAAAEYFeQACAAAAEDUuNDI0NTQxNjUzMTY5NzUASAyK</t>
  </si>
  <si>
    <t>EyIT3ghma/8VIhPeCB5DSVEuWEJJLklRX0xBU1RTQUxFUFJJQ0UuNDUzNDIBAAAAykCYAQIAAAAFOTIuMzgA7WNREyIT3ghdR/YVIhPeCB5DSVEuWEJJLklRX0xBU1RTQUxFUFJJQ0UuNDUzMzcBAAAAykCYAQIAAAAFOTMuMjcAkj1REyIT3gi9sPgVIhPeCCxDSVEuSU1VWC5JUV9TSE9SVF9JTlRFUkVTVF9QRVJDRU5ULjIvMjkvMjAyNAEAAABlfgUYAgAAABAyLjgwNjczOTI2MTk5NzQ4APu4FRMiE94IihHuFSIT3gghQ0lRLkJDREEuSVFfVkFMVUVfVFJBREVELjMvNC8yMDI0AQAAAGculQACAAAABzEuNjM1NTYA+7gVEyIT3ghD/usVIhPeCCtDSVEuUlpMVC5JUV9TSE9SVF9JTlRFUkVTVF9QRVJDRU5ULjMvNi8yMDI0AQAAACEJmwoCAAAAEDIuNTUyMTExMjUyNDM3ODcA+7gVEyIT3giP+ecVIhPeCCtDSVEuQVBWTy5JUV9TSE9SVF9JTlRFUkVTVF9QRVJDRU5ULjMvNy8yMDI0AQAAAJTuvhMCAAAAEjAuMDgzNzgxODA1NTU1NTU1NgD6KRgTIhPeCK+R5RUiE94IIUNJUS5BQk9TLklRX1ZBTFVFX1RSQURFRC4zLzgvMjAyNAEAAACBTYIAAgAAAAcxLjQ4MjgyAAi54xIiE94Ir5HlFSIT3ggiQ0lRLklOQ1kuSVFfVkFMVUVfVFJBREVELjMvMTEvMjAyNAEAAACaFAUAAgAAAAoxMzMuMzIxNTg5AAi54xIiE94Ir5HlFSIT3ggsQ0lRLlZUWVguSVFfU0hPUlRfSU5URVJFU1RfUEVSQ0VOVC4zLzExLzIwMjQB</t>
  </si>
  <si>
    <t>AAAABBQWKAIAAAAQMTUuNTE3NDM2OTMzOTM5MgAIueMSIhPeCMoo4xUiE94IIkNJUS5URVJOLklRX1ZBTFVFX1RSQURFRC4zLzExLzIwMjQBAAAAluRGIQIAAAAINi4wMTk2NDUACLnjEiIT3gjKKOMVIhPeCCtDSVEuTExZLklRX1NIT1JUX0lOVEVSRVNUX1BFUkNFTlQuMy8xMy8yMDI0AQAAABtbBAACAAAAETAuNjAyNDg3Nzk5NjQwNDE1AAi54xIiE94IBMHgFSIT3ggiQ0lRLlBDUlguSVFfVkFMVUVfVFJBREVELjMvMTMvMjAyNAEAAAB0awAAAgAAAAgxMS4yMDYyMQAIueMSIhPeCATB4BUiE94ILENJUS5BUVNULklRX1NIT1JUX0lOVEVSRVNUX1BFUkNFTlQuMy8xNS8yMDI0AQAAAKg+fAACAAAAEDIuNDcxODI1ODAyNjkwNDYACLnjEiIT3ggEweAVIhPeCCFDSVEuTVJLLklRX1ZBTFVFX1RSQURFRC4zLzE4LzIwMjQBAAAA9mYEAAIAAAALMTAwOS4zOTY1MjkACLnjEiIT3gjgwN4VIhPeCCxDSVEuU0VFTC5JUV9TSE9SVF9JTlRFUkVTVF9QRVJDRU5ULjMvMTkvMjAyNAEAAADsNP0XAwAAAAAAkUi2EiIT3gjgwN4VIhPeCCFDSVEuT1BLLklRX1ZBTFVFX1RSQURFRC4zLzIwLzIwMjQBAAAAj7n9AQIAAAAJMTUuMzUzMzYyAJFIthIiE94IIt3dFSIT3ggsQ0lRLk1UTkIuSVFfU0hPUlRfSU5URVJFU1RfUEVSQ0VOVC4zLzI1LzIwMjQBAAAA2tKFDgIAAAARMC42NzY1NzQ4NjYxMTk0MDcAkUi2EiIT3gjW</t>
  </si>
  <si>
    <t>s9kVIhPeCCJDSVEuU1RPSy5JUV9WQUxVRV9UUkFERUQuMy8yNi8yMDI0AQAAAB6IAQ8CAAAACjIwMC4zMzYxMzMAkUi2EiIT3ggxTNcVIhPeCCxDSVEuWkxBQi5JUV9TSE9SVF9JTlRFUkVTVF9QRVJDRU5ULjMvMjcvMjAyNAEAAAB3AikQAgAAABAzLjcxMTMwOTY5MzIxNDI0AJFIthIiE94IMUzXFSIT3ggsQ0lRLlJFR04uSVFfU0hPUlRfSU5URVJFU1RfUEVSQ0VOVC4zLzI3LzIwMjQBAAAAs4MAAAIAAAAPMS4yOTU3NTEzNzk2MzMyAJFIthIiE94IMUzXFSIT3ggiQ0lRLlJWUEguSVFfVkFMVUVfVFJBREVELjMvMjcvMjAyNAEAAACUhJAHAgAAAAgyLjU2NzczMwCRSLYSIhPeCDFM1xUiE94ILENJUS5PQ0VBLklRX1NIT1JUX0lOVEVSRVNUX1BFUkNFTlQuMy8yOC8yMDI0AQAAAHfl6ScCAAAAEDIuNTYyMTIyOTUwNDg4MDcApZmsEiIT3ghp49QVIhPeCCtDSVEuUk9JVi5JUV9TSE9SVF9JTlRFUkVTVF9QRVJDRU5ULjQvMi8yMDI0AQAAADk4zxACAAAAEDMuOTE3NzY0Nzc5NDkwNjQApZmsEiIT3ghocdIVIhPeCCFDSVEuRkdFTi5JUV9WQUxVRV9UUkFERUQuNC8zLzIwMjQBAAAARG8AAAIAAAAJMTUuMjAxODk1AKWZrBIiE94IaHHSFSIT3ggrQ0lRLk5CVFguSVFfU0hPUlRfSU5URVJFU1RfUEVSQ0VOVC40LzMvMjAyNAEAAAC7rj8BAwAAAAAApZmsEiIT3ghocdIVIhPeCCtDSVEuRUZUUi5JUV9TSE9S</t>
  </si>
  <si>
    <t>VF9JTlRFUkVTVF9QRVJDRU5ULjQvNC8yMDI0AQAAAP8dVw4CAAAAEDguNjI1OTY1NDM5ODM3MDIApZmsEiIT3gh+B9AVIhPeCCFDSVEuRFRJTC5JUV9WQUxVRV9UUkFERUQuNC80LzIwMjQBAAAA6OVxAgIAAAAIMi4wMDk1MjIApZmsEiIT3gh+B9AVIhPeCCtDSVEuUFJURy5JUV9TSE9SVF9JTlRFUkVTVF9QRVJDRU5ULjEvNC8yMDI0BQAAAAAAAAAIAAAAFChJbnZhbGlkIElkZW50aWZpZXIpRUGVEyIT3giG2gsWIhPeCCxDSVEuQU5UWC5JUV9TSE9SVF9JTlRFUkVTVF9QRVJDRU5ULjIvMTIvMjAyNAEAAADbsXMmAgAAABEwLjk0MjUyMzEzNTY0NDU1MwCSPVETIhPeCL2w+BUiE94IHkNJUS5YQkkuSVFfTEFTVFNBTEVQUklDRS40NTMzOAEAAADKQJgBAgAAAAU5My4xNQCSPVETIhPeCL2w+BUiE94ILENJUS5QUEJULklRX1NIT1JUX0lOVEVSRVNUX1BFUkNFTlQuMi8yNy8yMDI0AQAAAC2iNgEDAAAAAACIdSETIhPeCNhd7xUiE94IIkNJUS5JTVVYLklRX1ZBTFVFX1RSQURFRC4yLzI5LzIwMjQBAAAAZX4FGAIAAAAIMC45NjQzMjIA+7gVEyIT3gjSPO4VIhPeCCtDSVEuS1JCUC5JUV9TSE9SVF9JTlRFUkVTVF9QRVJDRU5ULjMvMS8yMDI0AQAAAEC5fycDAAAAAAD7uBUTIhPeCN/o7BUiE94IK0NJUS5DTFJCLklRX1NIT1JUX0lOVEVSRVNUX1BFUkNFTlQuMy80LzIwMjQBAAAA8+49AgIAAAAQNy43Njc0</t>
  </si>
  <si>
    <t>MTM4MjQ4MDE3MQD7uBUTIhPeCEcl7BUiE94IIUNJUS5OUlhQLklRX1ZBTFVFX1RSQURFRC4zLzQvMjAyNAEAAAAVegkTAgAAAAgyLjQyNzUzNwD7uBUTIhPeCF+E6xUiE94IKkNJUS5OVk8uSVFfU0hPUlRfSU5URVJFU1RfUEVSQ0VOVC4zLzUvMjAyNAEAAAB87wQAAwAAAAAA+7gVEyIT3ghq6OoVIhPeCCtDSVEuQUxOWS5JUV9TSE9SVF9JTlRFUkVTVF9QRVJDRU5ULjMvNS8yMDI0AQAAAHOsKgACAAAAEDMuMTY2MzI0ODk2NjE2NDQA+7gVEyIT3ghEmuoVIhPeCCtDSVEuR0FOWC5JUV9TSE9SVF9JTlRFUkVTVF9QRVJDRU5ULjMvNS8yMDI0AQAAANvQDCECAAAAETAuODQ5MzYwMjk2MDMxMzAyAPu4FRMiE94I8WHqFSIT3gghQ0lRLlZOREEuSVFfVkFMVUVfVFJBREVELjMvNi8yMDI0AQAAACOHdgECAAAACDYuMDM4OTI1APu4FRMiE94Ij/nnFSIT3gggQ0lRLkJIQy5JUV9WQUxVRV9UUkFERUQuMy82LzIwMjQBAAAAs0YFAAIAAAAJMjQuNTYwNzQ0APu4FRMiE94Ij/nnFSIT3gggQ0lRLkRZTi5JUV9WQUxVRV9UUkFERUQuMy82LzIwMjQBAAAAAgZIJAIAAAAJMzAuODE4NTMxAPopGBMiE94Ir5HlFSIT3ggrQ0lRLkZCSU8uSVFfU0hPUlRfSU5URVJFU1RfUEVSQ0VOVC4zLzcvMjAyNAEAAAAJ8q0DAgAAABA4LjkyNzkzODgzNTc1NzE0APopGBMiE94Ir5HlFSIT3ggsQ0lRLk5SSVguSVFfU0hPUlRfSU5U</t>
  </si>
  <si>
    <t>RVJFU1RfUEVSQ0VOVC4zLzExLzIwMjQBAAAATCpVDAIAAAAQMTQuMDAyNDg3NDk5MzA1NgAIueMSIhPeCK+R5RUiE94IIkNJUS5QVEdYLklRX1ZBTFVFX1RSQURFRC4zLzExLzIwMjQBAAAA3Ga0BwIAAAAJMTcuNTY4NjM1AAi54xIiE94IyijjFSIT3ggrQ0lRLk5WUy5JUV9TSE9SVF9JTlRFUkVTVF9QRVJDRU5ULjMvMTIvMjAyNAEAAACptegPAwAAAAAACLnjEiIT3gjKKOMVIhPeCCJDSVEuVFNWVC5JUV9WQUxVRV9UUkFERUQuMy8xNS8yMDI0BQAAAAAAAAAIAAAAFChJbnZhbGlkIElkZW50aWZpZXIpCLnjEiIT3gjgwN4VIhPeCCxDSVEuQ1JOWC5JUV9TSE9SVF9JTlRFUkVTVF9QRVJDRU5ULjMvMTkvMjAyNAEAAAD/X7kQAgAAABA2LjA4NTUzMDkwODMzMjM3AAi54xIiE94I4MDeFSIT3ggiQ0lRLlRTSEEuSVFfVkFMVUVfVFJBREVELjMvMTkvMjAyNAEAAACjkbEnAgAAAAg5LjA3MzA5OACRSLYSIhPeCFRS3hUiE94IK0NJUS5NUksuSVFfU0hPUlRfSU5URVJFU1RfUEVSQ0VOVC4zLzIxLzIwMjQBAAAA9mYEAAIAAAARMC42NTU2Mjg0NTkzOTY3NTgAkUi2EiIT3ggXaN0VIhPeCCJDSVEuVEVMTy5JUV9WQUxVRV9UUkFERUQuMy8yMi8yMDI0AQAAAMTjLG0CAAAACDAuMTgzODQyAJFIthIiE94IO1LcFSIT3ggsQ0lRLkFSV1IuSVFfU0hPUlRfSU5URVJFU1RfUEVSQ0VOVC4zLzI1LzIwMjQBAAAAhhkD</t>
  </si>
  <si>
    <t>AAIAAAAQNy4xMzQwODQwNjYwNDg2NQCRSLYSIhPeCNaz2RUiE94IIkNJUS5aTEFCLklRX1ZBTFVFX1RSQURFRC4zLzI1LzIwMjQBAAAAdwIpEAIAAAAJMTAuMzA4MDA5AJFIthIiE94I1rPZFSIT3ggrQ0lRLk1SSy5JUV9TSE9SVF9JTlRFUkVTVF9QRVJDRU5ULjMvMjYvMjAyNAEAAAD2ZgQAAgAAABEwLjkxNDI5ODMwNTI2MTI5MwCRSLYSIhPeCDFM1xUiE94IIkNJUS5SRUdOLklRX1ZBTFVFX1RSQURFRC4zLzI3LzIwMjQBAAAAs4MAAAIAAAAKMzA0LjE0Nzc1NwCRSLYSIhPeCDFM1xUiE94ILENJUS5JUldELklRX1NIT1JUX0lOVEVSRVNUX1BFUkNFTlQuMy8yOC8yMDI0AQAAAAp7AAACAAAAEDExLjk5NDUzMzQyMjQwNTgApZmsEiIT3ggxTNcVIhPeCCJDSVEuTkJJWC5JUV9WQUxVRV9UUkFERUQuMy8yOC8yMDI0AQAAAEl9AAACAAAACjE3MS44MDE5NzkApZmsEiIT3ghp49QVIhPeCB5DSVEuWEJJLklRX0xBU1RTQUxFUFJJQ0UuNDUzMjkBAAAAykCYAQIAAAAFODguMDcAkj1REyIT3gigvf0VIhPeCCxDSVEuQVRSQS5JUV9TSE9SVF9JTlRFUkVTVF9QRVJDRU5ULjIvMTQvMjAyNAEAAADSLssOAgAAABA3LjM4NzMyODA4NTg2OTM4AJX8IBMiE94I1tfzFSIT3ggiQ0lRLk1OS0QuSVFfVkFMVUVfVFJBREVELjIvMTUvMjAyNAEAAABmpY0AAgAAAAkxMC42Mjc1NzcAlfwgEyIT3gjW1/MVIhPeCCJDSVEu</t>
  </si>
  <si>
    <t>QVROTS5JUV9WQUxVRV9UUkFERUQuMi8yMi8yMDI0AQAAAJu3dwACAAAACDAuOTQ3MzQ3AIh1IRMiE94IuwLyFSIT3ggsQ0lRLlROWUEuSVFfU0hPUlRfSU5URVJFU1RfUEVSQ0VOVC4yLzI2LzIwMjQBAAAAFsNiGAIAAAAPMy40NzgyNTIxNjI2MDk3AIh1IRMiE94IBJbwFSIT3ggiQ0lRLk1UTkIuSVFfVkFMVUVfVFJBREVELjIvMjYvMjAyNAEAAADa0oUOAgAAAAgwLjY0MDc0NQCIdSETIhPeCOpH8BUiE94IIkNJUS5BVFJBLklRX1ZBTFVFX1RSQURFRC4yLzI5LzIwMjQBAAAA0i7LDgIAAAAINC4yMzUxMDEA+7gVEyIT3ggBXu0VIhPeCCFDSVEuS1JCUC5JUV9WQUxVRV9UUkFERUQuMy8xLzIwMjQBAAAAQLl/JwMAAAAAAPu4FRMiE94I3+jsFSIT3ggiQ0lRLkxSTVIuSVFfQkVUQV8xWVJfUlNRLjMvMTEvMjAyNAEAAAAXYB0iAgAAABIwLjAxMDMzNTE1OTY2MDI3NzkACLnjEiIT3gjKKOMVIhPeCCJDSVEuTUlSTS5JUV9CRVRBXzFZUl9SU1EuMy8xMy8yMDI0AQAAANpmMyMCAAAAETAuMDMzNzU3NjA2MjExNDkyAAi54xIiE94IBMHgFSIT3ggiQ0lRLkpTUFIuSVFfQkVUQV8xWVJfUlNRLjMvMTUvMjAyNAEAAABekpUmAgAAABIwLjAyNDM5NzI4MzI5MTg2OTgACLnjEiIT3ggEweAVIhPeCCJDSVEuRFRJTC5JUV9CRVRBXzFZUl9SU1EuMy8xOS8yMDI0AQAAAOjlcQICAAAAETAuMTk5MjA4OTY5NDg3ODQy</t>
  </si>
  <si>
    <t>AAi54xIiE94I4MDeFSIT3ggiQ0lRLkVOVFguSVFfQkVUQV8xWVJfUlNRLjMvMjAvMjAyNAEAAAAupmAGAgAAABIwLjAxMzgzMzcwMDU0MTY4MTkAkUi2EiIT3ggi3d0VIhPeCCJDSVEuRVNQUi5JUV9CRVRBXzFZUl9SU1EuMy8yMi8yMDI0AQAAAExuAAACAAAAETAuMjIwNzczMTA3MTc1MzEzAJFIthIiE94IO1LcFSIT3ggiQ0lRLlNZUlMuSVFfQkVUQV8xWVJfUlNRLjMvMjUvMjAyNAEAAACehRUOAgAAABMwLjAwNzQzNTM4OTE4ODE2MDU3AJFIthIiE94I1rPZFSIT3ggiQ0lRLlpWUkEuSVFfQkVUQV8xWVJfUlNRLjMvMjYvMjAyNAEAAACOu+ADAgAAABIwLjA0ODYyNzY4NTY4NDEwNTYAkUi2EiIT3ggxTNcVIhPeCCJDSVEuTVJFTy5JUV9CRVRBXzFZUl9SU1EuMy8yNy8yMDI0AQAAAKpBWxICAAAAEzAuMDAzNjMwNTM2MzgzNDUwMjUAkUi2EiIT3ggxTNcVIhPeCCFDSVEuQk1ZLklRX0JFVEFfMVlSX1JTUS4xLzE3LzIwMjQBAAAAxmQAAAIAAAARMC4xMDM4NTg5Mzg0MzE3MzEAdRuIEyIT3ggykAQWIhPeCCJDSVEuTVRWQS5JUV9CRVRBXzFZUl9SU1EuMS8xOC8yMDI0AQAAAHOvmCUCAAAAEjAuMDM1OTcwOTk0NTg2NDA3MQB1G4gTIhPeCK8nAhYiE94IIUNJUS5OVlMuSVFfQkVUQV8xWVJfUlNRLjEvMTkvMjAyNAEAAACptegPAgAAABMwLjAwNDcyMDcxMTU0MDk2ODY0AHUbiBMiE94IrycCFiIT3ggi</t>
  </si>
  <si>
    <t>Q0lRLlZUWVguSVFfQkVUQV8xWVJfUlNRLjIvMjIvMjAyNAEAAAAEFBYoAgAAABIwLjAxNDg5ODMzMDc3MTk4NTgAQ9UgEyIT3gjBtPEVIhPeCCJDSVEuVEVWQS5JUV9CRVRBXzFZUl9SU1EuMi8yMy8yMDI0AQAAAE+zBAACAAAAEjAuMDM5MjU3OTQyMjI4ODE0OQBD1SATIhPeCEIy8RUiE94IIkNJUS5LQUxWLklRX0JFVEFfMVlSX1JTUS4yLzI1LzIwMjQBAAAAEI4lCAIAAAARMC4xMjE3MjYwNDUzMTA1NjkAQ9UgEyIT3ggm5PAVIhPeCCFDSVEuRkJJTy5JUV9CRVRBXzFZUl9SU1EuMS81LzIwMjQBAAAACfKtAwIAAAARMC4xMTU4MjA2OTcyODI5MzYAo++UEyIT3gjocQkWIhPeCCJDSVEuTFBUWC5JUV9CRVRBXzFZUl9SU1EuMS8xNi8yMDI0AQAAAAw2CQcCAAAAETAuMTM1MDY0MTQ3MDQ0ODM4AHUbiBMiE94IMpAEFiIT3ggiQ0lRLkFOVlMuSVFfQkVUQV8xWVJfUlNRLjEvMjQvMjAyNAEAAAAv0R0lAgAAABIwLjAyNDg3NTI1MjI0MTcwMDYAdRuIEyIT3giLuf8VIhPeCCBDSVEuR1NLLklRX0JFVEFfMVlSX1JTUS4yLzYvMjAyNAEAAADyMwQAAgAAABMwLjAwMjA0MzkzMzQyNTAzOTI2ACXwUBMiE94IhcP7FSIT3gggQ0lRLkhDTS5JUV9CRVRBXzFZUl9SU1EuMi83LzIwMjQBAAAAu6+WAQIAAAARMC4xMzg0MjQzNzU1MjY1NjQAJfBQEyIT3gi9sPgVIhPeCCJDSVEuU0lMTy5JUV9CRVRBXzFZUl9SU1Eu</t>
  </si>
  <si>
    <t>Mi8xNC8yMDI0AQAAABovtAcCAAAAETAuMTYwNzIxNDQzMjUyNDI5AJCtIBMiE94I1tfzFSIT3gghQ0lRLk9OQy5JUV9CRVRBXzFZUl9SU1EuMi8yNi8yMDI0AQAAAODk3QYCAAAAETAuMTYzMDYyMTk2NzQwNzk0AEPVIBMiE94IJW/wFSIT3ggiQ0lRLkdBTlguSVFfQkVUQV8xWVJfUlNRLjIvMjcvMjAyNAEAAADb0AwhAgAAABMwLjAwMTg4NTUzNTk0NzA3NzY3AEPVIBMiE94IbCfvFSIT3gghQ0lRLklORFAuSVFfQkVUQV8xWVJfUlNRLjMvNC8yMDI0AQAAAP1MlRACAAAAEjAuMDU0ODI1NDg4NjMyMjEzMwD7uBUTIhPeCEP+6xUiE94IIUNJUS5JTU1QLklRX0JFVEFfMVlSX1JTUS4zLzUvMjAyNAEAAAAVQmYAAwAAAAAA+7gVEyIT3giP+ecVIhPeCCFDSVEuSUJSWC5JUV9CRVRBXzFZUl9SU1EuMy81LzIwMjQBAAAAB8IPEgIAAAAQMC4wMTYyNDg3MjMyNDEwMgD7uBUTIhPeCI/55xUiE94IIUNJUS5SRUdOLklRX0JFVEFfMVlSX1JTUS4zLzYvMjAyNAEAAACzgwAAAgAAABAwLjEzMjUwNzMzODM2NjE5APu4FRMiE94Ij/nnFSIT3gghQ0lRLkFUSEEuSVFfQkVUQV8xWVJfUlNRLjMvOC8yMDI0AQAAABwR2w8CAAAAEjAuMDMxNDY3MzUxOTUzMjI3MQD7uBUTIhPeCK+R5RUiE94IIkNJUS5TT05OLklRX0JFVEFfMVlSX1JTUS4zLzExLzIwMjQBAAAAmt91GAIAAAASMC4wNDE1NTk4MTQ4MTg3NjE4AAi54xIi</t>
  </si>
  <si>
    <t>E94Ir5HlFSIT3ggiQ0lRLkFDQUQuSVFfQkVUQV8xWVJfUlNRLjMvMTEvMjAyNAEAAADBbgoAAgAAABEwLjEwMTk2NDk2MzMyOTYzNwAIueMSIhPeCMoo4xUiE94IIUNJUS5KTkouSVFfQkVUQV8xWVJfUlNRLjMvMTkvMjAyNAEAAACdIQIAAgAAABEwLjEyMDAwNzAyOTI3NDYwMwAIueMSIhPeCODA3hUiE94IIUNJUS5CTVkuSVFfQkVUQV8xWVJfUlNRLjMvMjAvMjAyNAEAAADGZAAAAgAAABIwLjA1OTYxNDc2ODM0NjMxNDEAkUi2EiIT3ggbK94VIhPeCCFDSVEuTVJLLklRX0JFVEFfMVlSX1JTUS4zLzI1LzIwMjQBAAAA9mYEAAIAAAAUMC4wMDA5OTMwNzkwNTUyMjk5NTIAkUi2EiIT3gjWs9kVIhPeCCJDSVEuU1RPSy5JUV9CRVRBXzFZUl9SU1EuMy8yNi8yMDI0AQAAAB6IAQ8CAAAAEjAuMDk5ODA0NzY5NDEwMDkzNwCRSLYSIhPeCDFM1xUiE94IIkNJUS5SRUdOLklRX0JFVEFfMVlSX1JTUS4zLzI3LzIwMjQBAAAAs4MAAAIAAAASMC4wOTkzNTkwNzYzNDM4NTg0AJFIthIiE94IMUzXFSIT3gghQ0lRLkROTEkuSVFfQkVUQV8xWVJfUlNRLjIvNy8yMDI0AQAAAA459RECAAAAETAuMjk3NjU2NDcwMjgyMDgxACXwUBMiE94IvbD4FSIT3ggiQ0lRLkFOSVguSVFfQkVUQV8xWVJfUlNRLjIvMTIvMjAyNAEAAAB6BgQAAgAAABIwLjA4NzQ5MDk2MTg1NTI1MjIAJfBQEyIT3ghdR/YVIhPeCCFDSVEuQVpOLklR</t>
  </si>
  <si>
    <t>X0JFVEFfMVlSX1JTUS4yLzE0LzIwMjQBAAAAhiMFAAIAAAARMC4xOTY3MDc5NDM5NTA2NjcAkK0gEyIT3gjW1/MVIhPeCCJDSVEuUlBUWC5JUV9CRVRBXzFZUl9SU1EuMi8xNS8yMDI0AQAAAOe/8BkCAAAAEjAuMDU4OTczNDg2MzY2ODIwMgCQrSATIhPeCNbX8xUiE94IIkNJUS5ORVJWLklRX0JFVEFfMVlSX1JTUS4yLzI3LzIwMjQBAAAACZOQDwIAAAASMC4wMzk5Mzc5NDk2OTcwODI4AEPVIBMiE94Ir9LvFSIT3ggiQ0lRLkFDWFAuSVFfQkVUQV8xWVJfUlNRLjIvMjcvMjAyNAEAAADOzEIhAgAAABIwLjAxNzQzOTE5NjA0OTAzMzcAQ9UgEyIT3giihO8VIhPeCCJDSVEuVFZSRC5JUV9CRVRBXzFZUl9SU1EuMS8yMi8yMDI0AQAAALjo/SEDAAAAAAB1G4gTIhPeCK8nAhYiE94IIUNJUS5JUk9OLklRX0JFVEFfMVlSX1JTUS4yLzkvMjAyNAEAAABO3zkmAgAAABIwLjA0NjA5ODM2NDAwNDk2NDIAJfBQEyIT3gi9sPgVIhPeCCNDSVEuUkhIQlkuSVFfQkVUQV8xWVJfUlNRLjIvMTYvMjAyNAEAAAAkfAoAAwAAAAAAQ9UgEyIT3gjW1/MVIhPeCCJDSVEuVEFSUy5JUV9CRVRBXzFZUl9SU1EuMi8yMi8yMDI0AQAAADERxCYCAAAAEjAuMDU2MjcxNzU0MDUyMzU0MwBD1SATIhPeCMop8hUiE94IIkNJUS5TUFJCLklRX0JFVEFfMVlSX1JTUS4xLzIyLzIwMjQBAAAA8RLmGAIAAAASMC4wNTk5NDEwNDYxODA2MDE0</t>
  </si>
  <si>
    <t>AHUbiBMiE94Ii7n/FSIT3ggiQ0lRLkJUQUkuSVFfQkVUQV8xWVJfUlNRLjIvMTIvMjAyNAEAAAANL2YgAgAAABIwLjA0NjQxMDE1NjY3MzEyNjgAJfBQEyIT3ghdR/YVIhPeCCJDSVEuSVJPTi5JUV9CRVRBXzFZUl9SU1EuMi8yMC8yMDI0AQAAAE7fOSYCAAAAETAuMDQ2OTk5NjYyNjM4MTg1AEPVIBMiE94Iy2LzFSIT3gghQ0lRLkdTSy5JUV9CRVRBXzFZUl9SU1EuMi8yMS8yMDI0AQAAAPIzBAACAAAAEzAuMDAzNzg1OTEwNDA0NjkxNzMAQ9UgEyIT3ggUxvIVIhPeCCJDSVEuTlJTTi5JUV9CRVRBXzFZUl9SU1EuMi8yMS8yMDI0AQAAAGpl5SACAAAAEjAuMDU3Njc2NDA0MjAwMDQ5NgBD1SATIhPeCDZ48hUiE94IIkNJUS5DUkRGLklRX0JFVEFfMVlSX1JTUS4yLzI5LzIwMjQBAAAAvDqnAAIAAAASMC4wNjgxMTU3NDM0NjM3NDcxAPu4FRMiE94IyqvtFSIT3gghQ0lRLkJJVkkuSVFfQkVUQV8xWVJfUlNRLjMvMS8yMDI0AQAAAAOLcg4CAAAAEzAuMDAyMzM0MTE5MTk1NTI3MDcA+7gVEyIT3gjKNu0VIhPeCCBDSVEuR1NLLklRX0JFVEFfMVlSX1JTUS4xLzgvMjAyNAEAAADyMwQAAgAAABMwLjAwMjczNTA3MDIyODg0Njc5AKPvlBMiE94I6HEJFiIT3gghQ0lRLkNUWFIuSVFfQkVUQV8xWVJfUlNRLjEvMi8yMDI0AQAAABuXPRACAAAAEjAuMDM5MzcxNjAzMzMzNTMxMgBhS8YTIhPeCNehDhYiE94IIkNJ</t>
  </si>
  <si>
    <t>US5QQkxBLklRX0JFVEFfMVlSX1JTUS4xLzI1LzIwMjQBAAAANvXYCgIAAAATMC4wMDEwNDQ5Mzg1MjAyOTc0MgB1G4gTIhPeCIu5/xUiE94IIkNJUS5TUlJLLklRX0JFVEFfMVlSX1JTUS4xLzI1LzIwMjQBAAAAkC22IAIAAAASMC4wMTUyNDU5NjgzMTMwNjM0AHUbiBMiE94Ii7n/FSIT3gggQ0lRLkFaTi5JUV9CRVRBXzFZUl9SU1EuMi8yLzIwMjQBAAAAhiMFAAIAAAARMC4xMzk4NTYzNDEzMTI2OTcAJfBQEyIT3ggJI/0VIhPeCCFDSVEuUExSWC5JUV9CRVRBXzFZUl9SU1EuMi81LzIwMjQBAAAAbRFuEwIAAAASMC4wOTk0OTc3Nzg1MDE4MzkzACXwUBMiE94I9l/8FSIT3gggQ0lRLkxMWS5JUV9CRVRBXzFZUl9SU1EuMi82LzIwMjQBAAAAG1sEAAIAAAASMC4wMTM2ODk0MTUxMTg1NDExACXwUBMiE94Im5z7FSIT3gghQ0lRLlZSUFguSVFfQkVUQV8xWVJfUlNRLjIvNy8yMDI0AQAAAJLSRyECAAAAEzAuMDA5Nzk5ODg0NjE3NjY2MjQAJfBQEyIT3gi9sPgVIhPeCCBDSVEuR1NLLklRX0JFVEFfMVlSX1JTUS4yLzgvMjAyNAEAAADyMwQAAgAAABMwLjAwMjA0MzkzMzQyNTAzOTI2ACXwUBMiE94IvbD4FSIT3ggiQ0lRLkFQTFQuSVFfQkVUQV8xWVJfUlNRLjIvMTUvMjAyNAEAAAB7jFQhAgAAABIwLjAxNDU5NDgzMDc4ODg1NzYAQ9UgEyIT3gjW1/MVIhPeCCJDSVEuU1BSWS5JUV9CRVRBXzFZUl9SU1Eu</t>
  </si>
  <si>
    <t>Mi8yMC8yMDI0AQAAAAem4SICAAAAEDAuMTM3MDgwNTY1NDA0NzQAQ9UgEyIT3gg77fIVIhPeCCJDSVEuU0lMTy5JUV9CRVRBXzFZUl9SU1EuMi8yOC8yMDI0AQAAABovtAcCAAAAETAuMTM3NTA4ODgyOTAzNjc0AEPVIBMiE94IAtnuFSIT3ggiQ0lRLklNTk4uSVFfQkVUQV8xWVJfUlNRLjIvMjkvMjAyNAEAAAAu+QMAAgAAABIwLjAyNTA1NjA0OTQ4MjIzMjkA+7gVEyIT3gjl0u0VIhPeCCJDSVEuQUxMSy5JUV9CRVRBXzFZUl9SU1EuMS8xNi8yMDI0AQAAADn+bQ0DAAAAAAB1G4gTIhPeCDKQBBYiE94IIkNJUS5HSUxELklRX0JFVEFfMVlSX1JTUS4xLzIyLzIwMjQBAAAASnEAAAIAAAARMC4xNDk0ODg5NTE0OTk4MjQAdRuIEyIT3giLuf8VIhPeCCFDSVEuUkdOWC5JUV9CRVRBXzFZUl9SU1EuMi83LzIwMjQBAAAAVG/JBwIAAAARMC4yMzk0ODY4NjE5NTg0MjMAJfBQEyIT3gi9sPgVIhPeCCJDSVEuQVRSQS5JUV9CRVRBXzFZUl9SU1EuMi8xNC8yMDI0AQAAANIuyw4CAAAAEjAuMDMzNjY1MDM3NTQxMzM0MQCQrSATIhPeCNbX8xUiE94IIkNJUS5HTURBLklRX0JFVEFfMVlSX1JTUS4yLzIyLzIwMjQBAAAAQH0IAAMAAAAAAEPVIBMiE94I19vxFSIT3ggiQ0lRLk5VVkwuSVFfQkVUQV8xWVJfUlNRLjIvMTIvMjAyNAEAAACFbN4pAgAAABEwLjEyMjU2MDEyMDAzMTY1MwAl8FATIhPeCF1H9hUiE94IIkNJ</t>
  </si>
  <si>
    <t>US5CRFJYLklRX0JFVEFfMVlSX1JTUS4yLzIzLzIwMjQBAAAAzn+WEAIAAAAUMy4wODQ3NTc4NzA1NjY3NUUtMTEAQ9UgEyIT3giTjfEVIhPeCCJDSVEuQ0xEWC5JUV9CRVRBXzFZUl9SU1EuMi8yNC8yMDI0AQAAAFXMkgACAAAAETAuMTM1Njg5NjIzMjYzMDc1AEPVIBMiE94IewvxFSIT3gggQ0lRLkpOSi5JUV9CRVRBXzFZUl9SU1EuMy8xLzIwMjQBAAAAnSECAAIAAAARMC4xMjI0OTgyMjM1OTk2MzMA+7gVEyIT3giImuwVIhPeCCBDSVEuTlZTLklRX0JFVEFfMVlSX1JTUS4zLzQvMjAyNAEAAACptegPAgAAABMwLjAwMTgwNjM0NzcyOTAyNTkyAPu4FRMiE94IRyXsFSIT3gghQ0lRLk5SWFAuSVFfQkVUQV8xWVJfUlNRLjMvNC8yMDI0AQAAABV6CRMCAAAAETAuMDMyMTY4OTM4MjczNjYyAPu4FRMiE94IX4TrFSIT3gghQ0lRLkFQR0UuSVFfQkVUQV8xWVJfUlNRLjMvNS8yMDI0AQAAAJX7RmwCAAAAETAuMTcxMzE0ODY2MDc3OTY0APu4FRMiE94IUA/rFSIT3ggjQ0lRLkNTTExZLklRX0JFVEFfMVlSX1JTUS4yLzEyLzIwMjQBAAAAX3MNAAMAAAAAACXwUBMiE94IvbD4FSIT3ggiQ0lRLkFVUEguSVFfQkVUQV8xWVJfUlNRLjIvMTUvMjAyNAEAAADtdw0AAgAAABEwLjIyNDA4NDU3OTcxMzE2NwBD1SATIhPeCNbX8xUiE94IIkNJUS5JT1ZBLklRX0JFVEFfMVlSX1JTUS4yLzE2LzIwMjQBAAAABNVoAgIA</t>
  </si>
  <si>
    <t>AAARMC4xOTA1MTI1NzcxNjM0OTEAQ9UgEyIT3gjW1/MVIhPeCCFDSVEuTEVYWC5JUV9CRVRBXzFZUl9SU1EuMy8xLzIwMjQBAAAAK3uPAQIAAAATMC4wMDg4Njk3OTM2MDYxMDIwMgD7uBUTIhPeCN/o7BUiE94IIENJUS5STkEuSVFfQkVUQV8xWVJfUlNRLjMvNC8yMDI0AQAAAB7LUg8CAAAAEjAuMDk3MTE2MDUzNTI0ODk3MwD7uBUTIhPeCFNz7BUiE94IIENJUS5OVlMuSVFfQkVUQV8xWVJfUlNRLjMvNS8yMDI0AQAAAKm16A8CAAAAEzAuMDAxODA2MzQ3NzI5MDI1OTIA+7gVEyIT3giP+ecVIhPeCCFDSVEuSU1STi5JUV9CRVRBXzFZUl9SU1EuMy83LzIwMjQBAAAA80x1AAMAAAAAAPu4FRMiE94Ir5HlFSIT3gghQ0lRLk1OS0QuSVFfQkVUQV8xWVJfUlNRLjMvOC8yMDI0AQAAAGaljQACAAAAEjAuMDIxNTE5NzU0ODg2MDIyNwAIueMSIhPeCK+R5RUiE94IIkNJUS5QUlRDLklRX0JFVEFfMVlSX1JTUS4zLzEzLzIwMjQBAAAAFgCNAAIAAAASMC4wODk4NTcxMTI3NTU0MTM0AAi54xIiE94IyijjFSIT3gghQ0lRLkJNWS5JUV9CRVRBXzFZUl9SU1EuMy8xNS8yMDI0AQAAAMZkAAACAAAAEjAuMDU5NjE0NzY4MzQ2MzE0MQAIueMSIhPeCODA3hUiE94IIkNJUS5PS1lPLklRX0JFVEFfMVlSX1JTUS4zLzIyLzIwMjQBAAAAS8+2AgIAAAASMC4wMjQyOTkxMDM0MjQzMTYzAJFIthIiE94IuvLcFSIT3ggiQ0lR</t>
  </si>
  <si>
    <t>LkJZU0kuSVFfQkVUQV8xWVJfUlNRLjMvMjUvMjAyNAEAAABHz2wYAgAAABQwLjAwMDMzOTc0NzMyMTc1NzU3MgCRSLYSIhPeCNaz2RUiE94IIkNJUS5QUkFYLklRX0JFVEFfMVlSX1JTUS4zLzI2LzIwMjQBAAAALHRkGAIAAAATMC4wMDc0NTAzOTYwMDgxMjA5NwCRSLYSIhPeCNaz2RUiE94IIUNJUS5LUkJQLklRX0JFVEFfMVlSX1JTUS40LzIvMjAyNAEAAABAuX8nAwAAAAAApZmsEiIT3ghocdIVIhPeCCFDSVEuTUdOWC5JUV9CRVRBXzFZUl9SU1EuNC8zLzIwMjQBAAAATysJAAIAAAASMC4wNDg5MTM3ODg0NzQxNDc5AKWZrBIiE94IaHHSFSIT3gghQ0lRLkVMVFguSVFfQkVUQV8xWVJfUlNRLjQvOC8yMDI0AQAAAECqzwwCAAAAEjAuMDEzOTQ1NDUxODMwMTUwNwDFOWwSIhPeCHgDzRUiE94IIENJUS5PQ1MuSVFfQkVUQV8xWVJfUlNRLjQvOC8yMDI0AQAAADf0HSMCAAAAEzAuMDA5NTA4MTcwNjk2MTAyNDIAxTlsEiIT3gh9bssVIhPeCCFDSVEuTENUWC5JUV9CRVRBXzFZUl9SU1EuMi8zLzIwMjQBAAAAFmQAAAIAAAASMC4wMjMzODQ2MzU2MjM1NTg2ACXwUBMiE94I/NT8FSIT3ggiQ0lRLlJDS1QuSVFfQkVUQV8xWVJfUlNRLjIvMTMvMjAyNAEAAABAVoEZAgAAABEwLjExMTI1NTQyNDY0NjY3NwAl8FATIhPeCF1H9hUiE94IIkNJUS5HTFNJLklRX0JFVEFfMVlSX1JTUS4yLzE0LzIwMjQBAAAARlDw</t>
  </si>
  <si>
    <t>JgIAAAARMC4xMjQyNzAxOTI3MjI1NDQAkK0gEyIT3gjW1/MVIhPeCCFDSVEuT05DWS5JUV9CRVRBXzFZUl9SU1EuMy81LzIwMjQBAAAAV3UUAAIAAAASMC4wMjc5NTk5MzA3NDgxNDQ4APu4FRMiE94Ij/nnFSIT3gghQ0lRLktVUkEuSVFfQkVUQV8xWVJfUlNRLjMvNi8yMDI0AQAAALjL2hACAAAAEjAuMDcwMjE2MTQ2NjQ1MDE5NAD7uBUTIhPeCI/55xUiE94IIENJUS5CTVkuSVFfQkVUQV8xWVJfUlNRLjMvNy8yMDI0AQAAAMZkAAACAAAAEDAuMTIxODMzNDE0MjcxODcA+7gVEyIT3givkeUVIhPeCCFDSVEuUEZFLklRX0JFVEFfMVlSX1JTUS4zLzEyLzIwMjQBAAAA3nkCAAIAAAASMC4wNDUxNTQyODc2Mzg1MTE2AAi54xIiE94IyijjFSIT3gghQ0lRLkFaTi5JUV9CRVRBXzFZUl9SU1EuMy8xOC8yMDI0AQAAAIYjBQACAAAAETAuMjI5OTgwNzEzMzA2ODY3AAi54xIiE94I4MDeFSIT3ggiQ0lRLkFFT04uSVFfQkVUQV8xWVJfUlNRLjMvMTkvMjAyNAEAAAAG/8UOAgAAABIwLjAyMjI0MzE1MTM0OTk2MTMAkUi2EiIT3ggbK94VIhPeCCJDSVEuUEhJTy5JUV9CRVRBXzFZUl9SU1EuMy8yMS8yMDI0AQAAADkGZwgCAAAAEzAuMDA1NzIyMTE3NzUxMTM1NDMAkUi2EiIT3ggXaN0VIhPeCCJDSVEuVktUWC5JUV9CRVRBXzFZUl9SU1EuMy8yNi8yMDI0AQAAAPK8tQ4CAAAAEjAuMDgyOTQwNTcwNTU4NjQ5MwCR</t>
  </si>
  <si>
    <t>SLYSIhPeCNaz2RUiE94IIkNJUS5SQVJFLklRX0JFVEFfMVlSX1JTUS4zLzI3LzIwMjQBAAAA8XoABwIAAAARMC4xMjE2NTc4NTQ2NTY3MDkAkUi2EiIT3ggxTNcVIhPeCCJDSVEuTFBDTi5JUV9CRVRBXzFZUl9SU1EuMy8yOC8yMDI0AQAAABr0egACAAAAEjAuMDc4NzQzNjEzNDY2NjM4OAClmawSIhPeCDFM1xUiE94IIkNJUS5DQURMLklRX0JFVEFfMVlSX1JTUS4zLzI4LzIwMjQBAAAAq1o6AgIAAAASMC4wMDI1NTgxOTUwMjg1ODA2AKWZrBIiE94IaePUFSIT3gghQ0lRLk5WQ1IuSVFfQkVUQV8xWVJfUlNRLjQvMS8yMDI0AQAAAOh8HwQCAAAAEjAuMDQzMjYwMTM1OTg1MjcxNwClmawSIhPeCGnj1BUiE94IIUNJUS5JUk9OLklRX0JFVEFfMVlSX1JTUS40LzEvMjAyNAEAAABO3zkmAgAAABIwLjAzNTg1MDc1NzA5NjMzMjUApZmsEiIT3ghp49QVIhPeCCFDSVEuR05QWC5JUV9CRVRBXzFZUl9SU1EuNC8yLzIwMjQBAAAAqrxxDQIAAAARMC4xNjk5NDE1MDM1NzU1OTgApZmsEiIT3ghocdIVIhPeCCFDSVEuQURDVC5JUV9CRVRBXzFZUl9SU1EuNC80LzIwMjQBAAAAmqPpCgIAAAARMC4wMzQzOTM4NTU2ODYyMDMApZmsEiIT3gh+B9AVIhPeCCFDSVEuQ1lUSy5JUV9CRVRBXzFZUl9SU1EuNC81LzIwMjQBAAAAs2oAAAIAAAASMC4wMDQ1NDAxNDIxMzc3NDQ5AKWZrBIiE94IfgfQFSIT3gghQ0lRLkJNRUEu</t>
  </si>
  <si>
    <t>SVFfQkVUQV8xWVJfUlNRLjEvOC8yMDI0AQAAAMeYcSkCAAAAEjAuMDI2NTY3NDE4MzczOTEwMQCj75QTIhPeCCL4BhYiE94IIUNJUS5JS1QuSVFfQkVUQV8xWVJfUlNRLjEvMjkvMjAyNAEAAAD8IMoGAgAAABIwLjA0OTA5NDg4NDc5OTMzOTcAdRuIEyIT3ghjqP4VIhPeCCFDSVEuQ05UQS5JUV9CRVRBXzFZUl9SU1EuMi85LzIwMjQBAAAATef9KQIAAAARMC4xNjUwMzY0OTgxMDQ4NTkAJfBQEyIT3gi9sPgVIhPeCCJDSVEuQkdORS5JUV9CRVRBXzFZUl9SU1EuMi8yNi8yMDI0AQAAAODk3QYDAAAAAABD1SATIhPeCCVv8BUiE94IIkNJUS5KQU5YLklRX0JFVEFfMVlSX1JTUS4yLzI2LzIwMjQBAAAAjatZKAIAAAAQMC4xNzIwNDgwOTE5MTcwOQBD1SATIhPeCMMg8BUiE94IIUNJUS5DQVNJLklRX0JFVEFfMVlSX1JTUS4zLzUvMjAyNAEAAAAlagUAAgAAABQwLjAwMDk2Nzc1MDMyOTU3NDYyNwD7uBUTIhPeCEfB6hUiE94IIENJUS5NUksuSVFfQkVUQV8xWVJfUlNRLjMvNi8yMDI0AQAAAPZmBAACAAAAFDAuMDAwNjAwNjQ3MDI4NDEyNzIyAPu4FRMiE94Ij/nnFSIT3gghQ0lRLk1CSU8uSVFfQkVUQV8xWVJfUlNRLjMvNy8yMDI0AQAAADDZdxMCAAAAETAuMTEwMDg4NzA4OTQzMjY5APu4FRMiE94Ir5HlFSIT3ggiQ0lRLk1MVFguSVFfQkVUQV8xWVJfUlNRLjMvMTAvMjAyNAEAAAA09okqAgAAABIwLjAz</t>
  </si>
  <si>
    <t>MTExNTM1MDY5NzM1NzcACLnjEiIT3givkeUVIhPeCCJDSVEuWE9NQS5JUV9CRVRBXzFZUl9SU1EuMy8xMy8yMDI0AQAAAKGPAAACAAAAFDAuMDAwNTQ2NzEzOTMzMDIzMDI2AAi54xIiE94IBMHgFSIT3ggiQ0lRLklPTlMuSVFfQkVUQV8xWVJfUlNRLjMvMTMvMjAyNAEAAABcdgAAAgAAABEwLjE2MjYzNTc2NTQzNjgzMQAIueMSIhPeCATB4BUiE94IIkNJUS5FWVBULklRX0JFVEFfMVlSX1JTUS4xLzEwLzIwMjQBAAAAr2BEAAIAAAASMC4wNjAzMDI3MjYwNDU1OTk0AKPvlBMiE94IMpAEFiIT3ggiQ0lRLlJFR04uSVFfQkVUQV8xWVJfUlNRLjEvMTcvMjAyNAEAAACzgwAAAgAAABEwLjE0NzM2MTcxMDkzMjUxNwB1G4gTIhPeCDKQBBYiE94II0NJUS5JUFNFWS5JUV9CRVRBXzFZUl9SU1EuMi8xMy8yMDI0AQAAAEYQAgADAAAAAACQrSATIhPeCF1H9hUiE94IIUNJUS5TTlkuSVFfQkVUQV8xWVJfUlNRLjIvMjAvMjAyNAEAAAAafAoAAwAAAAAAQ9UgEyIT3ghDO/MVIhPeCCBDSVEuU0xTLklRX0JFVEFfMVlSX1JTUS4zLzEvMjAyNAEAAAAqV6EPAgAAABEwLjEyOTEwMTQwMjAxMTQyNwD7uBUTIhPeCNbB7BUiE94IIENJUS5PUEsuSVFfQkVUQV8xWVJfUlNRLjMvNS8yMDI0AQAAAI+5/QECAAAAEjAuMDc1NjY3Njg5Mjc2MzIzMgD7uBUTIhPeCI/55xUiE94IIUNJUS5DT1lBLklRX0JFVEFfMVlSX1JTUS4z</t>
  </si>
  <si>
    <t>LzYvMjAyNAEAAACryrwpAgAAABMwLjAwMjM2MjYyNjAyMzIwMjU0APu4FRMiE94Ij/nnFSIT3gggQ0lRLk5WTy5JUV9CRVRBXzFZUl9SU1EuMy84LzIwMjQBAAAAfO8EAAMAAAAAAAi54xIiE94Ir5HlFSIT3ggiQ0lRLkFNR04uSVFfQkVUQV8xWVJfUlNRLjMvMTEvMjAyNAEAAADwYAAAAgAAABIwLjAxNzM1NTUzMDY5OTE2MzEACLnjEiIT3givkeUVIhPeCCJDSVEuTEdORC5JUV9CRVRBXzFZUl9SU1EuMy8xMS8yMDI0AQAAAGR4AAACAAAAETAuMzg3NzY3MjkzMjE5MDAyAAi54xIiE94IyijjFSIT3ggrQ0lRLlNMTi5JUV9TSE9SVF9JTlRFUkVTVF9QRVJDRU5ULjMvMTMvMjAyNAEAAADwywIAAgAAABIwLjA5OTMzOTIzMjI4NTI1MjYACLnjEiIT3gjKKOMVIhPeCCJDSVEuU0dNTy5JUV9WQUxVRV9UUkFERUQuMy8xMy8yMDI0AQAAAAJMBgACAAAACDIuMjUwNTA2AAi54xIiE94IBMHgFSIT3ggsQ0lRLk5WQ1QuSVFfU0hPUlRfSU5URVJFU1RfUEVSQ0VOVC4zLzE0LzIwMjQBAAAAookZZAIAAAAQNC4wNzI0MzA0NTQ1OTg0NgAIueMSIhPeCATB4BUiE94IIkNJUS5NREdMLklRX1ZBTFVFX1RSQURFRC4zLzE0LzIwMjQBAAAATJujCAIAAAAKNDIyLjEzMzYwMwAIueMSIhPeCATB4BUiE94ILENJUS5XSFdLLklRX1NIT1JUX0lOVEVSRVNUX1BFUkNFTlQuMy8xOC8yMDI0AQAAAF+3pBkCAAAAEDMuODY2MzA3</t>
  </si>
  <si>
    <t>MjE3MDMyNjgACLnjEiIT3gjgwN4VIhPeCCJDSVEuQUxHUy5JUV9WQUxVRV9UUkFERUQuMy8xOC8yMDI0AQAAADOeqCICAAAACDAuMjMzMjQzAAi54xIiE94I4MDeFSIT3ggsQ0lRLkFMSU0uSVFfU0hPUlRfSU5URVJFU1RfUEVSQ0VOVC4zLzE5LzIwMjQBAAAAO+WdAAMAAAAAAJFIthIiE94I4MDeFSIT3gghQ0lRLk1SSy5JUV9WQUxVRV9UUkFERUQuMy8xOS8yMDI0AQAAAPZmBAACAAAACzE0MjkuMzUxODkzAJFIthIiE94IVFLeFSIT3ggsQ0lRLkFMUE4uSVFfU0hPUlRfSU5URVJFU1RfUEVSQ0VOVC4zLzIxLzIwMjQBAAAA2ZBmAAMAAAAAAJFIthIiE94IthndFSIT3ggsQ0lRLkFUWFMuSVFfU0hPUlRfSU5URVJFU1RfUEVSQ0VOVC4zLzI1LzIwMjQBAAAACCECBgIAAAAQMy4wOTA1MDg5MjQ0NDc3NgCRSLYSIhPeCNaz2RUiE94IIkNJUS5NQlJYLklRX1ZBTFVFX1RSQURFRC4zLzI1LzIwMjQBAAAAhmwUEwIAAAAINC44MDc1MzUAkUi2EiIT3gjWs9kVIhPeCCxDSVEuUFJBWC5JUV9TSE9SVF9JTlRFUkVTVF9QRVJDRU5ULjMvMjYvMjAyNAEAAAAsdGQYAgAAABAzLjA5MjEzMDI5NTA5OTQ5AJFIthIiE94I1rPZFSIT3ggiQ0lRLlRFQ1guSVFfVkFMVUVfVFJBREVELjMvMjYvMjAyNAEAAACtuGcqAwAAAAAAkUi2EiIT3gjWs9kVIhPeCCxDSVEuQVRBSS5JUV9TSE9SVF9JTlRFUkVTVF9QRVJDRU5ULjMv</t>
  </si>
  <si>
    <t>MjcvMjAyNAEAAADtN1cqAgAAABAzLjEzNTU3NjgxNzQ1MzM4AJFIthIiE94IMUzXFSIT3ggsQ0lRLkxQQ04uSVFfU0hPUlRfSU5URVJFU1RfUEVSQ0VOVC4zLzI4LzIwMjQBAAAAGvR6AAIAAAAQMi4zMjU0MTI5NjQ2NzM0NAClmawSIhPeCDFM1xUiE94IHkNJUS5YQkkuSVFfTEFTVFNBTEVQUklDRS40NTMwOAEAAADKQJgBAgAAAAU4OC4zNACGBJYTIhPeCCL4BhYiE94IIkNJUS5BUlRMLklRX1ZBTFVFX1RSQURFRC4xLzIzLzIwMjQBAAAAz79WEAIAAAAIMC4wMTE5NzMAdRuIEyIT3giLuf8VIhPeCCxDSVEuQU5WUy5JUV9TSE9SVF9JTlRFUkVTVF9QRVJDRU5ULjEvMjQvMjAyNAEAAAAv0R0lAgAAABA5LjU1MTM4MzAxMjMyMDk1AHUbiBMiE94Ii7n/FSIT3ggiQ0lRLklUUk0uSVFfVkFMVUVfVFJBREVELjEvMzAvMjAyNAEAAACQsvkSAgAAAAkzOC43NjQ5MTQAJfBQEyIT3gjc5P0VIhPeCB5DSVEuWEJJLklRX0xBU1RTQUxFUFJJQ0UuNDUzMzABAAAAykCYAQIAAAAFODkuMjIAkj1REyIT3gjlYf0VIhPeCCFDSVEuTFFEQS5JUV9WQUxVRV9UUkFERUQuMi8yLzIwMjQBAAAAi1BbAQIAAAAINy44NDIxOTIAVhdREyIT3gjv+/wVIhPeCCtDSVEuRVlQVC5JUV9TSE9SVF9JTlRFUkVTVF9QRVJDRU5ULjIvNS8yMDI0AQAAAK9gRAACAAAAEDExLjA1Njg0NjExNzkyNTcAVhdREyIT3gjPhvwVIhPeCCFDSVEu</t>
  </si>
  <si>
    <t>VEhBUi5JUV9WQUxVRV9UUkFERUQuMi81LzIwMjQBAAAAz5aRHwIAAAAIMC4yMjAwMzcAVhdREyIT3giqOPwVIhPeCCpDSVEuR1NLLklRX1NIT1JUX0lOVEVSRVNUX1BFUkNFTlQuMi82LzIwMjQBAAAA8jMEAAMAAAAAAFYXURMiE94IhcP7FSIT3ggqQ0lRLkhDTS5JUV9TSE9SVF9JTlRFUkVTVF9QRVJDRU5ULjIvNy8yMDI0AQAAALuvlgEDAAAAAACSPVETIhPeCL2w+BUiE94IIUNJUS5BVEhBLklRX1ZBTFVFX1RSQURFRC4yLzgvMjAyNAEAAAAcEdsPAgAAAAgwLjU1MjgxNgCSPVETIhPeCL2w+BUiE94IK0NJUS5UQUsuSVFfU0hPUlRfSU5URVJFU1RfUEVSQ0VOVC4yLzEyLzIwMjQBAAAALFgNAAMAAAAAAO1jURMiE94IXUf2FSIT3ggiQ0lRLkNSREwuSVFfVkFMVUVfVFJBREVELjIvMTUvMjAyNAEAAABdc3whAgAAAAgwLjAwMjA5NgCV/CATIhPeCNbX8xUiE94IIkNJUS5JTVJYLklRX1ZBTFVFX1RSQURFRC4yLzIwLzIwMjQBAAAA1Q5hEgIAAAAIMC41OTYyNzkAyCUhEyIT3gjLYvMVIhPeCCJDSVEuRU5MVi5JUV9WQUxVRV9UUkFERUQuMi8yMS8yMDI0AQAAADvoAQUCAAAACDAuMTY4Mjg3ALZKIRMiE94IWJ/yFSIT3ggiQ0lRLktSWVMuSVFfVkFMVUVfVFJBREVELjIvMjYvMjAyNAEAAAAoJ9UfAgAAAAkzNTEuMjQ1MTEAiHUhEyIT3ggOvfAVIhPeCCtDSVEuT05DLklRX1NIT1JUX0lOVEVSRVNUX1BF</t>
  </si>
  <si>
    <t>UkNFTlQuMi8yNi8yMDI0AQAAAODk3QYCAAAAEDEuOTg2MDEyNTM3NjM0NjEAiHUhEyIT3gglb/AVIhPeCCxDSVEuSkFOWC5JUV9TSE9SVF9JTlRFUkVTVF9QRVJDRU5ULjIvMjYvMjAyNAEAAACNq1koAgAAABA1LjMwMTAxNzAxOTQ3Mzc0AIh1IRMiE94IwyDwFSIT3gghQ0lRLklNTVAuSVFfVkFMVUVfVFJBREVELjEvNC8yMDI0AQAAABVCZgACAAAACDAuMzg5ODA1AEVBlRMiE94IhtoLFiIT3ggrQ0lRLlZJTkMuSVFfU0hPUlRfSU5URVJFU1RfUEVSQ0VOVC4xLzgvMjAyNAEAAADkNSMpAgAAABEwLjU3NjI4OTg2MzMxNTA4NgBSaJUTIhPeCOhxCRYiE94ILENJUS5BQ1JTLklRX1NIT1JUX0lOVEVSRVNUX1BFUkNFTlQuMS8xMC8yMDI0AQAAAMtS7QwCAAAAEDguMTY4NDEwMzQ2ODM0ODQAo9mVEyIT3ggi+AYWIhPeCCJDSVEuTVRWQS5JUV9WQUxVRV9UUkFERUQuMS8xOC8yMDI0AQAAAHOvmCUCAAAACDAuMzA0MjM4AHUbiBMiE94IrycCFiIT3ggeQ0lRLlhCSS5JUV9MQVNUU0FMRVBSSUNFLjQ1MzEwAQAAAMpAmAECAAAABTg3LjA1AKPZlRMiE94IMpAEFiIT3ggeQ0lRLlhCSS5JUV9MQVNUU0FMRVBSSUNFLjQ1MzE0AQAAAMpAmAECAAAABTg5LjIzAIYElhMiE94IMpAEFiIT3ggrQ0lRLkROTEkuSVFfU0hPUlRfSU5URVJFU1RfUEVSQ0VOVC4yLzcvMjAyNAEAAAAOOfURAgAAAA83LjE1MTgyODA5Mzc5</t>
  </si>
  <si>
    <t>MjcAkj1REyIT3gi9sPgVIhPeCCxDSVEuQU5JWC5JUV9TSE9SVF9JTlRFUkVTVF9QRVJDRU5ULjIvMTIvMjAyNAEAAAB6BgQAAgAAABAyLjE0ODkzMTk3NDg0MjI2AO1jURMiE94IXUf2FSIT3ggiQ0lRLkJNUk4uSVFfVkFMVUVfVFJBREVELjIvMTIvMjAyNAEAAAAFZAAAAgAAAAoxMTIuODM5NTM3AO1jURMiE94IXUf2FSIT3ggrQ0lRLkFaTi5JUV9TSE9SVF9JTlRFUkVTVF9QRVJDRU5ULjIvMTQvMjAyNAEAAACGIwUAAwAAAAAAlfwgEyIT3gjW1/MVIhPeCCJDSVEuVlRZWC5JUV9WQUxVRV9UUkFERUQuMi8yMi8yMDI0AQAAAAQUFigCAAAACTgxLjc1NDk2MwCIdSETIhPeCNfb8RUiE94IIkNJUS5URVZBLklRX1ZBTFVFX1RSQURFRC4yLzIzLzIwMjQBAAAAT7MEAAIAAAAKMTYxLjkxMjM0NwCIdSETIhPeCEIy8RUiE94IIkNJUS5LQUxWLklRX1ZBTFVFX1RSQURFRC4yLzI1LzIwMjQBAAAAEI4lCAMAAAAAAIh1IRMiE94IJuTwFSIT3ggiQ0lRLkpBTlguSVFfVkFMVUVfVFJBREVELjIvMjYvMjAyNAEAAACNq1koAgAAAAkxMS41MDE3NDYAiHUhEyIT3gjDIPAVIhPeCCxDSVEuTkVSVi5JUV9TSE9SVF9JTlRFUkVTVF9QRVJDRU5ULjIvMjcvMjAyNAEAAAAJk5APAgAAABEwLjMzODYxODk3OTA3ODI5MgCIdSETIhPeCK/S7xUiE94IIUNJUS5XSFdLLklRX1ZBTFVFX1RSQURFRC4zLzEvMjAyNAEAAABft6QZ</t>
  </si>
  <si>
    <t>AgAAAAg1LjI2MTQzNAD7uBUTIhPeCIia7BUiE94IIUNJUS5MTlRILklRX1ZBTFVFX1RSQURFRC4zLzQvMjAyNAEAAAB4a34AAgAAAAk1OS4xMTE5NzYA+7gVEyIT3gjUq+sVIhPeCCtDSVEuUENWWC5JUV9TSE9SVF9JTlRFUkVTVF9QRVJDRU5ULjMvNC8yMDI0AQAAAPoTVBICAAAAEDkuODI2NzM4MzcwMDQwNTkA+7gVEyIT3ghfhOsVIhPeCCBDSVEuR1NLLklRX1ZBTFVFX1RSQURFRC4zLzUvMjAyNAEAAADyMwQAAgAAAAk4NS41NDM4NTYA+7gVEyIT3ghQD+sVIhPeCCtDSVEuTU5QUi5JUV9TSE9SVF9JTlRFUkVTVF9QRVJDRU5ULjMvNS8yMDI0AQAAAEumJBICAAAAETAuNDIyNjg0NzExODMzMzk2APu4FRMiE94IR8HqFSIT3gghQ0lRLlhPTUEuSVFfVkFMVUVfVFJBREVELjMvNi8yMDI0AQAAAKGPAAACAAAACDAuNDA2NTI1APu4FRMiE94Ij/nnFSIT3ggqQ0lRLkRZTi5JUV9TSE9SVF9JTlRFUkVTVF9QRVJDRU5ULjMvNi8yMDI0AQAAAAIGSCQCAAAAEDguODQzNjU1MjcwMTU1OTUA+ikYEyIT3givkeUVIhPeCCFDSVEuTU5NRC5JUV9WQUxVRV9UUkFERUQuMy83LzIwMjQBAAAAovycJQIAAAAKMzQyLjk0OTY4OQD6KRgTIhPeCK+R5RUiE94IK0NJUS5BUlFULklRX1NIT1JUX0lOVEVSRVNUX1BFUkNFTlQuMy85LzIwMjQBAAAAKGG5IAIAAAAQMTQuNzM2MDk0MzAyODAzOQAIueMSIhPeCK+R5RUiE94I</t>
  </si>
  <si>
    <t>IkNJUS5BUlFULklRX1ZBTFVFX1RSQURFRC4zLzEwLzIwMjQBAAAAKGG5IAMAAAAAAAi54xIiE94Ir5HlFSIT3ggsQ0lRLlRWVFguSVFfU0hPUlRfSU5URVJFU1RfUEVSQ0VOVC4zLzExLzIwMjQBAAAAQdT1BwIAAAAQMTMuNDgzNzAwNzU5NjE0MwAIueMSIhPeCMoo4xUiE94IIUNJUS5KTkouSVFfVkFMVUVfVFJBREVELjMvMTEvMjAyNAEAAACdIQIAAgAAAAo3NDUuMDE1Nzc2AAi54xIiE94IyijjFSIT3ggsQ0lRLkNSTlguSVFfU0hPUlRfSU5URVJFU1RfUEVSQ0VOVC4zLzEyLzIwMjQBAAAA/1+5EAIAAAAQNi4wODU1MzA5MDgzMzIzNwAIueMSIhPeCMoo4xUiE94IIUNJUS5TTE4uSVFfVkFMVUVfVFJBREVELjMvMTMvMjAyNAEAAADwywIAAgAAAAkxNC4wODIyMjIACLnjEiIT3gjKKOMVIhPeCCxDSVEuT0NHTi5JUV9TSE9SVF9JTlRFUkVTVF9QRVJDRU5ULjMvMTMvMjAyNAEAAAC3wBwSAgAAABAxNC4yODgwMzc1MTYyNDQ0AAi54xIiE94IBMHgFSIT3ggiQ0lRLk5WQ1QuSVFfVkFMVUVfVFJBREVELjMvMTQvMjAyNAEAAACiiRlkAgAAAAgzLjk5MDU0NAAIueMSIhPeCATB4BUiE94IK0NJUS5CTVkuSVFfU0hPUlRfSU5URVJFU1RfUEVSQ0VOVC4zLzE1LzIwMjQBAAAAxmQAAAIAAAAQMS42MTQ0NjM0NzQyODUzNQAIueMSIhPeCODA3hUiE94IIkNJUS5XSFdLLklRX1ZBTFVFX1RSQURFRC4zLzE4LzIw</t>
  </si>
  <si>
    <t>MjQBAAAAX7ekGQIAAAAIMC4zODkzOTUACLnjEiIT3gjgwN4VIhPeCCxDSVEuSE9USC5JUV9TSE9SVF9JTlRFUkVTVF9QRVJDRU5ULjMvMTkvMjAyNAEAAABQYusZAgAAABAxLjc1Njc0ODg1OTY0MDkzAJFIthIiE94I4MDeFSIT3ggiQ0lRLkFMSU0uSVFfVkFMVUVfVFJBREVELjMvMTkvMjAyNAEAAAA75Z0AAwAAAAAAkUi2EiIT3gjgwN4VIhPeCCxDSVEuUEhJTy5JUV9TSE9SVF9JTlRFUkVTVF9QRVJDRU5ULjMvMjEvMjAyNAEAAAA5BmcIAgAAABAxLjg4MDk5MDgzODQ3MTU3AJFIthIiE94IF2jdFSIT3ggiQ0lRLkFMUE4uSVFfVkFMVUVfVFJBREVELjMvMjEvMjAyNAEAAADZkGYAAgAAAAgwLjAwNTA4MgCRSLYSIhPeCMNA3RUiE94IIkNJUS5BVFhTLklRX1ZBTFVFX1RSQURFRC4zLzI1LzIwMjQBAAAACCECBgIAAAAJNjYuNTAzNDI4AJFIthIiE94I1rPZFSIT3ggsQ0lRLlJFR04uSVFfU0hPUlRfSU5URVJFU1RfUEVSQ0VOVC4zLzI1LzIwMjQBAAAAs4MAAAIAAAAQMS4yNjI4MzgzMTgwNTgzNACRSLYSIhPeCNaz2RUiE94IIkNJUS5QUkFYLklRX1ZBTFVFX1RSQURFRC4zLzI2LzIwMjQBAAAALHRkGAIAAAAJNTEuMzU2MjAzAJFIthIiE94I1rPZFSIT3ggsQ0lRLk5WQ1IuSVFfU0hPUlRfSU5URVJFU1RfUEVSQ0VOVC4zLzI3LzIwMjQBAAAA6HwfBAIAAAAQNS4xNzQyOTAyNDAzMjAyNQCRSLYSIhPe</t>
  </si>
  <si>
    <t>CDFM1xUiE94IIkNJUS5BVEFJLklRX1ZBTFVFX1RSQURFRC4zLzI3LzIwMjQBAAAA7TdXKgIAAAAIMi40MDI1MDIAkUi2EiIT3ggxTNcVIhPeCCxDSVEuTUlTVC5JUV9TSE9SVF9JTlRFUkVTVF9QRVJDRU5ULjMvMjgvMjAyNAEAAAAz7ScCAgAAABEwLjgwMzg3MjE0OTM1NDE0MQCRSLYSIhPeCDFM1xUiE94IIkNJUS5MUENOLklRX1ZBTFVFX1RSQURFRC4zLzI4LzIwMjQBAAAAGvR6AAIAAAAIMC4yNTQ5ODIApZmsEiIT3ggxTNcVIhPeCCtDSVEuR1JUUy5JUV9TSE9SVF9JTlRFUkVTVF9QRVJDRU5ULjQvMS8yMDI0BQAAAAAAAAAIAAAAFChJbnZhbGlkIElkZW50aWZpZXIppZmsEiIT3ghp49QVIhPeCCFDSVEuTFFEQS5JUV9WQUxVRV9UUkFERUQuNC8xLzIwMjQBAAAAi1BbAQIAAAAJMTkuMTYyNjk2AKWZrBIiE94IaePUFSIT3ggeQ0lRLlhCSS5JUV9MQVNUU0FMRVBSSUNFLjQ1MjkzAQAAAMpAmAECAAAABTkwLjIzAO8PxxMiE94IyXoOFiIT3ggiQ0lRLkxQVFguSVFfVkFMVUVfVFJBREVELjEvMTYvMjAyNAEAAAAMNgkHAgAAAAgwLjk2NjA2NQB1G4gTIhPeCDKQBBYiE94IIkNJUS5BTlZTLklRX1ZBTFVFX1RSQURFRC4xLzI0LzIwMjQBAAAAL9EdJQIAAAAJMTEuMjU1MDM4AHUbiBMiE94Ii7n/FSIT3gggQ0lRLkhDTS5JUV9WQUxVRV9UUkFERUQuMi83LzIwMjQBAAAAu6+WAQIAAAAIMC4yMTY5MzgA</t>
  </si>
  <si>
    <t>kj1REyIT3gi9sPgVIhPeCCJDSVEuTENUWC5JUV9WQUxVRV9UUkFERUQuMi8xMy8yMDI0AQAAABZkAAACAAAACDAuOTY1MzU4AO1jURMiE94IXUf2FSIT3ggiQ0lRLlNJTE8uSVFfVkFMVUVfVFJBREVELjIvMTQvMjAyNAEAAAAaL7QHAgAAAAgwLjU0NTAyNwCV/CATIhPeCNbX8xUiE94ILENJUS5BUlZOLklRX1NIT1JUX0lOVEVSRVNUX1BFUkNFTlQuMi8yMC8yMDI0AQAAAICCfA4CAAAAEDkuNTUzMjU1NjgyMTAxMzYAtkohEyIT3gg2FPMVIhPeCCFDSVEuT05DLklRX1ZBTFVFX1RSQURFRC4yLzI2LzIwMjQBAAAA4OTdBgIAAAAJOTIuODA1OTI1AIh1IRMiE94IJW/wFSIT3ggsQ0lRLkNNUFguSVFfU0hPUlRfSU5URVJFU1RfUEVSQ0VOVC4yLzI4LzIwMjQBAAAA/GHdDwIAAAAQMS41NDc1NzU5NzE4MzUwMwCIdSETIhPeCBkA7xUiE94ILENJUS5BVklSLklRX1NIT1JUX0lOVEVSRVNUX1BFUkNFTlQuMi8yOC8yMDI0AQAAAFnKEQ8CAAAAEDEuOTI3MTQ4Nzc3NDMzNTQA+7gVEyIT3ggGZO4VIhPeCB5DSVEuWEJJLklRX0xBU1RTQUxFUFJJQ0UuNDUzMDcBAAAAykCYAQIAAAAFODkuMDYAhgSWEyIT3ggi+AYWIhPeCB5DSVEuWEJJLklRX0xBU1RTQUxFUFJJQ0UuNDUzMDkBAAAAykCYAQIAAAAFODcuMDYAdRuIEyIT3ggykAQWIhPeCCxDSVEuU1BSQi5JUV9TSE9SVF9JTlRFUkVTVF9QRVJDRU5ULjEvMjIv</t>
  </si>
  <si>
    <t>MjAyNAEAAADxEuYYAgAAABEwLjE4OTAyMzY1OTE1MDgyNQB1G4gTIhPeCIu5/xUiE94IHkNJUS5YQkkuSVFfTEFTVFNBTEVQUklDRS40NTMxMwEAAADKQJgBAgAAAAU4OS4wMQCGBJYTIhPeCDKQBBYiE94IIkNJUS5BQ1hQLklRX1ZBTFVFX1RSQURFRC4xLzI5LzIwMjQBAAAAzsxCIQIAAAAIMC45ODM0NDMASAyKEyIT3ghRHf8VIhPeCCFDSVEuRE5MSS5JUV9WQUxVRV9UUkFERUQuMi83LzIwMjQBAAAADjn1EQIAAAAJMTQuNjYxNTEzAJI9URMiE94IvbD4FSIT3ggsQ0lRLkJUQUkuSVFfU0hPUlRfSU5URVJFU1RfUEVSQ0VOVC4yLzEyLzIwMjQBAAAADS9mIAIAAAAQOC4wODI5NDk2NDAwMjI1NgCSPVETIhPeCF1H9hUiE94IIkNJUS5BTklYLklRX1ZBTFVFX1RSQURFRC4yLzEyLzIwMjQBAAAAegYEAAIAAAAIMC42MTIyOTEA7WNREyIT3ghdR/YVIhPeCCxDSVEuUFRJWC5JUV9TSE9SVF9JTlRFUkVTVF9QRVJDRU5ULjIvMTMvMjAyNAEAAABzr21wAwAAAAAA7WNREyIT3ghdR/YVIhPeCCxDSVEuUkFQVC5JUV9TSE9SVF9JTlRFUkVTVF9QRVJDRU5ULjIvMjAvMjAyNAEAAADQIFYQAgAAABAxMS40NzIyNDcxNzMyOTMxAMglIRMiE94Ij7DzFSIT3ggsQ0lRLklST04uSVFfU0hPUlRfSU5URVJFU1RfUEVSQ0VOVC4yLzIwLzIwMjQBAAAATt85JgIAAAAPNS40NjQ4NDkyNTYxOTM4AMglIRMiE94Iy2LzFSIT</t>
  </si>
  <si>
    <t>3ggiQ0lRLkFSVk4uSVFfVkFMVUVfVFJBREVELjIvMjAvMjAyNAEAAACAgnwOAgAAAAkzOS44OTA2MTEAtkohEyIT3gg2FPMVIhPeCCtDSVEuR1NLLklRX1NIT1JUX0lOVEVSRVNUX1BFUkNFTlQuMi8yMS8yMDI0AQAAAPIzBAADAAAAAAC2SiETIhPeCBTG8hUiE94IIENJUS5BTEMuSVFfVkFMVUVfVFJBREVELjEvOS8yMDI0AQAAANNs6goCAAAACDAuMTU3NzQ4AKPZlRMiE94IIvgGFiIT3ggrQ0lRLlBGRS5JUV9TSE9SVF9JTlRFUkVTVF9QRVJDRU5ULjEvMTcvMjAyNAEAAADeeQIAAgAAABAxLjAxMDAzOTc5MDc2MDY4AHUbiBMiE94IrycCFiIT3ggiQ0lRLlRWUkQuSVFfVkFMVUVfVFJBREVELjEvMjIvMjAyNAEAAAC46P0hAwAAAAAAdRuIEyIT3givJwIWIhPeCCFDSVEuU05ZLklRX1ZBTFVFX1RSQURFRC4xLzI1LzIwMjQBAAAAGnwKAAIAAAAKMTQzLjg2NzQ4NwBIDIoTIhPeCIu5/xUiE94ILUNJUS5JUFNFWS5JUV9TSE9SVF9JTlRFUkVTVF9QRVJDRU5ULjIvMTMvMjAyNAEAAABGEAIAAwAAAAAAQ9UgEyIT3ghdR/YVIhPeCCJDSVEuRFRJTC5JUV9WQUxVRV9UUkFERUQuMi8xNC8yMDI0AQAAAOjlcQICAAAACDEuNjQ2MDU5AEPVIBMiE94I1tfzFSIT3ggsQ0lRLkVOU0MuSVFfU0hPUlRfSU5URVJFU1RfUEVSQ0VOVC4yLzE1LzIwMjQBAAAAP0YWAwIAAAAQMTAuMDU0NTg1Njk4NjkzNADIJSETIhPe</t>
  </si>
  <si>
    <t>CNbX8xUiE94IIkNJUS5SQVBULklRX1ZBTFVFX1RSQURFRC4yLzIwLzIwMjQBAAAA0CBWEAIAAAAJOTYuMDE1MDY1AMglIRMiE94Ij7DzFSIT3ggsQ0lRLkFUTk0uSVFfU0hPUlRfSU5URVJFU1RfUEVSQ0VOVC4yLzIyLzIwMjQBAAAAm7d3AAIAAAAQNi42NjQ1MTY4OTg0MTM4NwCIdSETIhPeCLsC8hUiE94ILENJUS5DTU5ELklRX1NIT1JUX0lOVEVSRVNUX1BFUkNFTlQuMi8yMy8yMDI0AQAAAD/2jyACAAAADzQuNjE4MDA4MTIwOTc1NACIdSETIhPeCJ1Z8RUiE94IIkNJUS5DTVBYLklRX1ZBTFVFX1RSQURFRC4yLzI4LzIwMjQBAAAA/GHdDwIAAAAIMC4yODMzNjYAiHUhEyIT3ggZAO8VIhPeCCxDSVEuQVRSQS5JUV9TSE9SVF9JTlRFUkVTVF9QRVJDRU5ULjIvMjkvMjAyNAEAAADSLssOAgAAABAxMC42Njc4ODk0OTQxOTc4APu4FRMiE94IAV7tFSIT3ggqQ0lRLlNMUy5JUV9TSE9SVF9JTlRFUkVTVF9QRVJDRU5ULjMvMS8yMDI0AQAAACpXoQ8CAAAAEDkuMTk3OTM0NjQxOTUxODQA+7gVEyIT3gjWwewVIhPeCCxDSVEuUkVHTi5JUV9TSE9SVF9JTlRFUkVTVF9QRVJDRU5ULjEvMTcvMjAyNAEAAACzgwAAAgAAABEwLjk5ODk5NDk1MDM0MTA0NgB1G4gTIhPeCDKQBBYiE94ILENJUS5URVZBLklRX1NIT1JUX0lOVEVSRVNUX1BFUkNFTlQuMS8xOS8yMDI0AQAAAE+zBAACAAAAEDEuNDU4NDExNjg1NDA1</t>
  </si>
  <si>
    <t>NjMAdRuIEyIT3givJwIWIhPeCCFDSVEuQUJTSS5JUV9WQUxVRV9UUkFERUQuMS84LzIwMjQBAAAA3gzbDwIAAAAINi4yNzYzNzkAUmiVEyIT3gjocQkWIhPeCCtDSVEuQVRIQS5JUV9TSE9SVF9JTlRFUkVTVF9QRVJDRU5ULjEvMy8yMDI0AQAAABwR2w8CAAAAEDEuMjkxODQ3MTMxMTQ2ODkAAhmVEyIT3gj1uAwWIhPeCB5DSVEuWEJJLklRX0xBU1RTQUxFUFJJQ0UuNDUzMDIBAAAAykCYAQIAAAAFOTAuNDcAo9mVEyIT3gj1uAwWIhPeCCtDSVEuU01NVC5JUV9TSE9SVF9JTlRFUkVTVF9QRVJDRU5ULjEvOC8yMDI0AQAAAMMtsQACAAAAEDEuMzQ2ODUwNDg5MTY2MjYAM7aVEyIT3ggi+AYWIhPeCCJDSVEuRVlQVC5JUV9WQUxVRV9UUkFERUQuMS8xMC8yMDI0AQAAAK9gRAACAAAACTEyLjQ0NzUzOQCj2ZUTIhPeCDKQBBYiE94ILENJUS5TUlJLLklRX1NIT1JUX0lOVEVSRVNUX1BFUkNFTlQuMS8yNS8yMDI0AQAAAJAttiACAAAAEDE2LjAxNTUyNDI3ODA5NjgASAyKEyIT3giLuf8VIhPeCCJDSVEuSEFMTy5JUV9WQUxVRV9UUkFERUQuMS8yNy8yMDI0AQAAAEYFeQADAAAAAABIDIoTIhPeCGZr/xUiE94IIUNJUS5JS1QuSVFfVkFMVUVfVFJBREVELjEvMjkvMjAyNAEAAAD8IMoGAgAAAAgwLjkyMzkxMgBIDIoTIhPeCGOo/hUiE94ILUNJUS5LWUtPRi5JUV9TSE9SVF9JTlRFUkVTVF9QRVJDRU5ULjEvMzAv</t>
  </si>
  <si>
    <t>MjAyNAEAAADLdQoAAwAAAAAAJfBQEyIT3gjkC/4VIhPeCCFDSVEuTlZTLklRX1ZBTFVFX1RSQURFRC4xLzMxLzIwMjQBAAAAqbXoDwIAAAAIMC4xMzg5ODUAVhdREyIT3gigvf0VIhPeCCpDSVEuQVpOLklRX1NIT1JUX0lOVEVSRVNUX1BFUkNFTlQuMi8yLzIwMjQBAAAAhiMFAAMAAAAAAFYXURMiE94ICSP9FSIT3ggrQ0lRLlBMUlguSVFfU0hPUlRfSU5URVJFU1RfUEVSQ0VOVC4yLzUvMjAyNAEAAABtEW4TAgAAABAxMC42MjgzNDgyNDM0NjU4AFYXURMiE94I9l/8FSIT3ggqQ0lRLkxMWS5JUV9TSE9SVF9JTlRFUkVTVF9QRVJDRU5ULjIvNi8yMDI0AQAAABtbBAACAAAAETAuNTQzMzUzNTcyNTAxMDUyAFYXURMiE94Im5z7FSIT3ggrQ0lRLlZSUFguSVFfU0hPUlRfSU5URVJFU1RfUEVSQ0VOVC4yLzcvMjAyNAEAAACS0kchAgAAABEwLjQzOTQzMDYwODAyMDE0NgCSPVETIhPeCL2w+BUiE94IIUNJUS5DTlRBLklRX1ZBTFVFX1RSQURFRC4yLzkvMjAyNAEAAABN5/0pAgAAAAkyOC4xMDk3NDkAkj1REyIT3gi9sPgVIhPeCB5DSVEuWEJJLklRX0xBU1RTQUxFUFJJQ0UuNDUyOTkBAAAAykCYAQIAAAAFOTMuNDIAo9mVEyIT3giG2gsWIhPeCB5DSVEuWEJJLklRX0xBU1RTQUxFUFJJQ0UuNDUzMDEBAAAAykCYAQIAAAAFOTIuNTMAMU/HEyIT3gjJeg4WIhPeCCxDSVEuQUxMSy5JUV9TSE9SVF9JTlRFUkVT</t>
  </si>
  <si>
    <t>VF9QRVJDRU5ULjEvMTYvMjAyNAEAAAA5/m0NAwAAAAAAdRuIEyIT3ggykAQWIhPeCCJDSVEuUEJMQS5JUV9WQUxVRV9UUkFERUQuMS8yNS8yMDI0AQAAADb12AoCAAAACDEuMDgwNjQxAEgMihMiE94Ii7n/FSIT3ggsQ0lRLlNHTU8uSVFfU0hPUlRfSU5URVJFU1RfUEVSQ0VOVC4yLzEyLzIwMjQBAAAAAkwGAAIAAAAQNS42Mjc4NTMzNzUzNDM2MwDtY1ETIhPeCF1H9hUiE94ILENJUS5GRE1ULklRX1NIT1JUX0lOVEVSRVNUX1BFUkNFTlQuMi8xMi8yMDI0AQAAACXQQxACAAAAEDcuNzcyOTMxNDU4NjE1NTUA7WNREyIT3ghdR/YVIhPeCCJDSVEuUkNLVC5JUV9WQUxVRV9UUkFERUQuMi8xMy8yMDI0AQAAAEBWgRkCAAAACTUxLjk5OTAwNgDtY1ETIhPeCF1H9hUiE94IK0NJUS5TTlkuSVFfU0hPUlRfSU5URVJFU1RfUEVSQ0VOVC4yLzIwLzIwMjQBAAAAGnwKAAMAAAAAALZKIRMiE94IQzvzFSIT3ggsQ0lRLktaSUEuSVFfU0hPUlRfSU5URVJFU1RfUEVSQ0VOVC4yLzIxLzIwMjQBAAAAbSEGAAIAAAARMC42ODkzMzg2MTg4MTkxMTEAtkohEyIT3ghYn/IVIhPeCCxDSVEuQVRYSS5JUV9TSE9SVF9JTlRFUkVTVF9QRVJDRU5ULjIvMjIvMjAyNAEAAADSqoYSAgAAABAxLjgxNTQ5MTgxNjA5Mjc5ALZKIRMiE94IyinyFSIT3ggiQ0lRLlRDUlguSVFfVkFMVUVfVFJBREVELjIvMjYvMjAyNAEAAACqwMAiAgAA</t>
  </si>
  <si>
    <t>AAgwLjg0MDA3MgCIdSETIhPeCOpH8BUiE94IIkNJUS5WS1RYLklRX1ZBTFVFX1RSQURFRC4yLzI3LzIwMjQBAAAA8ry1DgIAAAALNTAyMC44MTM0NjMAiHUhEyIT3giv0u8VIhPeCCJDSVEuQ0dPTi5JUV9WQUxVRV9UUkFERUQuMi8yNy8yMDI0AQAAAMSI6AYCAAAACTEwLjU2Mjg4NwCIdSETIhPeCKKE7xUiE94IIkNJUS5SRUdOLklRX1ZBTFVFX1RSQURFRC4yLzI4LzIwMjQBAAAAs4MAAAIAAAAKNDc5Ljk3MTU0NwD7uBUTIhPeCAiy7hUiE94ILENJUS5CTFJYLklRX1NIT1JUX0lOVEVSRVNUX1BFUkNFTlQuMi8yOC8yMDI0AQAAACiGTAADAAAAAAD7uBUTIhPeCAZk7hUiE94ILENJUS5HSUxELklRX1NIT1JUX0lOVEVSRVNUX1BFUkNFTlQuMS8yMi8yMDI0AQAAAEpxAAACAAAAEDEuMzY3NDM5NjU1NzkxMDMAdRuIEyIT3giLuf8VIhPeCCxDSVEuSVhITC5JUV9TSE9SVF9JTlRFUkVTVF9QRVJDRU5ULjEvMTcvMjAyNAEAAAA7pGETAgAAABEwLjU4OTg0MDE5MDc2Nzg3MwB1G4gTIhPeCK8nAhYiE94ILENJUS5IUlRYLklRX1NIT1JUX0lOVEVSRVNUX1BFUkNFTlQuMS8yMy8yMDI0AQAAAC5fAAACAAAAEDEzLjQ2OTI2Nzk0OTE3NDUAdRuIEyIT3giLuf8VIhPeCCJDSVEuRkRNVC5JUV9WQUxVRV9UUkFERUQuMi8xMi8yMDI0AQAAACXQQxACAAAACTUzLjc2ODk5MgDtY1ETIhPeCF1H9hUiE94IIUNJUS5T</t>
  </si>
  <si>
    <t>TlkuSVFfVkFMVUVfVFJBREVELjIvMjAvMjAyNAEAAAAafAoAAgAAAAoxMDguNzIyODI3ALZKIRMiE94IQzvzFSIT3ggiQ0lRLktaSUEuSVFfVkFMVUVfVFJBREVELjIvMjEvMjAyNAEAAABtIQYAAgAAAAg2LjUwMzAwMgC2SiETIhPeCBTG8hUiE94IIkNJUS5NTlBSLklRX1ZBTFVFX1RSQURFRC4yLzIyLzIwMjQBAAAAS6YkEgIAAAAJMTcxLjczMjU0ALZKIRMiE94INnjyFSIT3gggQ0lRLk5WUy5JUV9WQUxVRV9UUkFERUQuMS84LzIwMjQBAAAAqbXoDwIAAAAIMC41MjI4ODcAH4+VEyIT3ggi+AYWIhPeCCxDSVEuQkdORS5JUV9TSE9SVF9JTlRFUkVTVF9QRVJDRU5ULjEvMTYvMjAyNAEAAADg5N0GAwAAAAAAdRuIEyIT3ggykAQWIhPeCCJDSVEuTFNUQS5JUV9WQUxVRV9UUkFERUQuMS8xNy8yMDI0AQAAAGApBQACAAAACDAuMDQwMDUyAHUbiBMiE94IrycCFiIT3ggiQ0lRLklYSEwuSVFfVkFMVUVfVFJBREVELjEvMTcvMjAyNAEAAAA7pGETAgAAAAgwLjA5NzQ0MgB1G4gTIhPeCK8nAhYiE94IIkNJUS5HSUxELklRX1ZBTFVFX1RSQURFRC4xLzIyLzIwMjQBAAAASnEAAAIAAAALMTU5OC4yODk3NTUAdRuIEyIT3giLuf8VIhPeCC1DSVEuQ1NMTFkuSVFfU0hPUlRfSU5URVJFU1RfUEVSQ0VOVC4yLzEyLzIwMjQBAAAAX3MNAAMAAAAAAJI9URMiE94IvbD4FSIT3ggsQ0lRLk9DVUwuSVFfU0hPUlRfSU5U</t>
  </si>
  <si>
    <t>RVJFU1RfUEVSQ0VOVC4yLzEzLzIwMjQBAAAAQjGAAgIAAAAQMy41OTI2NTY4MzQ2MDc5NwDtY1ETIhPeCF1H9hUiE94IK0NJUS5PUFQuSVFfU0hPUlRfSU5URVJFU1RfUEVSQ0VOVC4yLzE0LzIwMjQBAAAA2t8lAAMAAAAAAEPVIBMiE94IXUf2FSIT3ggiQ0lRLkFUUkEuSVFfVkFMVUVfVFJBREVELjIvMTQvMjAyNAEAAADSLssOAgAAAAcxLjEzOTUzAJX8IBMiE94I1tfzFSIT3ggrQ0lRLkFaTi5JUV9TSE9SVF9JTlRFUkVTVF9QRVJDRU5ULjIvMTcvMjAyNAEAAACGIwUAAwAAAAAAyCUhEyIT3gjW1/MVIhPeCCJDSVEuR01EQS5JUV9WQUxVRV9UUkFERUQuMi8yMi8yMDI0AQAAAEB9CAADAAAAAACIdSETIhPeCNfb8RUiE94ILENJUS5CR05FLklRX1NIT1JUX0lOVEVSRVNUX1BFUkNFTlQuMi8yNi8yMDI0AQAAAODk3QYDAAAAAACIdSETIhPeCCVv8BUiE94ILENJUS5HSUxELklRX1NIT1JUX0lOVEVSRVNUX1BFUkNFTlQuMi8yNi8yMDI0AQAAAEpxAAACAAAAEDEuMjU3MjM0NTU5MDMxOTgAiHUhEyIT3ghB+u8VIhPeCCJDSVEuVEdUWC5JUV9WQUxVRV9UUkFERUQuMi8yOS8yMDI0AQAAAFqUjwgCAAAACjEwNi44NzE3OTcA+7gVEyIT3gikhO0VIhPeCCtDSVEuVlRWVC5JUV9TSE9SVF9JTlRFUkVTVF9QRVJDRU5ULjMvNC8yMDI0AQAAAB2jHxICAAAAEDEuNzI3OTA2MDY0NzIxMjIA+7gVEyIT3gg21+sV</t>
  </si>
  <si>
    <t>IhPeCCFDSVEuTlZPLklRX1ZBTFVFX1RSQURFRC4xLzMxLzIwMjQBAAAAfO8EAAIAAAALMTQ1OS4wNDc5NTMAVhdREyIT3gjlYf0VIhPeCCFDSVEuUExSWC5JUV9WQUxVRV9UUkFERUQuMi81LzIwMjQBAAAAbRFuEwIAAAAJMzMuMjY2Mjg0AFYXURMiE94I9l/8FSIT3ggsQ0lRLkdNREEuSVFfU0hPUlRfSU5URVJFU1RfUEVSQ0VOVC4yLzIyLzIwMjQBAAAAQH0IAAMAAAAAAIh1IRMiE94I19vxFSIT3ggiQ0lRLkFWSVIuSVFfVkFMVUVfVFJBREVELjIvMjgvMjAyNAEAAABZyhEPAgAAAAczLjY2NzE2APu4FRMiE94IBmTuFSIT3gghQ0lRLlBDVlguSVFfVkFMVUVfVFJBREVELjMvNC8yMDI0AQAAAPoTVBICAAAACTQ0LjcxMTAyMwD7uBUTIhPeCF+E6xUiE94IK0NJUS5SRUdOLklRX1NIT1JUX0lOVEVSRVNUX1BFUkNFTlQuMy82LzIwMjQBAAAAs4MAAAIAAAAQMS4yNzUyNjY5MDk0OTEzNAD7uBUTIhPeCI/55xUiE94IIUNJUS5aTEFCLklRX1ZBTFVFX1RSQURFRC4zLzYvMjAyNAEAAAB3AikQAgAAAAg4LjM1OTQ0MQD6KRgTIhPeCI/55xUiE94IIkNJUS5MUk1SLklRX1ZBTFVFX1RSQURFRC4zLzExLzIwMjQBAAAAF2AdIgIAAAAJMTUuMjU0MTEyAAi54xIiE94IyijjFSIT3ggiQ0lRLlBISU8uSVFfVkFMVUVfVFJBREVELjMvMTMvMjAyNAEAAAA5BmcIAgAAAAgwLjQ5OTI2MwAIueMSIhPeCATB4BUiE94I</t>
  </si>
  <si>
    <t>LENJUS5NSVJNLklRX1NIT1JUX0lOVEVSRVNUX1BFUkNFTlQuMy8xMy8yMDI0AQAAANpmMyMCAAAAEDE2LjQzNTk4MDUzMjQ4NjcACLnjEiIT3ggEweAVIhPeCCJDSVEuT0NHTi5JUV9WQUxVRV9UUkFERUQuMy8xMy8yMDI0AQAAALfAHBICAAAACDUuNzc4NzgxAAi54xIiE94IBMHgFSIT3ggsQ0lRLkdFUk4uSVFfU0hPUlRfSU5URVJFU1RfUEVSQ0VOVC4zLzE0LzIwMjQBAAAAOEsDAAIAAAAQOC4yMjM2NDUxNzE4NDcwNwAIueMSIhPeCATB4BUiE94IK0NJUS5QQk0uSVFfU0hPUlRfSU5URVJFU1RfUEVSQ0VOVC4zLzE4LzIwMjQBAAAAPEWiKQIAAAARMC42MDIxODUxOTI2MjUzMjkACLnjEiIT3gjgwN4VIhPeCCJDSVEuQ0VSUy5JUV9WQUxVRV9UUkFERUQuMy8xOS8yMDI0AQAAAN5mAAACAAAACTQwLjM0NjEyNwCRSLYSIhPeCODA3hUiE94IIUNJUS5DVk0uSVFfVkFMVUVfVFJBREVELjMvMTkvMjAyNAEAAAC68gMAAgAAAAgwLjQ0MTQ0NwCRSLYSIhPeCFRS3hUiE94ILENJUS5URkZQLklRX1NIT1JUX0lOVEVSRVNUX1BFUkNFTlQuMy8yMC8yMDI0AQAAAOo0CwADAAAAAACRSLYSIhPeCOGO3RUiE94IIkNJUS5BTVJYLklRX1ZBTFVFX1RSQURFRC4zLzI1LzIwMjQBAAAAV5xKAgIAAAAINS4yNTU2MTUAkUi2EiIT3gjWs9kVIhPeCCxDSVEuQVROTS5JUV9TSE9SVF9JTlRFUkVTVF9QRVJDRU5ULjMvMjYv</t>
  </si>
  <si>
    <t>MjAyNAEAAACbt3cAAgAAABA2LjU2NzM1NTkyMTU1NTYyAJFIthIiE94IMUzXFSIT3ggiQ0lRLlRGRlAuSVFfVkFMVUVfVFJBREVELjMvMjcvMjAyNAEAAADqNAsAAwAAAAAAkUi2EiIT3ggxTNcVIhPeCCxDSVEuUFRJWC5JUV9TSE9SVF9JTlRFUkVTVF9QRVJDRU5ULjMvMjcvMjAyNAEAAABzr21wAwAAAAAAkUi2EiIT3ggxTNcVIhPeCCxDSVEuUFBCVC5JUV9TSE9SVF9JTlRFUkVTVF9QRVJDRU5ULjMvMjgvMjAyNAEAAAAtojYBAwAAAAAApZmsEiIT3ghp49QVIhPeCCtDSVEuTEVOWi5JUV9TSE9SVF9JTlRFUkVTVF9QRVJDRU5ULjQvMy8yMDI0AQAAAJTDDxYCAAAAETAuNDkxMTc0NTY2NDAyNTQyAKWZrBIiE94IaHHSFSIT3ggiQ0lRLkRTTktZLklRX1ZBTFVFX1RSQURFRC40LzMvMjAyNAEAAAA5mWkBAwAAAAAApZmsEiIT3ghocdIVIhPeCCtDSVEuQ1JCVS5JUV9TSE9SVF9JTlRFUkVTVF9QRVJDRU5ULjQvNC8yMDI0AQAAAC9HORACAAAAEDExLjE1MzM4NjA5OTA5MzkApZmsEiIT3gh+B9AVIhPeCCFDSVEuSUdYVC5JUV9WQUxVRV9UUkFERUQuNC81LzIwMjQBAAAABKjLAQMAAAAAAKWZrBIiE94IfgfQFSIT3ggrQ0lRLkFMTlkuSVFfU0hPUlRfSU5URVJFU1RfUEVSQ0VOVC40LzcvMjAyNAEAAABzrCoAAgAAAA8yLjEyNDkxMjkyODQ5MTYAxTlsEiIT3ggupM0VIhPeCCFDSVEuQk5UWC5JUV9WQUxV</t>
  </si>
  <si>
    <t>RV9UUkFERUQuNC83LzIwMjQBAAAAezsNAwMAAAAAAMU5bBIiE94ILqTNFSIT3ggrQ0lRLk1SVVMuSVFfU0hPUlRfSU5URVJFU1RfUEVSQ0VOVC40LzgvMjAyNAEAAAAQZHwBAgAAABA2Ljk4NzA5Mzc4Njg4NTQ4AMU5bBIiE94ILqTNFSIT3gghQ0lRLklOS1QuSVFfVkFMVUVfVFJBREVELjQvOC8yMDI0AQAAAMTRFmQCAAAACDAuNjA2NTUzAMU5bBIiE94ILqTNFSIT3ggrQ0lRLkNIUlMuSVFfU0hPUlRfSU5URVJFU1RfUEVSQ0VOVC40LzgvMjAyNAEAAADHelUMAgAAABAyMi45ODk0ODExNzQ3NzE0AMU5bBIiE94IPWfMFSIT3gghQ0lRLkNDQ0MuSVFfVkFMVUVfVFJBREVELjQvOC8yMDI0AQAAAATOKhMCAAAACDcuOTQ2MjA4AMU5bBIiE94IB0DMFSIT3ggrQ0lRLk5SSVguSVFfU0hPUlRfSU5URVJFU1RfUEVSQ0VOVC40LzkvMjAyNAEAAABMKlUMAgAAABAxNC4xNzkwMDU5MzgzMzc0AMU5bBIiE94IEdzKFSIT3gghQ0lRLlJBUFQuSVFfVkFMVUVfVFJBREVELjQvOS8yMDI0AQAAANAgVhACAAAACTEzLjA5NDgyOQDFOWwSIhPeCPGXyhUiE94IK0NJUS5JUEhBLklRX1NIT1JUX0lOVEVSRVNUX1BFUkNFTlQuNC85LzIwMjQBAAAAmYAGAAMAAAAAAMU5bBIiE94IwxrJFSIT3gghQ0lRLkdOUFguSVFfVkFMVUVfVFJBREVELjQvOS8yMDI0AQAAAKq8cQ0CAAAACDAuMzg5NTgzAMU5bBIiE94IwxrJFSIT3ggi</t>
  </si>
  <si>
    <t>Q0lRLkJHTkUuSVFfVkFMVUVfVFJBREVELjEvMTYvMjAyNAEAAADg5N0GAwAAAAAAdRuIEyIT3ggykAQWIhPeCCtDSVEuQk1ZLklRX1NIT1JUX0lOVEVSRVNUX1BFUkNFTlQuMS8yMC8yMDI0AQAAAMZkAAACAAAAEDEuMDk2Njg2NzIyOTE1MDUAdRuIEyIT3givJwIWIhPeCCxDSVEuTk5WQy5JUV9TSE9SVF9JTlRFUkVTVF9QRVJDRU5ULjEvMjkvMjAyNAEAAACPwlgBAgAAABAyLjYwODUwMzQ2MDkyODY0AEgMihMiE94IXUT/FSIT3ggrQ0lRLklOS1QuSVFfU0hPUlRfSU5URVJFU1RfUEVSQ0VOVC4yLzYvMjAyNAEAAADE0RZkAgAAABEwLjUwNjU1OTQ3MzI3MjIzOQCSPVETIhPeCB4Z+xUiE94ILENJUS5SQ0tULklRX1NIT1JUX0lOVEVSRVNUX1BFUkNFTlQuMi8xMy8yMDI0AQAAAEBWgRkCAAAAEDkuMzY5MDg4ODczNTkzNjcA7WNREyIT3ghdR/YVIhPeCCJDSVEuSU9WQS5JUV9WQUxVRV9UUkFERUQuMi8xNi8yMDI0AQAAAATVaAICAAAACjE2MS42NjAxMDUAyCUhEyIT3gjW1/MVIhPeCCJDSVEuSVJPTi5JUV9WQUxVRV9UUkFERUQuMi8yMC8yMDI0AQAAAE7fOSYCAAAACDkuMjA0NjE2ALZKIRMiE94Iy2LzFSIT3gghQ0lRLkNHRU0uSVFfVkFMVUVfVFJBREVELjMvMS8yMDI0AQAAAH96JiACAAAACDguMzg4MDg0APu4FRMiE94IyjbtFSIT3gggQ0lRLlJOQS5JUV9WQUxVRV9UUkFERUQuMy80LzIwMjQB</t>
  </si>
  <si>
    <t>AAAAHstSDwIAAAAJNzQuMTA2MDEzAPu4FRMiE94IU3PsFSIT3ggrQ0lRLklNTVAuSVFfU0hPUlRfSU5URVJFU1RfUEVSQ0VOVC4zLzUvMjAyNAEAAAAVQmYAAwAAAAAA+7gVEyIT3giP+ecVIhPeCCtDSVEuT05DWS5JUV9TSE9SVF9JTlRFUkVTVF9QRVJDRU5ULjMvNS8yMDI0AQAAAFd1FAACAAAAEDEuMjI0NzI2NjEwNDM4OTYA+7gVEyIT3giP+ecVIhPeCCtDSVEuSUtULklRX1NIT1JUX0lOVEVSRVNUX1BFUkNFTlQuMS8yOS8yMDI0AQAAAPwgygYCAAAAETAuMTQyMjAyODE1NTUwOTYzAEgMihMiE94IY6j+FSIT3gghQ0lRLkxDVFguSVFfVkFMVUVfVFJBREVELjIvMy8yMDI0AQAAABZkAAADAAAAAABWF1ETIhPeCPzU/BUiE94IK0NJUS5DTlRBLklRX1NIT1JUX0lOVEVSRVNUX1BFUkNFTlQuMi85LzIwMjQBAAAATef9KQIAAAAQMS4xMzg2NDc0MDE1NTczOQCSPVETIhPeCL2w+BUiE94ILENJUS5BUExULklRX1NIT1JUX0lOVEVSRVNUX1BFUkNFTlQuMi8xNS8yMDI0AQAAAHuMVCECAAAAEDQuODA2NTc5MjAwMDE2OTEAlfwgEyIT3gjW1/MVIhPeCCxDSVEuVEFSUy5JUV9TSE9SVF9JTlRFUkVTVF9QRVJDRU5ULjIvMjcvMjAyNAEAAAAxEcQmAgAAABAxNi41NDg1NjAzNDc2Mzk2AIh1IRMiE94ImavvFSIT3ggrQ0lRLlBUTi5JUV9TSE9SVF9JTlRFUkVTVF9QRVJDRU5ULjIvMjgvMjAyNAEAAAAIL9wM</t>
  </si>
  <si>
    <t>AwAAAAAAiHUhEyIT3ghsJ+8VIhPeCCpDSVEuTlZTLklRX1NIT1JUX0lOVEVSRVNUX1BFUkNFTlQuMy80LzIwMjQBAAAAqbXoDwMAAAAAAPu4FRMiE94IRyXsFSIT3gghQ0lRLklNTVAuSVFfVkFMVUVfVFJBREVELjMvNS8yMDI0AQAAABVCZgACAAAACDEuMzc4MjcxAPu4FRMiE94Ij/nnFSIT3gghQ0lRLkJNRUEuSVFfVkFMVUVfVFJBREVELjMvNi8yMDI0AQAAAMeYcSkCAAAACTQ5LjgyMDE2NQD7uBUTIhPeCI/55xUiE94IKkNJUS5NUksuSVFfU0hPUlRfSU5URVJFU1RfUEVSQ0VOVC4zLzYvMjAyNAEAAAD2ZgQAAgAAABEwLjY2NDA2MzkxMzA0OTA0MwD7uBUTIhPeCI/55xUiE94IIUNJUS5BVEhBLklRX1ZBTFVFX1RSQURFRC4zLzgvMjAyNAEAAAAcEdsPAgAAAAg2LjY0NTMwMwD6KRgTIhPeCK+R5RUiE94ILENJUS5NTFRYLklRX1NIT1JUX0lOVEVSRVNUX1BFUkNFTlQuMy8xMC8yMDI0AQAAADT2iSoCAAAAEDEwLjUxNjc1NTc0NjgzNjQACLnjEiIT3givkeUVIhPeCCxDSVEuU09OTi5JUV9TSE9SVF9JTlRFUkVTVF9QRVJDRU5ULjMvMTEvMjAyNAEAAACa33UYAgAAABA4LjI3NzM0MTgwNTQ3MjY2AAi54xIiE94Ir5HlFSIT3ggsQ0lRLlhPTUEuSVFfU0hPUlRfSU5URVJFU1RfUEVSQ0VOVC4zLzEzLzIwMjQBAAAAoY8AAAIAAAAQMi41MDc5NzY2Mzc1MzA5NgAIueMSIhPeCATB4BUiE94ILENJUS5J</t>
  </si>
  <si>
    <t>T05TLklRX1NIT1JUX0lOVEVSRVNUX1BFUkNFTlQuMy8xMy8yMDI0AQAAAFx2AAACAAAAEDYuMjQ4MTUzNDk2MTc5NTQACLnjEiIT3ggEweAVIhPeCCJDSVEuR0VSTi5JUV9WQUxVRV9UUkFERUQuMy8xNC8yMDI0AQAAADhLAwADAAAAAAAIueMSIhPeCATB4BUiE94IIkNJUS5KU1BSLklRX1ZBTFVFX1RSQURFRC4zLzE1LzIwMjQBAAAAXpKVJgIAAAAIOC43NDY1NzUACLnjEiIT3ggEweAVIhPeCCFDSVEuUEJNLklRX1ZBTFVFX1RSQURFRC4zLzE4LzIwMjQBAAAAPEWiKQIAAAAIMS4xMTE4MTgACLnjEiIT3gjgwN4VIhPeCCxDSVEuRFRJTC5JUV9TSE9SVF9JTlRFUkVTVF9QRVJDRU5ULjMvMTkvMjAyNAEAAADo5XECAgAAABEwLjc0MDg0ODk2MzY0MzI2NgDmKuYSIhPeCODA3hUiE94IIkNJUS5IT1RILklRX1ZBTFVFX1RSQURFRC4zLzE5LzIwMjQBAAAAUGLrGQIAAAAJMjYuNDEyMTI5AJFIthIiE94I4MDeFSIT3ggsQ0lRLkxHTkQuSVFfU0hPUlRfSU5URVJFU1RfUEVSQ0VOVC4zLzE5LzIwMjQBAAAAZHgAAAIAAAAQNC4zMDc0MTM5Mzc5OTQ5MQCRSLYSIhPeCFRS3hUiE94ILENJUS5BQkJWLklRX1NIT1JUX0lOVEVSRVNUX1BFUkNFTlQuMy8yMi8yMDI0AQAAAAoBdQgCAAAAETAuODA1NzQyOTkzMjA5NjE4AJFIthIiE94IuvLcFSIT3ggiQ0lRLlNMUlguSVFfVkFMVUVfVFJBREVELjMvMjIvMjAyNAEA</t>
  </si>
  <si>
    <t>AADQ36sTAgAAAAgwLjg3MDE4MgCRSLYSIhPeCOYb3BUiE94ILENJUS5TVE9LLklRX1NIT1JUX0lOVEVSRVNUX1BFUkNFTlQuMy8yNS8yMDI0AQAAAB6IAQ8CAAAAEDguMTMxMDY2MjA3NzU3NzYAkUi2EiIT3gjWs9kVIhPeCCJDSVEuQVROTS5JUV9WQUxVRV9UUkFERUQuMy8yNi8yMDI0AQAAAJu3dwACAAAABzQuNTk5ODUAkUi2EiIT3ggxTNcVIhPeCCxDSVEuQVZUWC5JUV9TSE9SVF9JTlRFUkVTVF9QRVJDRU5ULjMvMjcvMjAyNAEAAAAITakIAgAAABA4LjM4MDg3MzcyODYzNDg5AJFIthIiE94IMUzXFSIT3ggiQ0lRLlBUSVguSVFfVkFMVUVfVFJBREVELjMvMjcvMjAyNAEAAABzr21wAwAAAAAAkUi2EiIT3ggxTNcVIhPeCCJDSVEuUFBCVC5JUV9WQUxVRV9UUkFERUQuMy8yOC8yMDI0AQAAAC2iNgECAAAACDAuMDUyNTYzAKWZrBIiE94IaePUFSIT3gghQ0lRLkxFTlouSVFfVkFMVUVfVFJBREVELjQvMy8yMDI0AQAAAJTDDxYCAAAACDguMjkyNzc2AKWZrBIiE94IaHHSFSIT3ggrQ0lRLlNQUlkuSVFfU0hPUlRfSU5URVJFU1RfUEVSQ0VOVC40LzMvMjAyNAEAAAAHpuEiAgAAABA0LjQwOTAyMDE5MDQ5MzUxAKWZrBIiE94IaHHSFSIT3ggrQ0lRLkdPVlguSVFfU0hPUlRfSU5URVJFU1RfUEVSQ0VOVC40LzQvMjAyNAEAAACv+LcAAgAAABEwLjc2MjM4MTUwNjU1MTY2NgClmawSIhPeCH4H0BUiE94I</t>
  </si>
  <si>
    <t>IUNJUS5DUkJVLklRX1ZBTFVFX1RSQURFRC40LzQvMjAyNAEAAAAvRzkQAgAAAAg4LjYyMDE1NwClmawSIhPeCH4H0BUiE94IIkNJUS5TR01PLklRX1ZBTFVFX1RSQURFRC4yLzEyLzIwMjQBAAAAAkwGAAIAAAAINi44NDM3NTYA7WNREyIT3ghdR/YVIhPeCCJDSVEuQVBMVC5JUV9WQUxVRV9UUkFERUQuMi8xNS8yMDI0AQAAAHuMVCECAAAACTM1LjIwMDgzOACV/CATIhPeCNbX8xUiE94IK0NJUS5HU0suSVFfU0hPUlRfSU5URVJFU1RfUEVSQ0VOVC4yLzI2LzIwMjQBAAAA8jMEAAMAAAAAAIh1IRMiE94IJuTwFSIT3gghQ0lRLlBUTi5JUV9WQUxVRV9UUkFERUQuMi8yOC8yMDI0AQAAAAgv3AwCAAAACDAuMDQzNDE4AIh1IRMiE94IbCfvFSIT3gghQ0lRLk9OQ1kuSVFfVkFMVUVfVFJBREVELjMvNS8yMDI0AQAAAFd1FAACAAAACDAuNDQwNjI2APu4FRMiE94Ij/nnFSIT3ggqQ0lRLk9QSy5JUV9TSE9SVF9JTlRFUkVTVF9QRVJDRU5ULjMvNS8yMDI0AQAAAI+5/QECAAAAEDE0LjA1MjE1Nzg5OTcyNzcA+7gVEyIT3giP+ecVIhPeCCtDSVEuQ09ZQS5JUV9TSE9SVF9JTlRFUkVTVF9QRVJDRU5ULjMvNi8yMDI0AQAAAKvKvCkCAAAAETAuMTU0NjAyNTUxNDg3MDM3APu4FRMiE94Ij/nnFSIT3gggQ0lRLkJNWS5JUV9WQUxVRV9UUkFERUQuMy83LzIwMjQBAAAAxmQAAAIAAAAKOTE4LjE3NzU0MwD6KRgTIhPe</t>
  </si>
  <si>
    <t>CK+R5RUiE94IKkNJUS5OVk8uSVFfU0hPUlRfSU5URVJFU1RfUEVSQ0VOVC4zLzgvMjAyNAEAAAB87wQAAwAAAAAACLnjEiIT3givkeUVIhPeCCJDSVEuU09OTi5JUV9WQUxVRV9UUkFERUQuMy8xMS8yMDI0AQAAAJrfdRgCAAAABjYuNTM4NgAIueMSIhPeCK+R5RUiE94ILENJUS5MR05ELklRX1NIT1JUX0lOVEVSRVNUX1BFUkNFTlQuMy8xMS8yMDI0AQAAAGR4AAACAAAAEDQuMzA3NDEzOTM3OTk0OTEACLnjEiIT3gjKKOMVIhPeCCxDSVEuQUNBRC5JUV9TSE9SVF9JTlRFUkVTVF9QRVJDRU5ULjMvMTEvMjAyNAEAAADBbgoAAgAAAA82LjU1Nzg3NDE2MDc5MDIACLnjEiIT3gjKKOMVIhPeCCFDSVEuUEZFLklRX1ZBTFVFX1RSQURFRC4zLzEyLzIwMjQBAAAA3nkCAAIAAAAKMTM2NS43MTc5MQAIueMSIhPeCMoo4xUiE94ILENJUS5PUFROLklRX1NIT1JUX0lOVEVSRVNUX1BFUkNFTlQuMy8xNS8yMDI0BQAAAAAAAAAIAAAAFChJbnZhbGlkIElkZW50aWZpZXIpCLnjEiIT3gjgwN4VIhPeCCFDSVEuQVpOLklRX1ZBTFVFX1RSQURFRC4zLzE4LzIwMjQBAAAAhiMFAAIAAAAKMzk5Ljc3MDkyNQAIueMSIhPeCODA3hUiE94IIkNJUS5EVElMLklRX1ZBTFVFX1RSQURFRC4zLzE5LzIwMjQBAAAA6OVxAgIAAAAIMC42NDQ3NzIA5irmEiIT3gjgwN4VIhPeCCxDSVEuVEdUWC5JUV9TSE9SVF9JTlRFUkVTVF9QRVJD</t>
  </si>
  <si>
    <t>RU5ULjIvMjkvMjAyNAEAAABalI8IAgAAABAyNC43MTA4MDUzMTAwNDExAPu4FRMiE94IpITtFSIT3ggrQ0lRLkFQR0UuSVFfU0hPUlRfSU5URVJFU1RfUEVSQ0VOVC4zLzUvMjAyNAEAAACV+0ZsAgAAABA2Ljc5ODA1MTk3NjIzNzI2APu4FRMiE94IUA/rFSIT3gggQ0lRLk1SSy5JUV9WQUxVRV9UUkFERUQuMy82LzIwMjQBAAAA9mYEAAIAAAALMTAyMS4xMDYwNDgA+7gVEyIT3giP+ecVIhPeCCtDSVEuVEVMTy5JUV9TSE9SVF9JTlRFUkVTVF9QRVJDRU5ULjMvNy8yMDI0AQAAAMTjLG0CAAAAEjAuMDEwMDA2ODE3MzM0Mjc5OAD6KRgTIhPeCK+R5RUiE94IIkNJUS5NTFRYLklRX1ZBTFVFX1RSQURFRC4zLzEwLzIwMjQBAAAANPaJKgMAAAAAAAi54xIiE94Ir5HlFSIT3ggiQ0lRLkFDQUQuSVFfVkFMVUVfVFJBREVELjMvMTEvMjAyNAEAAADBbgoAAgAAAAY1MC4xMjgACLnjEiIT3gjKKOMVIhPeCCxDSVEuQ1lCTi5JUV9TSE9SVF9JTlRFUkVTVF9QRVJDRU5ULjMvMTMvMjAyNAEAAAD+y74nAgAAABAyLjI3MjE3NDI3MDM4OTU0AAi54xIiE94IyijjFSIT3gghQ0lRLkJCSU8uSVFfQkVUQV8xWVJfUlNRLjIvMi8yMDI0AQAAAGKHnBgCAAAAEjAuMDI2NTkyMTM2NzA2ODI4NgAl8FATIhPeCAkj/RUiE94IIUNJUS5TR01PLklRX0JFVEFfMVlSX1JTUS4yLzYvMjAyNAEAAAACTAYAAgAAABEwLjEzNzkyOTUw</t>
  </si>
  <si>
    <t>MjQzNzkxNgAl8FATIhPeCJuc+xUiE94IIkNJUS5MUk1SLklRX0JFVEFfMVlSX1JTUS4yLzEyLzIwMjQBAAAAF2AdIgIAAAASMC4wNTYwNDkzMTY3NDIyMzQyACXwUBMiE94IvbD4FSIT3ggiQ0lRLkxDVFguSVFfQkVUQV8xWVJfUlNRLjIvMTMvMjAyNAEAAAAWZAAAAgAAABIwLjAyNDMzNTIyMjkyNzIyODMAJfBQEyIT3ghdR/YVIhPeCCFDSVEuQUlNLklRX0JFVEFfMVlSX1JTUS4yLzE0LzIwMjQBAAAAc6CuKAIAAAATMC4wMDc3OTM3NjUyMzI3MDcwNQCQrSATIhPeCNbX8xUiE94IIkNJUS5GQklPLklRX0JFVEFfMVlSX1JTUS4yLzE2LzIwMjQBAAAACfKtAwIAAAARMC4xMTE2NDIxNTQwNzA4NTQAQ9UgEyIT3gjW1/MVIhPeCCFDSVEuQVZYTC5JUV9CRVRBXzFZUl9SU1EuMS8yLzIwMjQBAAAAYzjPAAIAAAARMC4yOTI5MDE5MDc2NjkzMzMAYUvGEyIT3gjG7w4WIhPeCCFDSVEuRU5WQi5JUV9CRVRBXzFZUl9SU1EuMS8zLzIwMjQBAAAAAPvLJgIAAAARMC4wMjU4OTk5OTI4MjQ0NjQAo++UEyIT3gj1uAwWIhPeCCFDSVEuQ1ZBQy5JUV9CRVRBXzFZUl9SU1EuMS81LzIwMjQBAAAAfis9AQIAAAASMC4wODg0MDcyOTQ4NjM3NjA5AKPvlBMiE94IhtoLFiIT3gghQ0lRLkNMUkIuSVFfQkVUQV8xWVJfUlNRLjEvOC8yMDI0AQAAAPPuPQICAAAAEjAuMDY2MTE4NTk2NzAxNjMxMgCj75QTIhPeCOhxCRYiE94I</t>
  </si>
  <si>
    <t>IUNJUS5CUE1DLklRX0JFVEFfMVlSX1JTUS4xLzgvMjAyNAEAAAD6obwHAwAAAAAAo++UEyIT3ggi+AYWIhPeCCJDSVEuQ01ORC5JUV9CRVRBXzFZUl9SU1EuMS8xMC8yMDI0AQAAAD/2jyACAAAAFDAuMDAwMTI2NDQ4NTkxNDI2OTE3AKPvlBMiE94IIvgGFiIT3ggiQ0lRLlNSUFQuSVFfQkVUQV8xWVJfUlNRLjEvMTYvMjAyNAEAAABYiAUAAgAAABMwLjAwNDMzNjc3NTAzOTc2MDk2AHUbiBMiE94IMpAEFiIT3ggiQ0lRLkNSREYuSVFfQkVUQV8xWVJfUlNRLjEvMTcvMjAyNAEAAAC8OqcAAgAAABIwLjA3OTE3NTg5NjQzOTc5MjMAdRuIEyIT3givJwIWIhPeCCFDSVEuQVpOLklRX0JFVEFfMVlSX1JTUS4xLzIyLzIwMjQBAAAAhiMFAAIAAAARMC4xMTQxODc0ODkwMTU2MTgAdRuIEyIT3givJwIWIhPeCCJDSVEuVVJHTi5JUV9CRVRBXzFZUl9SU1EuMS8yNC8yMDI0AQAAANXSWA4CAAAAEjAuMDI1Njk4NjM4MjAzNjc0MQB1G4gTIhPeCIu5/xUiE94IIUNJUS5CTVkuSVFfQkVUQV8xWVJfUlNRLjEvMjcvMjAyNAEAAADGZAAAAgAAABEwLjEyODMxMTI2MzcyOTMyNAB1G4gTIhPeCHOS/xUiE94IIkNJUS5TQ1lYLklRX0JFVEFfMVlSX1JTUS4xLzMwLzIwMjQBAAAApzAMAAIAAAAQMC4xNjY4MTY2ODU1NzM3OQAl8FATIhPeCNzk/RUiE94IIkNJUS5LWUtPRi5JUV9CRVRBXzFZUl9SU1EuMi81LzIwMjQBAAAA</t>
  </si>
  <si>
    <t>y3UKAAMAAAAAACXwUBMiE94Iz4b8FSIT3gghQ0lRLlJFR04uSVFfQkVUQV8xWVJfUlNRLjIvNi8yMDI0AQAAALODAAACAAAAETAuMTI5NjAzNzE4MjQyODY1ACXwUBMiE94IvbD4FSIT3gghQ0lRLkFMVk8uSVFfQkVUQV8xWVJfUlNRLjEvMy8yMDI0AQAAAD2JUSkCAAAAEjAuMDMyODA3NTQzNjAxODUwMQCj75QTIhPeCBpEDhYiE94IIUNJUS5LTlNBLklRX0JFVEFfMVlSX1JTUS4xLzQvMjAyNAEAAAC1okUhAgAAABEwLjAyMjcxMDY1NTU2ODU0NgCj75QTIhPeCPW4DBYiE94IIUNJUS5QVEhTLklRX0JFVEFfMVlSX1JTUS4xLzUvMjAyNAEAAABr1n9rAwAAAAAAo++UEyIT3gjocQkWIhPeCCBDSVEuTlZPLklRX0JFVEFfMVlSX1JTUS4xLzgvMjAyNAEAAAB87wQAAwAAAAAAo++UEyIT3gjocQkWIhPeCCFDSVEuRUxUWC5JUV9CRVRBXzFZUl9SU1EuMS85LzIwMjQBAAAAQKrPDAIAAAASMC4wMjE4NTI1MDQ5NzUyMzE2AKPvlBMiE94IIvgGFiIT3ggiQ0lRLkFSUVQuSVFfQkVUQV8xWVJfUlNRLjEvMTUvMjAyNAEAAAAoYbkgAgAAABEwLjE4MzU1NTcxNzEzNzI3MgCj75QTIhPeCDKQBBYiE94IIkNJUS5FVkdOLklRX0JFVEFfMVlSX1JTUS4xLzE3LzIwMjQBAAAA+r2gKQIAAAASMC4wOTg3OTYyMzU3NTY2NzIyAHUbiBMiE94IMpAEFiIT3ggiQ0lRLlpMQUIuSVFfQkVUQV8xWVJfUlNRLjEvMTgvMjAyNAEA</t>
  </si>
  <si>
    <t>AAB3AikQAgAAABEwLjI0NjI5MzgzNDg5NDU4OQB1G4gTIhPeCK8nAhYiE94IIkNJUS5TRUVMLklRX0JFVEFfMVlSX1JTUS4xLzIyLzIwMjQBAAAA7DT9FwMAAAAAAHUbiBMiE94Ii7n/FSIT3ggjQ0lRLklQU0VZLklRX0JFVEFfMVlSX1JTUS4xLzI1LzIwMjQBAAAARhACAAMAAAAAAHUbiBMiE94Ii7n/FSIT3ggiQ0lRLlBBTEkuSVFfQkVUQV8xWVJfUlNRLjEvMjkvMjAyNAEAAAAZwJAOAgAAABEwLjEwMjk2MzcyMDY4MTQzMgB1G4gTIhPeCDD2/hUiE94IIUNJUS5FREFQLklRX0JFVEFfMVlSX1JTUS4yLzEvMjAyNAEAAAD0bAAAAgAAABIwLjAyMjk4NzYzMTYwMDE4ODYAJfBQEyIT3gjlYf0VIhPeCCFDSVEuVlJUWC5JUV9CRVRBXzFZUl9SU1EuMi81LzIwMjQBAAAAi40AAAIAAAARMC4xODAxNTgxMjY3MjI0NTMAJfBQEyIT3giFw/sVIhPeCCFDSVEuU0FWQS5JUV9CRVRBXzFZUl9SU1EuMi83LzIwMjQBAAAAL6QBAAIAAAASMC4wMzE1ODI2MjM5MDY1MTQzACXwUBMiE94IvbD4FSIT3ggiQ0lRLkFOVFguSVFfQkVUQV8xWVJfUlNRLjIvMTIvMjAyNAEAAADbsXMmAgAAABIwLjAyNjE2MzA5MjU2MDQxNjgAJfBQEyIT3gi9sPgVIhPeCCJDSVEuS0FMVi5JUV9CRVRBXzFZUl9SU1EuMi8xMy8yMDI0AQAAABCOJQgCAAAAETAuMTYzMjU5MTYxNTg2MTAzACXwUBMiE94IXUf2FSIT3ggiQ0lRLkFSVk4uSVFf</t>
  </si>
  <si>
    <t>QkVUQV8xWVJfUlNRLjIvMTQvMjAyNAEAAACAgnwOAgAAABEwLjE2NjU1NjAwNzU2OTU4OACQrSATIhPeCNbX8xUiE94IIUNJUS5KTkouSVFfQkVUQV8xWVJfUlNRLjIvMjAvMjAyNAEAAACdIQIAAgAAABEwLjEyNDIzOTE0OTI5MzkxMwBD1SATIhPeCDvt8hUiE94IIkNJUS5DTU5ELklRX0JFVEFfMVlSX1JTUS4yLzIzLzIwMjQBAAAAP/aPIAIAAAAUMC4wMDA0NjUyNTYwNzIyMTY5MzYAQ9UgEyIT3gidWfEVIhPeCCJDSVEuR0lMRC5JUV9CRVRBXzFZUl9SU1EuMi8yNi8yMDI0AQAAAEpxAAACAAAAEjAuMDgxODc0NzU1ODcxMjk2OQBD1SATIhPeCEH67xUiE94IIkNJUS5BVklSLklRX0JFVEFfMVlSX1JTUS4yLzI4LzIwMjQBAAAAWcoRDwIAAAASMC4wMzY3NzQxMTMyOTAzNzA2APu4FRMiE94IBmTuFSIT3gghQ0lRLktSQlAuSVFfQkVUQV8xWVJfUlNRLjMvMS8yMDI0AQAAAEC5fycDAAAAAAD7uBUTIhPeCN/o7BUiE94IIUNJUS5QQ1ZYLklRX0JFVEFfMVlSX1JTUS4zLzQvMjAyNAEAAAD6E1QSAgAAABIwLjAyMzc5NjQ4OTUzODEwODIA+7gVEyIT3ghfhOsVIhPeCCFDSVEuTEJQSC5JUV9CRVRBXzFZUl9SU1EuMS8yLzIwMjQFAAAAAAAAAAgAAAAUKEludmFsaWQgSWRlbnRpZmllcilhS8YTIhPeCFY8DxYiE94IIUNJUS5TTFJYLklRX0JFVEFfMVlSX1JTUS4xLzMvMjAyNAEAAADQ36sTAgAAABQwLjAw</t>
  </si>
  <si>
    <t>MDI3OTE1MjUyNTY1MjAzMQCj75QTIhPeCPW4DBYiE94IIUNJUS5BUExULklRX0JFVEFfMVlSX1JTUS4xLzQvMjAyNAEAAAB7jFQhAgAAABIwLjAyMTg0ODAyMDU2MjYwNjgAo++UEyIT3giG2gsWIhPeCCFDSVEuQklPUi5JUV9CRVRBXzFZUl9SU1EuMS84LzIwMjQBAAAADu/+AgMAAAAAAKPvlBMiE94I6HEJFiIT3gghQ0lRLkZBVEUuSVFfQkVUQV8xWVJfUlNRLjEvOC8yMDI0AQAAAGgxVwICAAAAETAuMzk2OTM3NzczNjkxMTIzAKPvlBMiE94IIvgGFiIT3ggiQ0lRLk1SU04uSVFfQkVUQV8xWVJfUlNRLjEvMTAvMjAyNAEAAADmxRgAAgAAABIwLjAxMzI0MDU1MjY4MDc4MzkAo++UEyIT3ggi+AYWIhPeCCJDSVEuQ1JTUC5JUV9CRVRBXzFZUl9SU1EuMS8xNi8yMDI0AQAAAMgvpg8CAAAAETAuMzU4NTQ3NzcyNDA5Mjc5AHUbiBMiE94IMpAEFiIT3ggiQ0lRLkNOU1AuSVFfQkVUQV8xWVJfUlNRLjEvMTcvMjAyNAEAAABZJCMhAgAAABIwLjAxMDc1Nzg3OTg5NTE4ODUAdRuIEyIT3givJwIWIhPeCCJDSVEuUkNVUy5JUV9CRVRBXzFZUl9SU1EuMS8xOS8yMDI0AQAAADS/ZRMCAAAAETAuMDk4Nzk5MTE4OTcxMTQ4AHUbiBMiE94IrycCFiIT3ggiQ0lRLlZOREEuSVFfQkVUQV8xWVJfUlNRLjEvMjMvMjAyNAEAAAAjh3YBAgAAABIwLjAxODExNzUwODIyMDc1MzQAdRuIEyIT3giLuf8VIhPeCCJDSVEuQ1JC</t>
  </si>
  <si>
    <t>UC5JUV9CRVRBXzFZUl9SU1EuMS8yNi8yMDI0AQAAACRvJA8CAAAAEjAuMDE4MzY5ODQ3MzI3OTIxNQB1G4gTIhPeCIu5/xUiE94IIkNJUS5LVVJBLklRX0JFVEFfMVlSX1JTUS4xLzMwLzIwMjQBAAAAuMvaEAIAAAASMC4wODUyNjQwMTI4Nzg5MzM5ACXwUBMiE94I4jL+FSIT3gghQ0lRLkJSVFguSVFfQkVUQV8xWVJfUlNRLjIvNC8yMDI0AQAAAIA0eQMCAAAAEjAuMDQ0Mzg2MTE5NzM1MjA1MwAl8FATIhPeCAyu/BUiE94IIUNJUS5SQVJFLklRX0JFVEFfMVlSX1JTUS4yLzYvMjAyNAEAAADxegAHAgAAABEwLjIwOTA1NDY0MjcwODkyNgAl8FATIhPeCB4Z+xUiE94IIENJUS5BSU0uSVFfQkVUQV8xWVJfUlNRLjIvOC8yMDI0AQAAAHOgrigCAAAAEzAuMDA1OTE2MTgxMDM5MzUxNjIAJfBQEyIT3gi9sPgVIhPeCCJDSVEuSkFHWC5JUV9CRVRBXzFZUl9SU1EuMi8xMi8yMDI0AQAAAIy5wwACAAAAFDAuMDAwMjYyMTQyNDIwOTU4MTg5ACXwUBMiE94IXUf2FSIT3ggiQ0lRLlBCWUkuSVFfQkVUQV8xWVJfUlNRLjIvMTMvMjAyNAEAAAACaqwHAgAAABAwLjE3NTg1MDY2MTc5MTI3ACXwUBMiE94IXUf2FSIT3ggiQ0lRLkFNUEUuSVFfQkVUQV8xWVJfUlNRLjIvMTQvMjAyNAEAAAD5qQsFAgAAABMwLjAwODc2ODkwMjY5NjY3ODM2AJCtIBMiE94I1tfzFSIT3gghQ0lRLkFaTi5JUV9CRVRBXzFZUl9SU1EuMi8x</t>
  </si>
  <si>
    <t>OS8yMDI0AQAAAIYjBQACAAAAETAuMjAzOTg2MTc1ODc4MjA5AEPVIBMiE94Ij7DzFSIT3gghQ0lRLkFHSU8uSVFfQkVUQV8xWVJfUlNRLjEvMy8yMDI0AQAAAAskxgICAAAAETAuNDIzMzU0Nzc2MDk3MjQ1AGFLxhMiE94IyXoOFiIT3gghQ0lRLkFMRFguSVFfQkVUQV8xWVJfUlNRLjEvNC8yMDI0AQAAALdD0wICAAAAETAuMjUwMDM5MTU0NjU4MzMxAKPvlBMiE94I9bgMFiIT3gghQ0lRLk5PVk4uSVFfQkVUQV8xWVJfUlNRLjEvNS8yMDI0AQAAAFnWBQACAAAAEjAuMDM1NTg3ODQ3MjYyOTY3NwCj75QTIhPeCOhxCRYiE94IIUNJUS5BQkJWLklRX0JFVEFfMVlSX1JTUS4xLzgvMjAyNAEAAAAKAXUIAgAAABIwLjAxODE2MTEzNjk1MjMyNTIAo++UEyIT3gjocQkWIhPeCCFDSVEuQUZNRC5JUV9CRVRBXzFZUl9SU1EuMS84LzIwMjQBAAAA2/cMAAMAAAAAAKPvlBMiE94IIvgGFiIT3ggiQ0lRLlNBTkEuSVFfQkVUQV8xWVJfUlNRLjEvMTAvMjAyNAEAAAAxSJojAgAAABEwLjE5MTgwNTcwMjE3NTI5MgCj75QTIhPeCDKQBBYiE94IIkNJUS5BREFHLklRX0JFVEFfMVlSX1JTUS4xLzE2LzIwMjQBAAAAEAYLBwIAAAASMC4wNDIyOTYwODY1OTkyOTE3AHUbiBMiE94IMpAEFiIT3ggiQ0lRLkNIUlMuSVFfQkVUQV8xWVJfUlNRLjEvMTgvMjAyNAEAAADHelUMAgAAABIwLjA4Njc2NDM2NTYwNTUzNDEAdRuIEyIT</t>
  </si>
  <si>
    <t>3givJwIWIhPeCCJDSVEuQUdFTi5JUV9CRVRBXzFZUl9SU1EuMS8yMi8yMDI0AQAAAGRBBgACAAAAEjAuMDc4NTY0MjA4OTY4ODQyMwB1G4gTIhPeCIu5/xUiE94IIkNJUS5DWVRLLklRX0JFVEFfMVlSX1JTUS4xLzI1LzIwMjQBAAAAs2oAAAIAAAASMC4wMjExNzI2ODIyOTc1MTI3AHUbiBMiE94Ii7n/FSIT3ggiQ0lRLkFDWFAuSVFfQkVUQV8xWVJfUlNRLjEvMjkvMjAyNAEAAADOzEIhAgAAABMwLjAwODY1NjUzNzcwNTE3MDY0AHUbiBMiE94IUR3/FSIT3gghQ0lRLk5WTy5JUV9CRVRBXzFZUl9SU1EuMS8zMS8yMDI0AQAAAHzvBAADAAAAAAAl8FATIhPeCOVh/RUiE94IIkNJUS5DU0xMWS5JUV9CRVRBXzFZUl9SU1EuMi81LzIwMjQBAAAAX3MNAAMAAAAAACXwUBMiE94IjxH8FSIT3gghQ0lRLkFMRUMuSVFfQkVUQV8xWVJfUlNRLjIvNy8yMDI0AQAAAGtA2w4CAAAAEjAuMDEyMDE3MTQ1NjIzNDM3NQAl8FATIhPeCL2w+BUiE94IIUNJUS5OUlhQLklRX0JFVEFfMVlSX1JTUS4yLzkvMjAyNAEAAAAVegkTAgAAABIwLjAyOTUxOTUzMDcyNjExMTUAJfBQEyIT3gi9sPgVIhPeCCJDSVEuQk1STi5JUV9CRVRBXzFZUl9SU1EuMi8xMi8yMDI0AQAAAAVkAAACAAAAETAuMjAwOTA4NDQxNDA4NzMxACXwUBMiE94IXUf2FSIT3ggiQ0lRLkRUSUwuSVFfQkVUQV8xWVJfUlNRLjIvMTQvMjAyNAEAAADo5XECAgAA</t>
  </si>
  <si>
    <t>ABAwLjI0MjUxNTYzMzA3MjQzAJCtIBMiE94I1tfzFSIT3ggiQ0lRLk1OS0QuSVFfQkVUQV8xWVJfUlNRLjIvMTUvMjAyNAEAAABmpY0AAgAAABIwLjA1MjE2MDkwNzU2MDY0NzQAQ9UgEyIT3gjW1/MVIhPeCCJDSVEuQVJWTi5JUV9CRVRBXzFZUl9SU1EuMi8yMC8yMDI0AQAAAICCfA4CAAAAETAuMTY1Njk1MDk4OTU5NDM1AEPVIBMiE94INhTzFSIT3ggiQ0lRLlJFR04uSVFfQkVUQV8xWVJfUlNRLjIvMjgvMjAyNAEAAACzgwAAAgAAABEwLjEzODk0ODEyODA0NTczOQD7uBUTIhPeCAiy7hUiE94IIUNJUS5NVEVNLklRX0JFVEFfMVlSX1JTUS4zLzQvMjAyNAEAAACZm6kBAwAAAAAA+7gVEyIT3gjUq+sVIhPeCCFDSVEuR0xZQy5JUV9CRVRBXzFZUl9SU1EuMS8zLzIwMjQBAAAAOQdXAAMAAAAAAKPvlBMiE94I9bgMFiIT3gghQ0lRLklNTVAuSVFfQkVUQV8xWVJfUlNRLjEvNC8yMDI0AQAAABVCZgADAAAAAACj75QTIhPeCIbaCxYiE94IIUNJUS5BQlNJLklRX0JFVEFfMVlSX1JTUS4xLzgvMjAyNAEAAADeDNsPAgAAABEwLjIyNDQ4NDI1NDQ5OTY1NACj75QTIhPeCOhxCRYiE94IIENJUS5OVlMuSVFfQkVUQV8xWVJfUlNRLjEvOC8yMDI0AQAAAKm16A8CAAAAEjAuMDIyNjcwNjU1Nzc1NjY0NQCj75QTIhPeCCL4BhYiE94IIENJUS5BTEMuSVFfQkVUQV8xWVJfUlNRLjEvOS8yMDI0AQAAANNs6goCAAAA</t>
  </si>
  <si>
    <t>FDAuMDAwOTQ0OTI5MDcxNzkyOTY0AKPvlBMiE94IIvgGFiIT3ggiQ0lRLkhBTE8uSVFfQkVUQV8xWVJfUlNRLjEvMTYvMjAyNAEAAABGBXkAAgAAABEwLjE1NjIwMzQzMjAxNzU5MgB1G4gTIhPeCDKQBBYiE94IIkNJUS5MU1RBLklRX0JFVEFfMVlSX1JTUS4xLzE3LzIwMjQBAAAAYCkFAAIAAAASMC4wNjMzNjI4MTg5MzY0NTc2AHUbiBMiE94IrycCFiIT3ggiQ0lRLkFSVEwuSVFfQkVUQV8xWVJfUlNRLjEvMjMvMjAyNAEAAADPv1YQAgAAABIwLjAxMzYwOTUwNTQ5OTYyNzUAdRuIEyIT3giLuf8VIhPeCCFDSVEuU05ZLklRX0JFVEFfMVlSX1JTUS4xLzI1LzIwMjQBAAAAGnwKAAMAAAAAAHUbiBMiE94Ii7n/FSIT3gghQ0lRLkFJTS5JUV9CRVRBXzFZUl9SU1EuMS8yMi8yMDI0AQAAAHOgrigCAAAAEjAuMDA4MTY5NzgxMzQxNTgxNgB1G4gTIhPeCK8nAhYiE94IIkNJUS5OTlZDLklRX0JFVEFfMVlSX1JTUS4xLzI5LzIwMjQBAAAAj8JYAQIAAAASMC4wMTY3MjQzOTg0NzE0ODE1AHUbiBMiE94IXUT/FSIT3ggiQ0lRLlRBUlMuSVFfQkVUQV8xWVJfUlNRLjIvMjcvMjAyNAEAAAAxEcQmAgAAABIwLjA1MzIxNzkyMDcwNjcyNjYAQ9UgEyIT3giZq+8VIhPeCCJDSVEuSVhITC5JUV9CRVRBXzFZUl9SU1EuMi8yOC8yMDI0AQAAADukYRMCAAAAEjAuMDE0NTQ1MDY3NTk3MDgzMwBD1SATIhPeCGwn7xUiE94I</t>
  </si>
  <si>
    <t>IkNJUS5WQU5JLklRX0JFVEFfMVlSX1JTUS4yLzI4LzIwMjQBAAAAUnOMDwIAAAAUMC4wMDA1NzE4Mzg1OTg3NTMyODkA+7gVEyIT3gjViu4VIhPeCCFDSVEuTktUUi5JUV9CRVRBXzFZUl9SU1EuMy81LzIwMjQBAAAA6XQAAAIAAAASMC4wMjkwOTQxMzQ4MTk1NjAzAPu4FRMiE94Ij/nnFSIT3gggQ0lRLkdTSy5JUV9CRVRBXzFZUl9SU1EuMy82LzIwMjQBAAAA8jMEAAIAAAATMC4wMDEwMjgwNjY3Nzg2NDYxOQD7uBUTIhPeCI/55xUiE94IIUNJUS5BQk9TLklRX0JFVEFfMVlSX1JTUS4zLzgvMjAyNAEAAACBTYIAAgAAABIwLjA1OTg1MjU5Mjk0NzY3MjcACLnjEiIT3givkeUVIhPeCCFDSVEuTlZTLklRX0JFVEFfMVlSX1JTUS4zLzEyLzIwMjQBAAAAqbXoDwIAAAATMC4wMDIwMjY1MDcxNjk2NzMyNQAIueMSIhPeCMoo4xUiE94IIkNJUS5JTU5OLklRX0JFVEFfMVlSX1JTUS4zLzEzLzIwMjQBAAAALvkDAAIAAAATMC4wMDc4MjY2OTQwNjI2MDExMgAIueMSIhPeCATB4BUiE94IIkNJUS5MRUdOLklRX0JFVEFfMVlSX1JTUS4zLzE1LzIwMjQBAAAAbCPzIAIAAAASMC4wNTA5NDk5NTg3MzU4MTU0AAi54xIiE94IBMHgFSIT3ggiQ0lRLkNFUlMuSVFfQkVUQV8xWVJfUlNRLjMvMTkvMjAyNAEAAADeZgAAAgAAAA8wLjM2MTc5NTczMDEyNjgAkUi2EiIT3gjgwN4VIhPeCCJDSVEuVEZGUC5JUV9CRVRBXzFZ</t>
  </si>
  <si>
    <t>Ul9SU1EuMy8yMC8yMDI0AQAAAOo0CwADAAAAAACRSLYSIhPeCOGO3RUiE94IIkNJUS5TTFJYLklRX0JFVEFfMVlSX1JTUS4zLzIyLzIwMjQBAAAA0N+rEwIAAAATMC4wMDk3MzQ5Mjg0MTMwNzQ5OACRSLYSIhPeCOYb3BUiE94IIkNJUS5TVE9LLklRX0JFVEFfMVlSX1JTUS4zLzI1LzIwMjQBAAAAHogBDwIAAAASMC4wOTk4MDQ3Njk0MTAwOTM3AJFIthIiE94I1rPZFSIT3ggiQ0lRLkFSR1guSVFfQkVUQV8xWVJfUlNRLjMvMjcvMjAyNAEAAAC94rMDAgAAABQwLjAwMDkxNTg3MzU2NzUyNTg3NACRSLYSIhPeCDFM1xUiE94II0NJUS5DU0xMWS5JUV9CRVRBXzFZUl9SU1EuMy8yNy8yMDI0AQAAAF9zDQADAAAAAACRSLYSIhPeCDFM1xUiE94IIUNJUS5CTVkuSVFfQkVUQV8xWVJfUlNRLjMvMjgvMjAyNAEAAADGZAAAAgAAABIwLjA1NDIwNzQ3NTM0MDIyNzkApZmsEiIT3ghp49QVIhPeCCFDSVEuRkdFTi5JUV9CRVRBXzFZUl9SU1EuNC8zLzIwMjQBAAAARG8AAAIAAAASMC4wMzY3NzQ2ODgyNjc4MzQ4AKWZrBIiE94IaHHSFSIT3gghQ0lRLkNBREwuSVFfQkVUQV8xWVJfUlNRLjQvNC8yMDI0AQAAAKtaOgICAAAAFDAuMDAwNTk0NDQzMDkwMjAwODg3AKWZrBIiE94IfgfQFSIT3ggiQ0lRLkVQSVguSVFfQkVUQV8xWVJfUlNRLjEvMjUvMjAyNAEAAABMsWgQAwAAAAAAdRuIEyIT3giLuf8VIhPeCCJDSVEu</t>
  </si>
  <si>
    <t>Uk9JVi5JUV9CRVRBXzFZUl9SU1EuMi8xMy8yMDI0AQAAADk4zxACAAAAEjAuMDkzMDY2ODI1OTI5NzcxNwAl8FATIhPeCF1H9hUiE94IIkNJUS5DQVNJLklRX0JFVEFfMVlSX1JTUS4yLzE2LzIwMjQBAAAAJWoFAAIAAAATMC4wMDIzNzQwNTU1Nzg5NjcyMgBD1SATIhPeCNbX8xUiE94IIUNJUS5IQ00uSVFfQkVUQV8xWVJfUlNRLjIvMjgvMjAyNAEAAAC7r5YBAgAAABEwLjExOTczMzQ4OTg4NjI5OABD1SATIhPeCALZ7hUiE94IIkNJUS5LQU5ULklRX0JFVEFfMVlSX1JTUS4yLzI5LzIwMjQFAAAAAAAAAAgAAAAUKEludmFsaWQgSWRlbnRpZmllcin7uBUTIhPeCNI87hUiE94IIkNJUS5JUldELklRX0JFVEFfMVlSX1JTUS4yLzI5LzIwMjQBAAAACnsAAAIAAAASMC4wNDkzODE5ODc5MDc4MjI1APu4FRMiE94I5dLtFSIT3gggQ0lRLkdTSy5JUV9CRVRBXzFZUl9SU1EuMy80LzIwMjQBAAAA8jMEAAIAAAATMC4wMDEwMjgwNjY3Nzg2NDYxOQD7uBUTIhPeCFld6xUiE94IIUNJUS5SR05YLklRX0JFVEFfMVlSX1JTUS4zLzUvMjAyNAEAAABUb8kHAgAAABEwLjExMzcyNDM2NTUxNjA2NQD7uBUTIhPeCESa6hUiE94IIUNJUS5NRFdELklRX0JFVEFfMVlSX1JTUS4xLzkvMjAyNAEAAABB+BcAAgAAABIwLjA5MTE0MTA3MzA1NTE0ODEAo++UEyIT3ggi+AYWIhPeCCFDSVEuVEFLLklRX0JFVEFfMVlSX1JTUS4x</t>
  </si>
  <si>
    <t>LzI5LzIwMjQBAAAALFgNAAMAAAAAAHUbiBMiE94IIs/+FSIT3ggiQ0lRLklUUk0uSVFfQkVUQV8xWVJfUlNRLjEvMzAvMjAyNAEAAACQsvkSAgAAABEwLjExNDI4MTA3MTA4NTc5MwAl8FATIhPeCNzk/RUiE94IIUNJUS5MUURBLklRX0JFVEFfMVlSX1JTUS4yLzIvMjAyNAEAAACLUFsBAgAAABIwLjAzMTAwNDE0MDQyNDg1NDUAJfBQEyIT3gjv+/wVIhPeCCFDSVEuVEhBUi5JUV9CRVRBXzFZUl9SU1EuMi81LzIwMjQBAAAAz5aRHwIAAAATMC4wMDI2NjA5NzIzOTYwODQzNgAl8FATIhPeCKo4/BUiE94IIUNJUS5BVEhBLklRX0JFVEFfMVlSX1JTUS4yLzgvMjAyNAEAAAAcEdsPAgAAABEwLjA3MTg5Mzc5MTQxNTk2MgAl8FATIhPeCL2w+BUiE94IIkNJUS5DQURMLklRX0JFVEFfMVlSX1JTUS4yLzEzLzIwMjQBAAAAq1o6AgIAAAAUMC4wMDAyNzMzOTIxNjQ1MjU5ODgAJfBQEyIT3ghdR/YVIhPeCCJDSVEuTUFDSy5JUV9CRVRBXzFZUl9SU1EuMi8xMy8yMDI0AQAAANFrGQADAAAAAAAl8FATIhPeCF1H9hUiE94IIkNJUS5DUkRMLklRX0JFVEFfMVlSX1JTUS4yLzE1LzIwMjQBAAAAXXN8IQIAAAASMC4wMDg1NzIxODI1MTkyODg0AEPVIBMiE94I1tfzFSIT3ggiQ0lRLklNUlguSVFfQkVUQV8xWVJfUlNRLjIvMjAvMjAyNAEAAADVDmESAgAAABIwLjAyNjk2MTkyMzk4NTA0NzkAQ9UgEyIT3gjLYvMVIhPe</t>
  </si>
  <si>
    <t>CCJDSVEuRU5MVi5JUV9CRVRBXzFZUl9SU1EuMi8yMS8yMDI0AQAAADvoAQUCAAAAEjAuMDIxNzcxNDAzOTUzMzgyNQBD1SATIhPeCFif8hUiE94IIkNJUS5QSFZTLklRX0JFVEFfMVlSX1JTUS4yLzIyLzIwMjQBAAAAcIsEGAIAAAARMC4xNDg4ODk4NzY2MjUxMzcAQ9UgEyIT3gi7AvIVIhPeCCJDSVEuQ09HVC5JUV9CRVRBXzFZUl9SU1EuMi8yMy8yMDI0AQAAAGnURCgCAAAAEjAuMDE1MzIzNjIzODEzMzE0MgBD1SATIhPeCJON8RUiE94IIkNJUS5SWVRNLklRX0JFVEFfMVlSX1JTUS4yLzI5LzIwMjQBAAAAGMltEgIAAAARMC4xNDk1Mzg1NTUxNzAyNDQA+7gVEyIT3ggBXu0VIhPeCCFDSVEuQUtSTy5JUV9CRVRBXzFZUl9SU1EuMy80LzIwMjQBAAAAOEoVIgIAAAARMC4xMDUyMjg0MDc3NTgwNjYA+7gVEyIT3ghETOwVIhPeCCFDSVEuR0lMRC5JUV9CRVRBXzFZUl9SU1EuMy81LzIwMjQBAAAASnEAAAIAAAASMC4wNzkxMTYyMDUzNjE4Mzg5APu4FRMiE94Ij/nnFSIT3gghQ0lRLktZVFguSVFfQkVUQV8xWVJfUlNRLjMvOC8yMDI0AQAAAGGtyiYCAAAAETAuNDU2MTI1MjcxNTM0NDI2AAi54xIiE94Ir5HlFSIT3gghQ0lRLkxMWS5JUV9CRVRBXzFZUl9SU1EuMy8xMS8yMDI0AQAAABtbBAACAAAAEzAuMDA0MjMyNTk1MzQ4MzE2OTMACLnjEiIT3gjKKOMVIhPeCCxDSVEuS1lLT0YuSVFfU0hPUlRfSU5U</t>
  </si>
  <si>
    <t>RVJFU1RfUEVSQ0VOVC4yLzUvMjAyNAEAAADLdQoAAwAAAAAAVhdREyIT3gjPhvwVIhPeCCFDSVEuUkFOSS5JUV9WQUxVRV9UUkFERUQuMi81LzIwMjQBAAAAGyBzDgIAAAAIMC42NjcwNzgAVhdREyIT3gj2X/wVIhPeCCtDSVEuUkVHTi5JUV9TSE9SVF9JTlRFUkVTVF9QRVJDRU5ULjIvNi8yMDI0AQAAALODAAACAAAAETAuOTkzMjMyMDU2ODc3MTY1AJI9URMiE94IvbD4FSIT3gghQ0lRLlJHTlguSVFfVkFMVUVfVFJBREVELjIvNy8yMDI0AQAAAFRvyQcCAAAACTI2Ljg0NDc3MwCSPVETIhPeCL2w+BUiE94IK0NJUS5BTUxYLklRX1NIT1JUX0lOVEVSRVNUX1BFUkNFTlQuMi84LzIwMjQBAAAABqDnEgIAAAAQOC40ODQ3ODMyNTM5Njg3OACSPVETIhPeCL2w+BUiE94IIENJUS5UQUsuSVFfVkFMVUVfVFJBREVELjIvOS8yMDI0AQAAACxYDQACAAAACTE3LjE3OTc0OACSPVETIhPeCL2w+BUiE94ILENJUS5UTlhQLklRX1NIT1JUX0lOVEVSRVNUX1BFUkNFTlQuMi8xMi8yMDI0AQAAAGserQYCAAAAEDEuMDg4ODUzNTk1MDIxMDIA7WNREyIT3ghdR/YVIhPeCCJDSVEuS1RSQS5JUV9WQUxVRV9UUkFERUQuMi8xMi8yMDI0BQAAAAAAAAAIAAAAFChJbnZhbGlkIElkZW50aWZpZXIp7WNREyIT3ghdR/YVIhPeCCxDSVEuTUFDSy5JUV9TSE9SVF9JTlRFUkVTVF9QRVJDRU5ULjIvMTMvMjAyNAEAAADRaxkAAwAA</t>
  </si>
  <si>
    <t>AAAA7WNREyIT3ghdR/YVIhPeCCFDSVEuVEFLLklRX1ZBTFVFX1RSQURFRC4yLzEzLzIwMjQBAAAALFgNAAIAAAAJMzAuMDM4ODU4AEPVIBMiE94IXUf2FSIT3ggsQ0lRLlJQVFguSVFfU0hPUlRfSU5URVJFU1RfUEVSQ0VOVC4yLzE1LzIwMjQBAAAA57/wGQIAAAAONC4wODkxOTM2MTgwNTMAlfwgEyIT3gjW1/MVIhPeCCJDSVEuSU9OUy5JUV9WQUxVRV9UUkFERUQuMi8xNS8yMDI0AQAAAFx2AAACAAAACjEzMS45NDY5MTYAlfwgEyIT3gjW1/MVIhPeCCtDSVEuQUxWTy5JUV9TSE9SVF9JTlRFUkVTVF9QRVJDRU5ULjEvMy8yMDI0AQAAAD2JUSkCAAAAEjAuMDI3NTYyNjM5NDg0ODU1OQCj75QTIhPeCBpEDhYiE94IIENJUS5EWU4uSVFfVkFMVUVfVFJBREVELjEvMy8yMDI0AQAAAAIGSCQCAAAACjMwOS4yMzc1MTEAAhmVEyIT3ggaRA4WIhPeCCtDSVEuS05TQS5JUV9TSE9SVF9JTlRFUkVTVF9QRVJDRU5ULjEvNC8yMDI0AQAAALWiRSECAAAAEDQuNjU2ODkwMzIxODg2MTIARUGVEyIT3gj1uAwWIhPeCCFDSVEuU05HWC5JUV9WQUxVRV9UUkFERUQuMS80LzIwMjQBAAAAq20AAAIAAAAIMi4xNTQ1NjkARUGVEyIT3giG2gsWIhPeCCtDSVEuUFRIUy5JUV9TSE9SVF9JTlRFUkVTVF9QRVJDRU5ULjEvNS8yMDI0AQAAAGvWf2sDAAAAAABSaJUTIhPeCOhxCRYiE94IIUNJUS5WSU5DLklRX1ZBTFVFX1RSQURF</t>
  </si>
  <si>
    <t>RC4xLzgvMjAyNAEAAADkNSMpAgAAAAkzMS42OTMxMTQAUmiVEyIT3gjocQkWIhPeCCpDSVEuTlZPLklRX1NIT1JUX0lOVEVSRVNUX1BFUkNFTlQuMS84LzIwMjQBAAAAfO8EAAMAAAAAAB+PlRMiE94I6HEJFiIT3gghQ0lRLk5SSVguSVFfVkFMVUVfVFJBREVELjEvOC8yMDI0AQAAAEwqVQwCAAAABzcuMzM3OTUAH4+VEyIT3gjocQkWIhPeCCtDSVEuRUxUWC5JUV9TSE9SVF9JTlRFUkVTVF9QRVJDRU5ULjEvOS8yMDI0AQAAAECqzwwCAAAAEjAuMDcwNTUyMjE5NzI5ODIzNgAztpUTIhPeCCL4BhYiE94IIUNJUS5WQ0VMLklRX1ZBTFVFX1RSQURFRC4xLzkvMjAyNAEAAABZXgAAAgAAAAk0MS45NzYwMjYAo9mVEyIT3ggi+AYWIhPeCCxDSVEuQVJRVC5JUV9TSE9SVF9JTlRFUkVTVF9QRVJDRU5ULjEvMTUvMjAyNAEAAAAoYbkgAgAAABAyMS4zODQ3MDA2NTgzMDUxAIYElhMiE94IMpAEFiIT3ggiQ0lRLkNMUkIuSVFfVkFMVUVfVFJBREVELjEvMTYvMjAyNAEAAADz7j0CAgAAAAc5LjU0ODIzAIYElhMiE94IMpAEFiIT3ggsQ0lRLkVWR04uSVFfU0hPUlRfSU5URVJFU1RfUEVSQ0VOVC4xLzE3LzIwMjQBAAAA+r2gKQMAAAAAAHUbiBMiE94IMpAEFiIT3ggiQ0lRLktBTlQuSVFfVkFMVUVfVFJBREVELjEvMTcvMjAyNAUAAAAAAAAACAAAABQoSW52YWxpZCBJZGVudGlmaWVyKXUbiBMiE94IMpAEFiIT3ggs</t>
  </si>
  <si>
    <t>Q0lRLlpMQUIuSVFfU0hPUlRfSU5URVJFU1RfUEVSQ0VOVC4xLzE4LzIwMjQBAAAAdwIpEAIAAAAQNC4yNTQwNjMyNTc4NjExOQB1G4gTIhPeCK8nAhYiE94IIUNJUS5BWk4uSVFfVkFMVUVfVFJBREVELjEvMTkvMjAyNAEAAACGIwUAAgAAAAoyNjkuOTI5NzE0AHUbiBMiE94IrycCFiIT3ggsQ0lRLlNFRUwuSVFfU0hPUlRfSU5URVJFU1RfUEVSQ0VOVC4xLzIyLzIwMjQBAAAA7DT9FwMAAAAAAHUbiBMiE94Ii7n/FSIT3ggiQ0lRLlNYVFAuSVFfVkFMVUVfVFJBREVELjEvMjIvMjAyNAEAAAB8QWsOAgAAAAgwLjM0NTExNQB1G4gTIhPeCIu5/xUiE94ILUNJUS5JUFNFWS5JUV9TSE9SVF9JTlRFUkVTVF9QRVJDRU5ULjEvMjUvMjAyNAEAAABGEAIAAwAAAAAASAyKEyIT3giLuf8VIhPeCCJDSVEuUENTQS5JUV9WQUxVRV9UUkFERUQuMS8yNS8yMDI0AQAAAJscpx8CAAAACjM3Ny41MDg5ODIASAyKEyIT3giLuf8VIhPeCCxDSVEuUEFMSS5JUV9TSE9SVF9JTlRFUkVTVF9QRVJDRU5ULjEvMjkvMjAyNAEAAAAZwJAOAgAAABAxLjM5MDkwOTYyNDcxNzIxAEgMihMiE94IMPb+FSIT3ggiQ0lRLkxJWFQuSVFfVkFMVUVfVFJBREVELjEvMjkvMjAyNAEAAACsRb0BAgAAAAgwLjA4MjYxOABIDIoTIhPeCGOo/hUiE94IK0NJUS5FREFQLklRX1NIT1JUX0lOVEVSRVNUX1BFUkNFTlQuMi8xLzIwMjQBAAAA9GwAAAIA</t>
  </si>
  <si>
    <t>AAARMC4xODUwMjUzOTIwMTAxMDkAVhdREyIT3gjlYf0VIhPeCCFDSVEuQkJJTy5JUV9WQUxVRV9UUkFERUQuMi8yLzIwMjQBAAAAYoecGAIAAAAJNTYuNDMxODY5AFYXURMiE94ICSP9FSIT3ggrQ0lRLlZSVFguSVFfU0hPUlRfSU5URVJFU1RfUEVSQ0VOVC4yLzUvMjAyNAEAAACLjQAAAgAAABAxLjMwMTUxMTAwNTg1NTk0AFYXURMiE94IhcP7FSIT3gghQ0lRLlNHTU8uSVFfVkFMVUVfVFJBREVELjIvNi8yMDI0AQAAAAJMBgACAAAACDEuMzIxODc5AFYXURMiE94Im5z7FSIT3ggrQ0lRLlNBVkEuSVFfU0hPUlRfSU5URVJFU1RfUEVSQ0VOVC4yLzcvMjAyNAEAAAAvpAEAAgAAABAzMS41NjYzMjQ3MTIyNzM2AJI9URMiE94IvbD4FSIT3ggrQ0lRLkxCUEguSVFfU0hPUlRfSU5URVJFU1RfUEVSQ0VOVC4xLzIvMjAyNAUAAAAAAAAACAAAABQoSW52YWxpZCBJZGVudGlmaWVyKe8PxxMiE94IVjwPFiIT3gghQ0lRLkFWWEwuSVFfVkFMVUVfVFJBREVELjEvMi8yMDI0AQAAAGM4zwACAAAACTU2LjAwNTczNADvD8cTIhPeCMbvDhYiE94IK0NJUS5TTFJYLklRX1NIT1JUX0lOVEVSRVNUX1BFUkNFTlQuMS8zLzIwMjQBAAAA0N+rEwIAAAARMC4xNzY5MjQ3Mjg4MjM4ODgAAhmVEyIT3gj1uAwWIhPeCCFDSVEuRU5WQi5JUV9WQUxVRV9UUkFERUQuMS8zLzIwMjQBAAAAAPvLJgIAAAAIMC4wNzc2NTYAAhmVEyIT</t>
  </si>
  <si>
    <t>3gj1uAwWIhPeCCtDSVEuQVBMVC5JUV9TSE9SVF9JTlRFUkVTVF9QRVJDRU5ULjEvNC8yMDI0AQAAAHuMVCECAAAAEDIuNzc1ODU2NTQ4Njc1OTQARUGVEyIT3giG2gsWIhPeCCFDSVEuQ1ZBQy5JUV9WQUxVRV9UUkFERUQuMS81LzIwMjQBAAAAfis9AQIAAAAIOC44MTkyOTcARUGVEyIT3giG2gsWIhPeCCtDSVEuQklPUi5JUV9TSE9SVF9JTlRFUkVTVF9QRVJDRU5ULjEvOC8yMDI0AQAAAA7v/gIDAAAAAABSaJUTIhPeCOhxCRYiE94IIUNJUS5DTFJCLklRX1ZBTFVFX1RSQURFRC4xLzgvMjAyNAEAAADz7j0CAgAAAAk5OS4yMTYyOTEAH4+VEyIT3gjocQkWIhPeCCtDSVEuRkFURS5JUV9TSE9SVF9JTlRFUkVTVF9QRVJDRU5ULjEvOC8yMDI0AQAAAGgxVwICAAAAEDEwLjkzNTc2OTc3OTY4MTcAM7aVEyIT3ggi+AYWIhPeCCFDSVEuQlBNQy5JUV9WQUxVRV9UUkFERUQuMS84LzIwMjQBAAAA+qG8BwMAAAAAADO2lRMiE94IIvgGFiIT3ggsQ0lRLk1SU04uSVFfU0hPUlRfSU5URVJFU1RfUEVSQ0VOVC4xLzEwLzIwMjQBAAAA5sUYAAIAAAAQNi45NjE4OTU2NzEwODIxOQCj2ZUTIhPeCCL4BhYiE94IIkNJUS5DTU5ELklRX1ZBTFVFX1RSQURFRC4xLzEwLzIwMjQBAAAAP/aPIAIAAAAKMTQwLjE0NTU0OACj2ZUTIhPeCCL4BhYiE94ILENJUS5DUlNQLklRX1NIT1JUX0lOVEVSRVNUX1BFUkNFTlQuMS8xNi8y</t>
  </si>
  <si>
    <t>MDI0AQAAAMgvpg8CAAAAEDIwLjQ1ODA5NzE4NjEyOTcAdRuIEyIT3ggykAQWIhPeCCJDSVEuU1JQVC5JUV9WQUxVRV9UUkFERUQuMS8xNi8yMDI0AQAAAFiIBQACAAAACjExMS45NTM5MTcAdRuIEyIT3ggykAQWIhPeCCxDSVEuQ05TUC5JUV9TSE9SVF9JTlRFUkVTVF9QRVJDRU5ULjEvMTcvMjAyNAEAAABZJCMhAgAAABA0LjEzMjA2NDk0MjUyODc0AHUbiBMiE94IrycCFiIT3ggiQ0lRLkNSREYuSVFfVkFMVUVfVFJBREVELjEvMTcvMjAyNAEAAAC8OqcAAgAAAAgwLjM2NjU1NQB1G4gTIhPeCK8nAhYiE94ILENJUS5SQ1VTLklRX1NIT1JUX0lOVEVSRVNUX1BFUkNFTlQuMS8xOS8yMDI0AQAAADS/ZRMCAAAAEDkuNzA5MjY2MTA0NjY0MzYAdRuIEyIT3givJwIWIhPeCCFDSVEuQVpOLklRX1ZBTFVFX1RSQURFRC4xLzIyLzIwMjQBAAAAhiMFAAIAAAAKNDc5LjY4MDA4NgB1G4gTIhPeCK8nAhYiE94ILENJUS5WTkRBLklRX1NIT1JUX0lOVEVSRVNUX1BFUkNFTlQuMS8yMy8yMDI0AQAAACOHdgECAAAAEDMuMDEwNzE5MzA0MjI1ODEAdRuIEyIT3giLuf8VIhPeCCJDSVEuVVJHTi5JUV9WQUxVRV9UUkFERUQuMS8yNC8yMDI0AQAAANXSWA4CAAAABjMuMTkyMwB1G4gTIhPeCIu5/xUiE94ILENJUS5DUkJQLklRX1NIT1JUX0lOVEVSRVNUX1BFUkNFTlQuMS8yNi8yMDI0AQAAACRvJA8CAAAAETAuNjMzOTk2</t>
  </si>
  <si>
    <t>NjA0MTg3MDU0AEgMihMiE94Ii7n/FSIT3gghQ0lRLkJNWS5JUV9WQUxVRV9UUkFERUQuMS8yNy8yMDI0AQAAAMZkAAADAAAAAABIDIoTIhPeCHOS/xUiE94ILENJUS5LVVJBLklRX1NIT1JUX0lOVEVSRVNUX1BFUkNFTlQuMS8zMC8yMDI0AQAAALjL2hACAAAAEDEyLjM4NzgyMDYxMTk2MjcAJfBQEyIT3gjiMv4VIhPeCCJDSVEuU0NZWC5JUV9WQUxVRV9UUkFERUQuMS8zMC8yMDI0AQAAAKcwDAACAAAACDAuMTkxMTM4ACXwUBMiE94I5Av+FSIT3ggrQ0lRLkJSVFguSVFfU0hPUlRfSU5URVJFU1RfUEVSQ0VOVC4yLzQvMjAyNAEAAACANHkDAgAAABEwLjE5NDI4ODUzMzIzNzM2MQBWF1ETIhPeCAyu/BUiE94IIkNJUS5LWUtPRi5JUV9WQUxVRV9UUkFERUQuMi81LzIwMjQBAAAAy3UKAAMAAAAAAFYXURMiE94Iz4b8FSIT3ggrQ0lRLlJBUkUuSVFfU0hPUlRfSU5URVJFU1RfUEVSQ0VOVC4yLzYvMjAyNAEAAADxegAHAgAAABA1LjAxMzI5MjIyMjg1MTc5AFYXURMiE94IHhn7FSIT3gghQ0lRLlJFR04uSVFfVkFMVUVfVFJBREVELjIvNi8yMDI0AQAAALODAAACAAAACjQzMS43OTExNjkAkj1REyIT3gi9sPgVIhPeCCpDSVEuQUlNLklRX1NIT1JUX0lOVEVSRVNUX1BFUkNFTlQuMi84LzIwMjQBAAAAc6CuKAMAAAAAAJI9URMiE94IvbD4FSIT3gghQ0lRLkFNTFguSVFfVkFMVUVfVFJBREVELjIvOC8yMDI0</t>
  </si>
  <si>
    <t>AQAAAAag5xICAAAABzguNTAwMTQAkj1REyIT3gi9sPgVIhPeCCxDSVEuSkFHWC5JUV9TSE9SVF9JTlRFUkVTVF9QRVJDRU5ULjIvMTIvMjAyNAEAAACMucMAAgAAABA4LjEwMDE5ODQ0NTQ4ODY3AO1jURMiE94IXUf2FSIT3ggiQ0lRLlROWFAuSVFfVkFMVUVfVFJBREVELjIvMTIvMjAyNAEAAABrHq0GAgAAAAgxLjE5MjI4OADtY1ETIhPeCF1H9hUiE94ILENJUS5QQllJLklRX1NIT1JUX0lOVEVSRVNUX1BFUkNFTlQuMi8xMy8yMDI0AQAAAAJqrAcCAAAAEDYuNzQxMzYyNjM0MTE3NTQA7WNREyIT3ghdR/YVIhPeCCJDSVEuTUFDSy5JUV9WQUxVRV9UUkFERUQuMi8xMy8yMDI0AQAAANFrGQADAAAAAADtY1ETIhPeCF1H9hUiE94ILENJUS5BTVBFLklRX1NIT1JUX0lOVEVSRVNUX1BFUkNFTlQuMi8xNC8yMDI0AQAAAPmpCwUCAAAAEDYuODM5OTcxNTg3MjU1NjEAlfwgEyIT3gjW1/MVIhPeCCJDSVEuUlBUWC5JUV9WQUxVRV9UUkFERUQuMi8xNS8yMDI0AQAAAOe/8BkCAAAACDAuNjQyMzU0AJX8IBMiE94I1tfzFSIT3ggrQ0lRLkFaTi5JUV9TSE9SVF9JTlRFUkVTVF9QRVJDRU5ULjIvMTkvMjAyNAEAAACGIwUAAwAAAAAAyCUhEyIT3giPsPMVIhPeCCxDSVEuVEFSUy5JUV9TSE9SVF9JTlRFUkVTVF9QRVJDRU5ULjIvMjIvMjAyNAEAAAAxEcQmAgAAABAxNi40MDM3ODM4NTk0ODE2ALZKIRMiE94Iyiny</t>
  </si>
  <si>
    <t>FSIT3ggiQ0lRLlBIVlMuSVFfVkFMVUVfVFJBREVELjIvMjIvMjAyNAEAAABwiwQYAgAAAAgyLjI4OTc5NAC2SiETIhPeCLsC8hUiE94ILENJUS5BTExLLklRX1NIT1JUX0lOVEVSRVNUX1BFUkNFTlQuMi8yNi8yMDI0AQAAADn+bQ0DAAAAAACIdSETIhPeCA698BUiE94IIkNJUS5UTllBLklRX1ZBTFVFX1RSQURFRC4yLzI2LzIwMjQBAAAAFsNiGAIAAAAIMi44MzM4MTkAiHUhEyIT3ggElvAVIhPeCCxDSVEuR0FOWC5JUV9TSE9SVF9JTlRFUkVTVF9QRVJDRU5ULjIvMjcvMjAyNAEAAADb0AwhAgAAABEwLjg0OTM2MDI5NjAzMTMwMgCIdSETIhPeCGwn7xUiE94IIkNJUS5JWEhMLklRX1ZBTFVFX1RSQURFRC4yLzI4LzIwMjQBAAAAO6RhEwIAAAAJODkuMTUxNDU2AIh1IRMiE94IbCfvFSIT3ggsQ0lRLklNTk4uSVFfU0hPUlRfSU5URVJFU1RfUEVSQ0VOVC4yLzI5LzIwMjQBAAAALvkDAAIAAAAQNS41MzgxMzU2MzQwMTY2NAD7uBUTIhPeCOXS7RUiE94IIkNJUS5DUkRGLklRX1ZBTFVFX1RSQURFRC4yLzI5LzIwMjQBAAAAvDqnAAIAAAAIMy40ODA4OTgA+7gVEyIT3gjKq+0VIhPeCCtDSVEuQUtSTy5JUV9TSE9SVF9JTlRFUkVTVF9QRVJDRU5ULjMvNC8yMDI0AQAAADhKFSICAAAAEDE1Ljc5OTQ5ODMzNjc2NTMA+7gVEyIT3ghETOwVIhPeCCBDSVEuTlZTLklRX1ZBTFVFX1RSQURFRC4zLzQvMjAyNAEA</t>
  </si>
  <si>
    <t>AACptegPAgAAAAgwLjE0NTkzMwD7uBUTIhPeCEcl7BUiE94IK0NJUS5DQVNJLklRX1NIT1JUX0lOVEVSRVNUX1BFUkNFTlQuMy81LzIwMjQBAAAAJWoFAAIAAAARMC4zOTg4NTEyNzExMDYxODkA+7gVEyIT3ghHweoVIhPeCCFDSVEuQUxOWS5JUV9WQUxVRV9UUkFERUQuMy81LzIwMjQBAAAAc6wqAAIAAAAKMTA1LjMxMjMwMwD7uBUTIhPeCESa6hUiE94IK0NJUS5BR0lPLklRX1NIT1JUX0lOVEVSRVNUX1BFUkNFTlQuMS8zLzIwMjQBAAAACyTGAgIAAAAQMTIuMjk0OTQ5MjQ0NjgwMQDvD8cTIhPeCMl6DhYiE94IIUNJUS5BTFZPLklRX1ZBTFVFX1RSQURFRC4xLzMvMjAyNAEAAAA9iVEpAgAAAAgwLjYzMDkwNwCj75QTIhPeCBpEDhYiE94IK0NJUS5BTERYLklRX1NIT1JUX0lOVEVSRVNUX1BFUkNFTlQuMS80LzIwMjQBAAAAt0PTAgIAAAAQNi4wNDA3ODkxMzY5NjQwOQBFQZUTIhPeCPW4DBYiE94IIUNJUS5LTlNBLklRX1ZBTFVFX1RSQURFRC4xLzQvMjAyNAEAAAC1okUhAgAAAAkyNi40MzY2MDIARUGVEyIT3gj1uAwWIhPeCCtDSVEuTk9WTi5JUV9TSE9SVF9JTlRFUkVTVF9QRVJDRU5ULjEvNS8yMDI0AQAAAFnWBQADAAAAAABSaJUTIhPeCOhxCRYiE94IIUNJUS5QVEhTLklRX1ZBTFVFX1RSQURFRC4xLzUvMjAyNAEAAABr1n9rAwAAAAAAUmiVEyIT3gjocQkWIhPeCCtDSVEuQUJCVi5JUV9TSE9S</t>
  </si>
  <si>
    <t>VF9JTlRFUkVTVF9QRVJDRU5ULjEvOC8yMDI0AQAAAAoBdQgCAAAAETAuNzc1MzQ0MDg3MTQxODM4AB+PlRMiE94I6HEJFiIT3gggQ0lRLk5WTy5JUV9WQUxVRV9UUkFERUQuMS84LzIwMjQBAAAAfO8EAAIAAAAJMzA2LjUwMTE2AB+PlRMiE94I6HEJFiIT3ggrQ0lRLkFGTUQuSVFfU0hPUlRfSU5URVJFU1RfUEVSQ0VOVC4xLzgvMjAyNAEAAADb9wwAAwAAAAAAM7aVEyIT3ggi+AYWIhPeCCFDSVEuRUxUWC5JUV9WQUxVRV9UUkFERUQuMS85LzIwMjQBAAAAQKrPDAIAAAAJMTYuODU5ODY0ADO2lRMiE94IIvgGFiIT3ggsQ0lRLlNBTkEuSVFfU0hPUlRfSU5URVJFU1RfUEVSQ0VOVC4xLzEwLzIwMjQBAAAAMUiaIwIAAAAQMTEuMTg1ODg0ODc1OTUwNgCj2ZUTIhPeCDKQBBYiE94IIkNJUS5BUlFULklRX1ZBTFVFX1RSQURFRC4xLzE1LzIwMjQBAAAAKGG5IAMAAAAAAIYElhMiE94IMpAEFiIT3ggsQ0lRLkFEQUcuSVFfU0hPUlRfSU5URVJFU1RfUEVSQ0VOVC4xLzE2LzIwMjQBAAAAEAYLBwIAAAASMC4wNTc0Mzg1NTEzMjM5MDUyAHUbiBMiE94IMpAEFiIT3ggiQ0lRLkVWR04uSVFfVkFMVUVfVFJBREVELjEvMTcvMjAyNAEAAAD6vaApAgAAAAgwLjAyMTI5NAB1G4gTIhPeCDKQBBYiE94ILENJUS5DSFJTLklRX1NIT1JUX0lOVEVSRVNUX1BFUkNFTlQuMS8xOC8yMDI0AQAAAMd6VQwCAAAAEDIxLjc1Mzcz</t>
  </si>
  <si>
    <t>ODEzMjg5NTgAdRuIEyIT3givJwIWIhPeCCJDSVEuWkxBQi5JUV9WQUxVRV9UUkFERUQuMS8xOC8yMDI0AQAAAHcCKRACAAAACTE2LjU2NDc1MwB1G4gTIhPeCK8nAhYiE94ILENJUS5BR0VOLklRX1NIT1JUX0lOVEVSRVNUX1BFUkNFTlQuMS8yMi8yMDI0AQAAAGRBBgACAAAAEDEwLjM5NTk0NzgzMTIwMDkAdRuIEyIT3giLuf8VIhPeCCJDSVEuU0VFTC5JUV9WQUxVRV9UUkFERUQuMS8yMi8yMDI0AQAAAOw0/RcDAAAAAAB1G4gTIhPeCIu5/xUiE94ILENJUS5DWVRLLklRX1NIT1JUX0lOVEVSRVNUX1BFUkNFTlQuMS8yNS8yMDI0AQAAALNqAAACAAAAEDE0LjAyMTIwNzE4NjcxNDgASAyKEyIT3giLuf8VIhPeCCNDSVEuSVBTRVkuSVFfVkFMVUVfVFJBREVELjEvMjUvMjAyNAEAAABGEAIAAwAAAAAASAyKEyIT3giLuf8VIhPeCCxDSVEuQUNYUC5JUV9TSE9SVF9JTlRFUkVTVF9QRVJDRU5ULjEvMjkvMjAyNAEAAADOzEIhAgAAABAxLjc2OTIwMTgyODAxMjI4AEgMihMiE94IUR3/FSIT3ggiQ0lRLlBBTEkuSVFfVkFMVUVfVFJBREVELjEvMjkvMjAyNAEAAAAZwJAOAgAAAAoxMzAuNTc5NDU5AEgMihMiE94IMPb+FSIT3ggrQ0lRLk5WTy5JUV9TSE9SVF9JTlRFUkVTVF9QRVJDRU5ULjEvMzEvMjAyNAEAAAB87wQAAwAAAAAAVhdREyIT3gjlYf0VIhPeCCFDSVEuRURBUC5JUV9WQUxVRV9UUkFERUQuMi8x</t>
  </si>
  <si>
    <t>LzIwMjQBAAAA9GwAAAIAAAAIMC40ODExMjQAVhdREyIT3gjlYf0VIhPeCCxDSVEuQ1NMTFkuSVFfU0hPUlRfSU5URVJFU1RfUEVSQ0VOVC4yLzUvMjAyNAEAAABfcw0AAwAAAAAAVhdREyIT3giPEfwVIhPeCCFDSVEuVlJUWC5JUV9WQUxVRV9UUkFERUQuMi81LzIwMjQBAAAAi40AAAIAAAAKODIzLjQ4MjA5NgBWF1ETIhPeCIXD+xUiE94IK0NJUS5BTEVDLklRX1NIT1JUX0lOVEVSRVNUX1BFUkNFTlQuMi83LzIwMjQBAAAAa0DbDgIAAAAQNS42ODQyODIwNTg2Nzk5NwCSPVETIhPeCL2w+BUiE94IIUNJUS5TQVZBLklRX1ZBTFVFX1RSQURFRC4yLzcvMjAyNAEAAAAvpAEAAgAAAAkzMC42MTMwNDUAkj1REyIT3gi9sPgVIhPeCCtDSVEuTlJYUC5JUV9TSE9SVF9JTlRFUkVTVF9QRVJDRU5ULjIvOS8yMDI0AQAAABV6CRMCAAAAEDMuNDUyMzIwOTk0NTAyNDEAkj1REyIT3gi9sPgVIhPeCCJDSVEuQU5UWC5JUV9WQUxVRV9UUkFERUQuMi8xMi8yMDI0AQAAANuxcyYCAAAACTI5LjA3MzI0NACSPVETIhPeCL2w+BUiE94ILENJUS5CTVJOLklRX1NIT1JUX0lOVEVSRVNUX1BFUkNFTlQuMi8xMi8yMDI0AQAAAAVkAAACAAAAEDEuNjg1Mjc4MzQ3Nzk0NzYA7WNREyIT3ghdR/YVIhPeCCJDSVEuS0FMVi5JUV9WQUxVRV9UUkFERUQuMi8xMy8yMDI0AQAAABCOJQgCAAAACTY2LjE5MDQ0NQDtY1ETIhPeCF1H9hUi</t>
  </si>
  <si>
    <t>E94ILENJUS5EVElMLklRX1NIT1JUX0lOVEVSRVNUX1BFUkNFTlQuMi8xNC8yMDI0AQAAAOjlcQICAAAAEDEuMzU0NDQ2MjU4NzY4NTUAQ9UgEyIT3gjW1/MVIhPeCCJDSVEuQVJWTi5JUV9WQUxVRV9UUkFERUQuMi8xNC8yMDI0AQAAAICCfA4CAAAACTMzLjMzMTM2NgBD1SATIhPeCNbX8xUiE94ILENJUS5NTktELklRX1NIT1JUX0lOVEVSRVNUX1BFUkNFTlQuMi8xNS8yMDI0AQAAAGaljQACAAAADzEyLjk3ODczMDE4ODc4MQCV/CATIhPeCNbX8xUiE94IIkNJUS5BVVBILklRX1ZBTFVFX1RSQURFRC4yLzE1LzIwMjQBAAAA7XcNAAIAAAAJMTE4LjE0NjgxAMglIRMiE94I1tfzFSIT3gghQ0lRLkxCUEguSVFfVkFMVUVfVFJBREVELjEvMi8yMDI0BQAAAAAAAAAIAAAAFChJbnZhbGlkIElkZW50aWZpZXIp7w/HEyIT3ghWPA8WIhPeCCtDSVEuR0xZQy5JUV9TSE9SVF9JTlRFUkVTVF9QRVJDRU5ULjEvMy8yMDI0AQAAADkHVwADAAAAAAACGZUTIhPeCPW4DBYiE94IIUNJUS5TTFJYLklRX1ZBTFVFX1RSQURFRC4xLzMvMjAyNAEAAADQ36sTAgAAAAgwLjAxNjc4OAACGZUTIhPeCPW4DBYiE94IK0NJUS5JTU1QLklRX1NIT1JUX0lOVEVSRVNUX1BFUkNFTlQuMS80LzIwMjQBAAAAFUJmAAMAAAAAAEVBlRMiE94IhtoLFiIT3gghQ0lRLkFQTFQuSVFfVkFMVUVfVFJBREVELjEvNC8yMDI0AQAAAHuMVCECAAAA</t>
  </si>
  <si>
    <t>CTE1LjM2NDgxOQBFQZUTIhPeCIbaCxYiE94IK0NJUS5BQlNJLklRX1NIT1JUX0lOVEVSRVNUX1BFUkNFTlQuMS84LzIwMjQBAAAA3gzbDwIAAAAQMi4yMDA2NTY4OTI2MjM3MQBSaJUTIhPeCOhxCRYiE94IIUNJUS5CSU9SLklRX1ZBTFVFX1RSQURFRC4xLzgvMjAyNAEAAAAO7/4CAwAAAAAAUmiVEyIT3gjocQkWIhPeCCpDSVEuTlZTLklRX1NIT1JUX0lOVEVSRVNUX1BFUkNFTlQuMS84LzIwMjQBAAAAqbXoDwMAAAAAAB+PlRMiE94IIvgGFiIT3gghQ0lRLkZBVEUuSVFfVkFMVUVfVFJBREVELjEvOC8yMDI0AQAAAGgxVwICAAAACTE0LjUxNzczMQAztpUTIhPeCCL4BhYiE94IKkNJUS5BTEMuSVFfU0hPUlRfSU5URVJFU1RfUEVSQ0VOVC4xLzkvMjAyNAEAAADTbOoKAwAAAAAAo9mVEyIT3ggi+AYWIhPeCCJDSVEuTVJTTi5JUV9WQUxVRV9UUkFERUQuMS8xMC8yMDI0AQAAAObFGAACAAAACTIyLjg2NTI5NACj2ZUTIhPeCCL4BhYiE94ILENJUS5IQUxPLklRX1NIT1JUX0lOVEVSRVNUX1BFUkNFTlQuMS8xNi8yMDI0AQAAAEYFeQACAAAAEDUuNTYzNjkzNTMwNTEzMDQAdRuIEyIT3ggykAQWIhPeCCJDSVEuQ1JTUC5JUV9WQUxVRV9UUkFERUQuMS8xNi8yMDI0AQAAAMgvpg8CAAAACjExMS4wODAzOTIAdRuIEyIT3ggykAQWIhPeCCxDSVEuTFNUQS5JUV9TSE9SVF9JTlRFUkVTVF9QRVJDRU5ULjEvMTcv</t>
  </si>
  <si>
    <t>MjAyNAEAAABgKQUAAgAAABEwLjczMzAzNDg3NzQyMjI5MgB1G4gTIhPeCK8nAhYiE94IIkNJUS5DTlNQLklRX1ZBTFVFX1RSQURFRC4xLzE3LzIwMjQBAAAAWSQjIQIAAAAHMC4xMjcxNwB1G4gTIhPeCK8nAhYiE94IIkNJUS5SQ1VTLklRX1ZBTFVFX1RSQURFRC4xLzE5LzIwMjQBAAAANL9lEwIAAAAJMjguNjcwMjYxAHUbiBMiE94IrycCFiIT3ggsQ0lRLkFSVEwuSVFfU0hPUlRfSU5URVJFU1RfUEVSQ0VOVC4xLzIzLzIwMjQBAAAAz79WEAIAAAARMC40NTYwNzM4MzA2OTk1NTgAdRuIEyIT3giLuf8VIhPeCCJDSVEuVk5EQS5JUV9WQUxVRV9UUkFERUQuMS8yMy8yMDI0AQAAACOHdgECAAAABzQuMjEwMzkAdRuIEyIT3giLuf8VIhPeCCtDSVEuU05ZLklRX1NIT1JUX0lOVEVSRVNUX1BFUkNFTlQuMS8yNS8yMDI0AQAAABp8CgADAAAAAABIDIoTIhPeCIu5/xUiE94IIkNJUS5DUkJQLklRX1ZBTFVFX1RSQURFRC4xLzI2LzIwMjQBAAAAJG8kDwIAAAAKOTgxLjc0MzUzOQBIDIoTIhPeCIu5/xUiE94ILENJUS5BTFZPLklRX1NIT1JUX0lOVEVSRVNUX1BFUkNFTlQuMS8yOS8yMDI0AQAAAD2JUSkCAAAAEjAuMDQyODYzMzc0ODIwMjM5NQBIDIoTIhPeCPRZ/hUiE94IIkNJUS5LVVJBLklRX1ZBTFVFX1RSQURFRC4xLzMwLzIwMjQBAAAAuMvaEAIAAAAKMjMzLjc5MzYxNQAl8FATIhPeCOIy/hUiE94IK0NJ</t>
  </si>
  <si>
    <t>US5MQ1RYLklRX1NIT1JUX0lOVEVSRVNUX1BFUkNFTlQuMi8zLzIwMjQBAAAAFmQAAAIAAAAQNC41MDM2NDEzMDg3NzE0NQBWF1ETIhPeCPzU/BUiE94IIUNJUS5CUlRYLklRX1ZBTFVFX1RSQURFRC4yLzQvMjAyNAEAAACANHkDAwAAAAAAVhdREyIT3ggMrvwVIhPeCCFDSVEuUkFSRS5JUV9WQUxVRV9UUkFERUQuMi82LzIwMjQBAAAA8XoABwIAAAAJMzMuNjU0NDQxAJI9URMiE94IHhn7FSIT3ggqQ0lRLkdTSy5JUV9TSE9SVF9JTlRFUkVTVF9QRVJDRU5ULjIvOC8yMDI0AQAAAPIzBAADAAAAAACSPVETIhPeCL2w+BUiE94IIENJUS5BSU0uSVFfVkFMVUVfVFJBREVELjIvOC8yMDI0AQAAAHOgrigDAAAAAACSPVETIhPeCL2w+BUiE94ILENJUS5OVVZMLklRX1NIT1JUX0lOVEVSRVNUX1BFUkNFTlQuMi8xMi8yMDI0AQAAAIVs3ikCAAAAEDEwLjA1NzM2Mjk5Nzc3MjkA7WNREyIT3ghdR/YVIhPeCCJDSVEuSkFHWC5JUV9WQUxVRV9UUkFERUQuMi8xMi8yMDI0AQAAAIy5wwACAAAACDIuMDY5NTYxAO1jURMiE94IXUf2FSIT3ggsQ0lRLlJPSVYuSVFfU0hPUlRfSU5URVJFU1RfUEVSQ0VOVC4yLzEzLzIwMjQBAAAAOTjPEAIAAAAQMy4xOTAxMDMyOTYyMzY5NwDtY1ETIhPeCF1H9hUiE94IIkNJUS5QQllJLklRX1ZBTFVFX1RSQURFRC4yLzEzLzIwMjQBAAAAAmqsBwIAAAAINS42MzU0NTEA7WNREyIT3ghd</t>
  </si>
  <si>
    <t>R/YVIhPeCCxDSVEuU0lMTy5JUV9TSE9SVF9JTlRFUkVTVF9QRVJDRU5ULjIvMTQvMjAyNAEAAAAaL7QHAgAAABAzLjYwNDE1Njc1NTMxNjQ0AJX8IBMiE94I1tfzFSIT3ggiQ0lRLkFNUEUuSVFfVkFMVUVfVFJBREVELjIvMTQvMjAyNAEAAAD5qQsFAgAAAAgwLjAyNzAxMQCV/CATIhPeCNbX8xUiE94ILENJUS5JT1ZBLklRX1NIT1JUX0lOVEVSRVNUX1BFUkNFTlQuMi8xNi8yMDI0AQAAAATVaAICAAAAEDE2LjM5ODM5OTMwNTcwMzgAyCUhEyIT3gjW1/MVIhPeCCFDSVEuQVpOLklRX1ZBTFVFX1RSQURFRC4yLzE5LzIwMjQBAAAAhiMFAAIAAAAKMTk1Ljk5NTA4NADIJSETIhPeCI+w8xUiE94ILENJUS5NTlBSLklRX1NIT1JUX0lOVEVSRVNUX1BFUkNFTlQuMi8yMi8yMDI0AQAAAEumJBICAAAAETAuMTQ0NzY5NDEyOTA0MjY3ALZKIRMiE94INnjyFSIT3ggiQ0lRLlRBUlMuSVFfVkFMVUVfVFJBREVELjIvMjIvMjAyNAEAAAAxEcQmAgAAAAkyNi4yMDU2NzEAtkohEyIT3gj+UPIVIhPeCCxDSVEuS0FMVi5JUV9TSE9SVF9JTlRFUkVTVF9QRVJDRU5ULjIvMjUvMjAyNAEAAAAQjiUIAgAAAA81Ljk0OTQyODE0MzQwMzcAiHUhEyIT3ggm5PAVIhPeCCJDSVEuQUxMSy5JUV9WQUxVRV9UUkFERUQuMi8yNi8yMDI0AQAAADn+bQ0DAAAAAACIdSETIhPeCA698BUiE94ILENJUS5DR09OLklRX1NIT1JUX0lOVEVS</t>
  </si>
  <si>
    <t>RVNUX1BFUkNFTlQuMi8yNy8yMDI0AQAAAMSI6AYCAAAAEDEuNDY0OTExNTc2NTE5NzMAiHUhEyIT3giihO8VIhPeCCJDSVEuR0FOWC5JUV9WQUxVRV9UUkFERUQuMi8yNy8yMDI0AQAAANvQDCECAAAACDAuNDg0NzkzAIh1IRMiE94IbCfvFSIT3ggsQ0lRLklSV0QuSVFfU0hPUlRfSU5URVJFU1RfUEVSQ0VOVC4yLzI5LzIwMjQBAAAACnsAAAIAAAAQOS45NjQ0MTg3ODE2NjYwOQD7uBUTIhPeCOXS7RUiE94IIkNJUS5JTU5OLklRX1ZBTFVFX1RSQURFRC4yLzI5LzIwMjQBAAAALvkDAAIAAAAIMS4wNzc0NDgA+7gVEyIT3gjl0u0VIhPeCCpDSVEuUk5BLklRX1NIT1JUX0lOVEVSRVNUX1BFUkNFTlQuMy80LzIwMjQBAAAAHstSDwIAAAAQOS42ODM1MTUzNzgwNjM3MgD7uBUTIhPeCFNz7BUiE94IIUNJUS5BS1JPLklRX1ZBTFVFX1RSQURFRC4zLzQvMjAyNAEAAAA4ShUiAgAAAAoyNjUuMDg4NDAxAPu4FRMiE94IREzsFSIT3ggqQ0lRLkdTSy5JUV9TSE9SVF9JTlRFUkVTVF9QRVJDRU5ULjMvNS8yMDI0AQAAAPIzBAADAAAAAAD7uBUTIhPeCFAP6xUiE94IIUNJUS5DQVNJLklRX1ZBTFVFX1RSQURFRC4zLzUvMjAyNAEAAAAlagUAAgAAAAk1NS4zNzgyMjEA+7gVEyIT3ghHweoVIhPeCCtDSVEuQ1RYUi5JUV9TSE9SVF9JTlRFUkVTVF9QRVJDRU5ULjEvMi8yMDI0AQAAABuXPRACAAAAEDguNDY4MDA3ODE4</t>
  </si>
  <si>
    <t>NjI0NzYA7w/HEyIT3gjXoQ4WIhPeCCFDSVEuQUdJTy5JUV9WQUxVRV9UUkFERUQuMS8zLzIwMjQBAAAACyTGAgIAAAAJNjQuNjE1NjAyAO8PxxMiE94IyXoOFiIT3ggrQ0lRLkFEQ1QuSVFfU0hPUlRfSU5URVJFU1RfUEVSQ0VOVC4xLzQvMjAyNAEAAACao+kKAgAAABA1LjAxNDAxNjgzMDQ5NjAzAEVBlRMiE94I9bgMFiIT3gghQ0lRLkFMRFguSVFfVkFMVUVfVFJBREVELjEvNC8yMDI0AQAAALdD0wICAAAACDEuODM5NzQ1AEVBlRMiE94I9bgMFiIT3ggrQ0lRLkZCSU8uSVFfU0hPUlRfSU5URVJFU1RfUEVSQ0VOVC4xLzUvMjAyNAEAAAAJ8q0DAgAAABA0LjkzNzY3OTQwNDY4MjU1AFJolRMiE94I6HEJFiIT3gghQ0lRLk5PVk4uSVFfVkFMVUVfVFJBREVELjEvNS8yMDI0AQAAAFnWBQACAAAACjIzOS4yMDY0MTYAUmiVEyIT3gjocQkWIhPeCCpDSVEuR1NLLklRX1NIT1JUX0lOVEVSRVNUX1BFUkNFTlQuMS84LzIwMjQBAAAA8jMEAAMAAAAAAB+PlRMiE94I6HEJFiIT3gghQ0lRLkFCQlYuSVFfVkFMVUVfVFJBREVELjEvOC8yMDI0AQAAAAoBdQgCAAAACjk2OC44NDM0NTQAH4+VEyIT3gjocQkWIhPeCCtDSVEuQk1FQS5JUV9TSE9SVF9JTlRFUkVTVF9QRVJDRU5ULjEvOC8yMDI0AQAAAMeYcSkCAAAAEDMwLjYzMzQ4MzMyMzk2MzIAM7aVEyIT3ggi+AYWIhPeCCFDSVEuQUZNRC5JUV9WQUxVRV9UUkFE</t>
  </si>
  <si>
    <t>RUQuMS84LzIwMjQBAAAA2/cMAAMAAAAAADO2lRMiE94IIvgGFiIT3ggsQ0lRLkVZUFQuSVFfU0hPUlRfSU5URVJFU1RfUEVSQ0VOVC4xLzEwLzIwMjQBAAAAr2BEAAIAAAAQMTEuMzIyNjI0NzQ5OTIxMQCj2ZUTIhPeCDKQBBYiE94IIkNJUS5TQU5BLklRX1ZBTFVFX1RSQURFRC4xLzEwLzIwMjQBAAAAMUiaIwIAAAAKNDU0Ljk4MTYwMQCj2ZUTIhPeCDKQBBYiE94ILENJUS5MUFRYLklRX1NIT1JUX0lOVEVSRVNUX1BFUkNFTlQuMS8xNi8yMDI0AQAAAAw2CQcCAAAAEDIuMjE4OTM1MzE2MjgzMTYAdRuIEyIT3ggykAQWIhPeCCJDSVEuQURBRy5JUV9WQUxVRV9UUkFERUQuMS8xNi8yMDI0AQAAABAGCwcCAAAACDIuMjAyMTcxAHUbiBMiE94IMpAEFiIT3ggsQ0lRLk1UVkEuSVFfU0hPUlRfSU5URVJFU1RfUEVSQ0VOVC4xLzE4LzIwMjQBAAAAc6+YJQIAAAARMC4xNDA1MTEzODk3MjkxNjgAdRuIEyIT3givJwIWIhPeCCJDSVEuQ0hSUy5JUV9WQUxVRV9UUkFERUQuMS8xOC8yMDI0AQAAAMd6VQwCAAAACDcuNDIzNTEyAHUbiBMiE94IrycCFiIT3ggsQ0lRLlRWUkQuSVFfU0hPUlRfSU5URVJFU1RfUEVSQ0VOVC4xLzIyLzIwMjQBAAAAuOj9IQMAAAAAAHUbiBMiE94IrycCFiIT3ggiQ0lRLkFHRU4uSVFfVkFMVUVfVFJBREVELjEvMjIvMjAyNAEAAABkQQYAAgAAAAg4LjY4Nzc0MwB1G4gTIhPeCIu5/xUi</t>
  </si>
  <si>
    <t>E94ILENJUS5QQkxBLklRX1NIT1JUX0lOVEVSRVNUX1BFUkNFTlQuMS8yNS8yMDI0AQAAADb12AoCAAAAEDkuNjQ5Mzk5MjU1NjI2NTEASAyKEyIT3giLuf8VIhPeCCJDSVEuQ1lUSy5JUV9WQUxVRV9UUkFERUQuMS8yNS8yMDI0AQAAALNqAAACAAAACjE0NC4wODQ1NjMASAyKEyIT3giLuf8VIhPeCCFDSVEuQk1FQS5JUV9WQUxVRV9UUkFERUQuMS84LzIwMjQBAAAAx5hxKQIAAAAJMTYuMjEzOTkzADO2lRMiE94IIvgGFiIT3ggsQ0lRLkVQSVguSVFfU0hPUlRfSU5URVJFU1RfUEVSQ0VOVC4xLzI1LzIwMjQBAAAATLFoEAMAAAAAAEgMihMiE94Ii7n/FSIT3ggiQ0lRLkFMVk8uSVFfVkFMVUVfVFJBREVELjEvMjkvMjAyNAEAAAA9iVEpAgAAAAg3LjkwODg0OABIDIoTIhPeCESB/hUiE94IK0NJUS5BRFZNLklRX1NIT1JUX0lOVEVSRVNUX1BFUkNFTlQuMi84LzIwMjQBAAAAl7VXDAIAAAAPMS42MzYwNzQ3MzExODM3AJI9URMiE94IvbD4FSIT3gghQ0lRLk9QVC5JUV9WQUxVRV9UUkFERUQuMi8xNC8yMDI0AQAAANrfJQACAAAACDAuMTE4MTQzAEPVIBMiE94IXUf2FSIT3ggsQ0lRLkNBU0kuSVFfU0hPUlRfSU5URVJFU1RfUEVSQ0VOVC4yLzE2LzIwMjQBAAAAJWoFAAIAAAARMC4zOTU3NDM1MTQ2MDM4NjYAyCUhEyIT3gjW1/MVIhPeCCtDSVEuSk5KLklRX1NIT1JUX0lOVEVSRVNUX1BFUkNFTlQuMi8y</t>
  </si>
  <si>
    <t>MC8yMDI0AQAAAJ0hAgACAAAAETAuNTEwNzM0Nzc5ODkwNDg4ALZKIRMiE94IO+3yFSIT3ggiQ0lRLkJHTkUuSVFfVkFMVUVfVFJBREVELjIvMjYvMjAyNAEAAADg5N0GAwAAAAAAiHUhEyIT3gglb/AVIhPeCCtDSVEuSENNLklRX1NIT1JUX0lOVEVSRVNUX1BFUkNFTlQuMi8yOC8yMDI0AQAAALuvlgEDAAAAAACIdSETIhPeCALZ7hUiE94ILENJUS5LQU5ULklRX1NIT1JUX0lOVEVSRVNUX1BFUkNFTlQuMi8yOS8yMDI0BQAAAAAAAAAIAAAAFChJbnZhbGlkIElkZW50aWZpZXIp+7gVEyIT3gjSPO4VIhPeCCtDSVEuQ1VFLklRX1NIT1JUX0lOVEVSRVNUX1BFUkNFTlQuMi8yOS8yMDI0AQAAAKZm6BgCAAAAEDguNDQwMzc5MTQ3MDc0ODgA+7gVEyIT3gjKq+0VIhPeCCFDSVEuVlRWVC5JUV9WQUxVRV9UUkFERUQuMy80LzIwMjQBAAAAHaMfEgIAAAAIMS4wMjA1MDIA+7gVEyIT3gg21+sVIhPeCCpDSVEuR1NLLklRX1NIT1JUX0lOVEVSRVNUX1BFUkNFTlQuMy80LzIwMjQBAAAA8jMEAAMAAAAAAPu4FRMiE94IbTbrFSIT3ggrQ0lRLlJHTlguSVFfU0hPUlRfSU5URVJFU1RfUEVSQ0VOVC4zLzUvMjAyNAEAAABUb8kHAgAAABA5LjM5NTM4NTM2Mzg4MDU5APu4FRMiE94IRJrqFSIT3gghQ0lRLkJUQUkuSVFfVkFMVUVfVFJBREVELjMvNi8yMDI0AQAAAA0vZiACAAAACDEuNDAzNTE0APu4FRMiE94Ij/nnFSIT</t>
  </si>
  <si>
    <t>3ggrQ0lRLktVUkEuSVFfU0hPUlRfSU5URVJFU1RfUEVSQ0VOVC4zLzYvMjAyNAEAAAC4y9oQAgAAABAxMy44MDUyODE0MTEwODAyAPu4FRMiE94Ij/nnFSIT3gghQ0lRLkFTTE4uSVFfVkFMVUVfVFJBREVELjMvNi8yMDI0BQAAAAAAAAAIAAAAFChJbnZhbGlkIElkZW50aWZpZXIp+7gVEyIT3giP+ecVIhPeCCtDSVEuTUJJTy5JUV9TSE9SVF9JTlRFUkVTVF9QRVJDRU5ULjMvNy8yMDI0AQAAADDZdxMCAAAAEjAuMDg0Mzc5MzU5MTI3MzM5MgD6KRgTIhPeCK+R5RUiE94IIUNJUS5JTVJOLklRX1ZBTFVFX1RSQURFRC4zLzcvMjAyNAEAAADzTHUAAgAAAAoyNDQuNjg5MTYzAPopGBMiE94Ir5HlFSIT3ggsQ0lRLkFNR04uSVFfU0hPUlRfSU5URVJFU1RfUEVSQ0VOVC4zLzExLzIwMjQBAAAA8GAAAAIAAAAQMi4wNTU5MzYwNzE1NjYxNwAIueMSIhPeCK+R5RUiE94IK0NJUS5KTkouSVFfU0hPUlRfSU5URVJFU1RfUEVSQ0VOVC4zLzExLzIwMjQBAAAAnSECAAIAAAARMC42MTY1MDQ0NDM3NDExMjgACLnjEiIT3gjKKOMVIhPeCCxDSVEuU0dNTy5JUV9TSE9SVF9JTlRFUkVTVF9QRVJDRU5ULjMvMTMvMjAyNAEAAAACTAYAAgAAABA1LjYyMzg5MzcyOTg3NTk5AAi54xIiE94IBMHgFSIT3ggiQ0lRLlhPTUEuSVFfVkFMVUVfVFJBREVELjMvMTMvMjAyNAEAAAChjwAAAgAAAAgwLjIyMDk2MwAIueMSIhPeCATB</t>
  </si>
  <si>
    <t>4BUiE94ILENJUS5NREdMLklRX1NIT1JUX0lOVEVSRVNUX1BFUkNFTlQuMy8xNC8yMDI0AQAAAEybowgCAAAAEDE3LjQxMzM3Mzg0MTA4NzUACLnjEiIT3ggEweAVIhPeCCxDSVEuQUxHUy5JUV9TSE9SVF9JTlRFUkVTVF9QRVJDRU5ULjMvMTgvMjAyNAEAAAAznqgiAgAAABEwLjQ4Nzc0NTg5MTYxOTM2NgAIueMSIhPeCODA3hUiE94IIkNJUS5QTVZQLklRX1ZBTFVFX1RSQURFRC4zLzE4LzIwMjQBAAAAl+p9DwIAAAAIMC42NDE2NDcACLnjEiIT3gjgwN4VIhPeCCtDSVEuTVJLLklRX1NIT1JUX0lOVEVSRVNUX1BFUkNFTlQuMy8xOS8yMDI0AQAAAPZmBAACAAAAETAuNjU1NjI4NDU5Mzk2NzU4AJFIthIiE94IVFLeFSIT3gghQ0lRLlRBSy5JUV9WQUxVRV9UUkFERUQuMy8xOS8yMDI0AQAAACxYDQACAAAACTI1LjYzODIxNACRSLYSIhPeCFRS3hUiE94ILENJUS5NQlJYLklRX1NIT1JUX0lOVEVSRVNUX1BFUkNFTlQuMy8yNS8yMDI0AQAAAIZsFBMCAAAAETAuNDAyMzU0NDYxMjAyNTIzAJFIthIiE94I1rPZFSIT3ggsQ0lRLlRFQ1guSVFfU0hPUlRfSU5URVJFU1RfUEVSQ0VOVC4zLzI2LzIwMjQBAAAArbhnKgMAAAAAAJFIthIiE94I1rPZFSIT3ggiQ0lRLkNFUlMuSVFfVkFMVUVfVFJBREVELjMvMjYvMjAyNAEAAADeZgAAAgAAAAcyLjg5OTM5AJFIthIiE94I1rPZFSIT3ggrQ0lRLlhMTy5JUV9TSE9S</t>
  </si>
  <si>
    <t>VF9JTlRFUkVTVF9QRVJDRU5ULjMvMjgvMjAyNAEAAAA8jMYVAgAAABAwLjE2NzIyNjY3MTU3ODk3AKWZrBIiE94IaePUFSIT3ggiQ0lRLk9DRUEuSVFfVkFMVUVfVFJBREVELjMvMjgvMjAyNAEAAAB35eknAgAAAAgyLjU4NTAxOQClmawSIhPeCGnj1BUiE94IK0NJUS5BWFNNLklRX1NIT1JUX0lOVEVSRVNUX1BFUkNFTlQuNC8xLzIwMjQBAAAAazdrDgIAAAAQMTUuNDA0NTE1NjI2ODU1MgClmawSIhPeCGnj1BUiE94IIUNJUS5JUk9OLklRX1ZBTFVFX1RSQURFRC40LzEvMjAyNAEAAABO3zkmAgAAAAoyMTIuNzU5Mzc5AKWZrBIiE94IaePUFSIT3gghQ0lRLlJPSVYuSVFfVkFMVUVfVFJBREVELjQvMi8yMDI0AQAAADk4zxACAAAACjIyMi4xNDY5NTgApZmsEiIT3ghocdIVIhPeCCtDSVEuTVJOQS5JUV9TSE9SVF9JTlRFUkVTVF9QRVJDRU5ULjQvMy8yMDI0AQAAAPyDqwcCAAAAEDUuODA1MjUxMTI5NDMzMzQApZmsEiIT3ghocdIVIhPeCCFDSVEuQ1lUSy5JUV9WQUxVRV9UUkFERUQuNC81LzIwMjQBAAAAs2oAAAIAAAAJNzMuMjM5NjkyAKWZrBIiE94IfgfQFSIT3ggrQ0lRLk1EV0QuSVFfU0hPUlRfSU5URVJFU1RfUEVSQ0VOVC4xLzkvMjAyNAEAAABB+BcAAgAAABEwLjM2NTUxNzM2NjMwNTE3NACj2ZUTIhPeCCL4BhYiE94IIkNJUS5IQUxPLklRX1ZBTFVFX1RSQURFRC4xLzE2LzIwMjQBAAAARgV5</t>
  </si>
  <si>
    <t>AAIAAAAJOTYuMjI5NDY3AHUbiBMiE94IMpAEFiIT3gghQ0lRLkFJTS5JUV9WQUxVRV9UUkFERUQuMS8yMi8yMDI0AQAAAHOgrigCAAAACDAuMDE1ODA5AHUbiBMiE94IrycCFiIT3ggrQ0lRLk1SSy5JUV9TSE9SVF9JTlRFUkVTVF9QRVJDRU5ULjEvMjYvMjAyNAEAAAD2ZgQAAgAAABEwLjgyMTM4NzU0NTAyMzY0MwBIDIoTIhPeCHOS/xUiE94IIkNJUS5OTlZDLklRX1ZBTFVFX1RSQURFRC4xLzI5LzIwMjQBAAAAj8JYAQIAAAAIMC40OTA3NTcASAyKEyIT3ghdRP8VIhPeCCtDSVEuVEFLLklRX1NIT1JUX0lOVEVSRVNUX1BFUkNFTlQuMS8yOS8yMDI0AQAAACxYDQADAAAAAABIDIoTIhPeCCLP/hUiE94ILENJUS5JVFJNLklRX1NIT1JUX0lOVEVSRVNUX1BFUkNFTlQuMS8zMC8yMDI0AQAAAJCy+RICAAAAETAuMzU2MTQ4OTk5OTM5NTYzACXwUBMiE94I3OT9FSIT3ggrQ0lRLkxRREEuSVFfU0hPUlRfSU5URVJFU1RfUEVSQ0VOVC4yLzIvMjAyNAEAAACLUFsBAgAAAA83LjI3MjY3NjExNzU0OTQAVhdREyIT3gjv+/wVIhPeCCtDSVEuVEhBUi5JUV9TSE9SVF9JTlRFUkVTVF9QRVJDRU5ULjIvNS8yMDI0AQAAAM+WkR8CAAAAEDEuNjg1MTg4Nzc3MzU4NzEAVhdREyIT3giqOPwVIhPeCCFDSVEuQUxFQy5JUV9WQUxVRV9UUkFERUQuMi83LzIwMjQBAAAAa0DbDgIAAAAIOS4zMzIwMTMAkj1REyIT3gi9sPgV</t>
  </si>
  <si>
    <t>IhPeCCtDSVEuQVRIQS5JUV9TSE9SVF9JTlRFUkVTVF9QRVJDRU5ULjIvOC8yMDI0AQAAABwR2w8CAAAAEDEuMzUwMzAyNjQ0MjU0NjUAkj1REyIT3gi9sPgVIhPeCCFDSVEuTlJYUC5JUV9WQUxVRV9UUkFERUQuMi85LzIwMjQBAAAAFXoJEwIAAAAIMS4xNDU5NzQAkj1REyIT3gi9sPgVIhPeCCxDSVEuQ0FETC5JUV9TSE9SVF9JTlRFUkVTVF9QRVJDRU5ULjIvMTMvMjAyNAEAAACrWjoCAgAAABEwLjU3NDYxOTk1NzczODMxMgDtY1ETIhPeCF1H9hUiE94ILENJUS5NRVNPLklRX1NIT1JUX0lOVEVSRVNUX1BFUkNFTlQuMi8xNC8yMDI0AQAAAEaeNgEDAAAAAACV/CATIhPeCNbX8xUiE94ILENJUS5DUkRMLklRX1NIT1JUX0lOVEVSRVNUX1BFUkNFTlQuMi8xNS8yMDI0AQAAAF1zfCEDAAAAAACV/CATIhPeCNbX8xUiE94ILENJUS5JTVJYLklRX1NIT1JUX0lOVEVSRVNUX1BFUkNFTlQuMi8yMC8yMDI0AQAAANUOYRICAAAAEDkuMTMxNDgwMjM4MTY2MzYAyCUhEyIT3gjLYvMVIhPeCCJDSVEuVEVWQS5JUV9WQUxVRV9UUkFERUQuMi8yMC8yMDI0AQAAAE+zBAACAAAACjE1NC40MzA2ODkAtkohEyIT3ghDO/MVIhPeCCFDSVEuSk5KLklRX1ZBTFVFX1RSQURFRC4yLzIwLzIwMjQBAAAAnSECAAIAAAALMTQ5OS45NDQ5OTIAtkohEyIT3gg77fIVIhPeCCxDSVEuRU5MVi5JUV9TSE9SVF9JTlRFUkVTVF9QRVJD</t>
  </si>
  <si>
    <t>RU5ULjIvMjEvMjAyNAEAAAA76AEFAgAAABEwLjg2MzE3OTk2MjA5OTIwNgC2SiETIhPeCFif8hUiE94ILENJUS5FTEVWLklRX1NIT1JUX0lOVEVSRVNUX1BFUkNFTlQuMi8yMi8yMDI0AQAAAEzb7wIDAAAAAAC2SiETIhPeCP5Q8hUiE94ILENJUS5QSFZTLklRX1NIT1JUX0lOVEVSRVNUX1BFUkNFTlQuMi8yMi8yMDI0AQAAAHCLBBgCAAAAETAuNDA3MzkwODk5ODgzNzUzALZKIRMiE94IuwLyFSIT3ggiQ0lRLlRBUlMuSVFfVkFMVUVfVFJBREVELjIvMjcvMjAyNAEAAAAxEcQmAgAAAAk5OC44MDA5MDYAiHUhEyIT3giZq+8VIhPeCCFDSVEuQ1VFLklRX1ZBTFVFX1RSQURFRC4yLzI5LzIwMjQBAAAApmboGAIAAAAIMC4zMzEwMjkA+7gVEyIT3gjKq+0VIhPeCCxDSVEuUllUTS5JUV9TSE9SVF9JTlRFUkVTVF9QRVJDRU5ULjIvMjkvMjAyNAEAAAAYyW0SAgAAABAxNC41Njg1MjMyNTU0MjA1APu4FRMiE94IAV7tFSIT3ggrQ0lRLkJJVkkuSVFfU0hPUlRfSU5URVJFU1RfUEVSQ0VOVC4zLzEvMjAyNAEAAAADi3IOAgAAABAyLjU3NzIwNTk4MzcwNDk2APu4FRMiE94ItA/tFSIT3ggrQ0lRLk5WUy5JUV9TSE9SVF9JTlRFUkVTVF9QRVJDRU5ULjEvMTkvMjAyNAEAAACptegPAwAAAAAAdRuIEyIT3givJwIWIhPeCCJDSVEuRVBJWC5JUV9WQUxVRV9UUkFERUQuMS8yNS8yMDI0AQAAAEyxaBADAAAAAABIDIoT</t>
  </si>
  <si>
    <t>IhPeCIu5/xUiE94IIkNJUS5MUk1SLklRX1ZBTFVFX1RSQURFRC4yLzEyLzIwMjQBAAAAF2AdIgIAAAAJMTYuOTI3MDExAJI9URMiE94IvbD4FSIT3ggiQ0lRLlJPSVYuSVFfVkFMVUVfVFJBREVELjIvMTMvMjAyNAEAAAA5OM8QAgAAAAk2Ni45ODU4NTUA7WNREyIT3ghdR/YVIhPeCCJDSVEuTUVTTy5JUV9WQUxVRV9UUkFERUQuMi8xNC8yMDI0AQAAAEaeNgECAAAACDAuNTA2OTIyAJX8IBMiE94I1tfzFSIT3ggsQ0lRLkFVUEguSVFfU0hPUlRfSU5URVJFU1RfUEVSQ0VOVC4yLzE1LzIwMjQBAAAA7XcNAAIAAAAQMTIuODEyODEwNjQyMTY3MgDIJSETIhPeCNbX8xUiE94IIkNJUS5DQVNJLklRX1ZBTFVFX1RSQURFRC4yLzE2LzIwMjQBAAAAJWoFAAIAAAAIMC4wODQ2NzQAyCUhEyIT3gjW1/MVIhPeCCxDSVEuVlRZWC5JUV9TSE9SVF9JTlRFUkVTVF9QRVJDRU5ULjIvMjIvMjAyNAEAAAAEFBYoAgAAABA4LjIzMjk5NDUyOTIyNTk5AIh1IRMiE94IwbTxFSIT3ggsQ0lRLlRFVkEuSVFfU0hPUlRfSU5URVJFU1RfUEVSQ0VOVC4yLzIzLzIwMjQBAAAAT7MEAAIAAAAPMS42MzM5Njk5NTgxMzg4AIh1IRMiE94IQjLxFSIT3ggsQ0lRLktSWVMuSVFfU0hPUlRfSU5URVJFU1RfUEVSQ0VOVC4yLzI2LzIwMjQBAAAAKCfVHwIAAAAQNy4xNzIzOTA4NDU3MjQ1NQCIdSETIhPeCASW8BUiE94IIUNJUS5IQ00uSVFf</t>
  </si>
  <si>
    <t>VkFMVUVfVFJBREVELjIvMjgvMjAyNAEAAAC7r5YBAgAAAAgwLjEzMjEwNgCIdSETIhPeCALZ7hUiE94IIkNJUS5LQU5ULklRX1ZBTFVFX1RSQURFRC4yLzI5LzIwMjQFAAAAAAAAAAgAAAAUKEludmFsaWQgSWRlbnRpZmllcin7uBUTIhPeCNI87hUiE94IIkNJUS5JUldELklRX1ZBTFVFX1RSQURFRC4yLzI5LzIwMjQBAAAACnsAAAIAAAAKMjk3LjMyNTk2NwD7uBUTIhPeCOXS7RUiE94IIUNJUS5CSVZJLklRX1ZBTFVFX1RSQURFRC4zLzEvMjAyNAEAAAADi3IOAgAAAAoxNzUuMTc1OTczAPu4FRMiE94IyjbtFSIT3ggrQ0lRLkxFWFguSVFfU0hPUlRfSU5URVJFU1RfUEVSQ0VOVC4zLzEvMjAyNAEAAAAre48BAgAAABA1LjcxNDcwNzQxOTAxMTIzAPu4FRMiE94I3+jsFSIT3gggQ0lRLkdTSy5JUV9WQUxVRV9UUkFERUQuMy80LzIwMjQBAAAA8jMEAAIAAAAJODUuMDU2NTk5APu4FRMiE94IWV3rFSIT3gghQ0lRLlJHTlguSVFfVkFMVUVfVFJBREVELjMvNS8yMDI0AQAAAFRvyQcCAAAACTY5LjA0NTAyOAD7uBUTIhPeCESa6hUiE94IK0NJUS5YT01BLklRX1NIT1JUX0lOVEVSRVNUX1BFUkNFTlQuMy82LzIwMjQBAAAAoY8AAAIAAAAQMi41NTAyNDI4MzEzNTY1MQD7uBUTIhPeCI/55xUiE94IIUNJUS5LVVJBLklRX1ZBTFVFX1RSQURFRC4zLzYvMjAyNAEAAAC4y9oQAgAAAAkzNS44MTgxOTQA+7gVEyIT</t>
  </si>
  <si>
    <t>3giP+ecVIhPeCCtDSVEuTU5NRC5JUV9TSE9SVF9JTlRFUkVTVF9QRVJDRU5ULjMvNy8yMDI0AQAAAKL8nCUCAAAAEDguMjk0ODY3NTA1NTgwNzgA+ikYEyIT3givkeUVIhPeCCFDSVEuTUJJTy5JUV9WQUxVRV9UUkFERUQuMy83LzIwMjQBAAAAMNl3EwIAAAAINS41NDEzNzQA+ikYEyIT3givkeUVIhPeCCxDSVEuQVJRVC5JUV9TSE9SVF9JTlRFUkVTVF9QRVJDRU5ULjMvMTAvMjAyNAEAAAAoYbkgAgAAABAxNC43MzYwOTQzMDI4MDM5AAi54xIiE94Ir5HlFSIT3ggiQ0lRLkFNR04uSVFfVkFMVUVfVFJBREVELjMvMTEvMjAyNAEAAADwYAAAAgAAAAo1MDkuNzI1NTA1AAi54xIiE94Ir5HlFSIT3gghQ0lRLkFUSEEuSVFfQkVUQV8xWVJfUlNRLjEvMy8yMDI0AQAAABwR2w8CAAAAETAuMTMyMjY0OTQ2MzY1NDE0AKPvlBMiE94I9bgMFiIT3gghQ0lRLlBSVEcuSVFfQkVUQV8xWVJfUlNRLjEvNC8yMDI0BQAAAAAAAAAIAAAAFChJbnZhbGlkIElkZW50aWZpZXIpo++UEyIT3giG2gsWIhPeCCFDSVEuVklOQy5JUV9CRVRBXzFZUl9SU1EuMS84LzIwMjQBAAAA5DUjKQIAAAARMC4wMjIwMDkwMjAxNjYwMDIAo++UEyIT3gjocQkWIhPeCCFDSVEuSU5DWS5JUV9CRVRBXzFZUl9SU1EuMS84LzIwMjQBAAAAmhQFAAIAAAARMC4yNTY1MzIxNzA0MDgyMjEAo++UEyIT3ggi+AYWIhPeCCFDSVEuQVRYSS5JUV9CRVRB</t>
  </si>
  <si>
    <t>XzFZUl9SU1EuMS8yLzIwMjQBAAAA0qqGEgIAAAAUNi43NzM1Nzc4MjE1ODUxOUUtMDgAYUvGEyIT3gjG7w4WIhPeCCFDSVEuSUZSWC5JUV9CRVRBXzFZUl9SU1EuMS80LzIwMjQBAAAA0H2HAgIAAAAUMC4wMDA5NDIyMzIxNTQ4NDA2MjgAo++UEyIT3gj1uAwWIhPeCCBDSVEuR1NLLklRX0JFVEFfMVlSX1JTUS4xLzUvMjAyNAEAAADyMwQAAgAAABMwLjAwMjczNTA3MDIyODg0Njc5AKPvlBMiE94IhtoLFiIT3gghQ0lRLklUT1MuSVFfQkVUQV8xWVJfUlNRLjEvOC8yMDI0BQAAAAAAAAAIAAAAFChJbnZhbGlkIElkZW50aWZpZXIpo++UEyIT3gjocQkWIhPeCCFDSVEuU01NVC5JUV9CRVRBXzFZUl9SU1EuMS84LzIwMjQBAAAAwy2xAAIAAAATMC4wMDI2ODk5Mzc2NTIyNjMxOQCj75QTIhPeCCL4BhYiE94IIkNJUS5BQ1JTLklRX0JFVEFfMVlSX1JTUS4xLzEwLzIwMjQBAAAAy1LtDAIAAAASMC4wNzg2NDYzMDU4MTA3NTAzAKPvlBMiE94IIvgGFiIT3ggiQ0lRLkJHTkUuSVFfQkVUQV8xWVJfUlNRLjEvMTYvMjAyNAEAAADg5N0GAwAAAAAAdRuIEyIT3ggykAQWIhPeCCJDSVEuSVhITC5JUV9CRVRBXzFZUl9SU1EuMS8xNy8yMDI0AQAAADukYRMCAAAAEjAuMDY3MTEwNDgwNjM1ODU3MwB1G4gTIhPeCK8nAhYiE94IIENJUS5EWU4uSVFfQkVUQV8xWVJfUlNRLjEvMy8yMDI0AQAAAAIGSCQCAAAAETAuMTc1</t>
  </si>
  <si>
    <t>MTU4NjQ5MDkwOTEyAKPvlBMiE94IGkQOFiIT3gghQ0lRLlJZVE0uSVFfQkVUQV8xWVJfUlNRLjEvNC8yMDI0AQAAABjJbRICAAAAEDAuMTM0OTU3MDI3ODQzMzgAo++UEyIT3gj1uAwWIhPeCCFDSVEuTU5NRC5JUV9CRVRBXzFZUl9SU1EuMS84LzIwMjQBAAAAovycJQIAAAARMC4yNDc4MzIxMjYzNjQ1ODQAo++UEyIT3gjocQkWIhPeCCJDSVEuQUxQTVkuSVFfQkVUQV8xWVJfUlNRLjEvOS8yMDI0AQAAAJFYDQADAAAAAACj75QTIhPeCCL4BhYiE94IIkNJUS5BTklQLklRX0JFVEFfMVlSX1JTUS4xLzE2LzIwMjQBAAAA+FMXAAIAAAARMC4xMzQ5MjgwNTUxNzM1NTQAo++UEyIT3ggykAQWIhPeCCFDSVEuQVRBSS5JUV9CRVRBXzFZUl9SU1EuMS8yLzIwMjQBAAAA7TdXKgIAAAARMC4xOTAzNzgwNDA2MjkyODMAYUvGEyIT3giTFg8WIhPeCCFDSVEuSU5UUy5JUV9CRVRBXzFZUl9SU1EuMS8zLzIwMjQBAAAA/YRvDQIAAAATMC4wMDMyODI3OTAwNzEwMDMwMgCj75QTIhPeCPW4DBYiE94IIUNJUS5UQlBILklRX0JFVEFfMVlSX1JTUS4xLzUvMjAyNAEAAAASXF0OAgAAABIwLjA3NDc4ODYwMDkwMDA4NDcAo++UEyIT3giG2gsWIhPeCCBDSVEuQUxULklRX0JFVEFfMVlSX1JTUS4xLzgvMjAyNAEAAAD3QkoAAgAAABIwLjAzMTUxOTU3NDQ0NTc2MTkAo++UEyIT3gjocQkWIhPeCCJDSVEuRkRNVC5JUV9CRVRB</t>
  </si>
  <si>
    <t>XzFZUl9SU1EuMS8xMC8yMDI0AQAAACXQQxACAAAAETAuMTQ3Mjk1MDkxNjAwMzU1AKPvlBMiE94IIvgGFiIT3ggiQ0lRLlZSVFguSVFfQkVUQV8xWVJfUlNRLjEvMTYvMjAyNAEAAACLjQAAAgAAABEwLjE1NzUxNjAzNDk0NzA0MgB1G4gTIhPeCDKQBBYiE94IIUNJUS5QRkUuSVFfQkVUQV8xWVJfUlNRLjEvMTcvMjAyNAEAAADeeQIAAgAAABIwLjA4NTU2OTI5NzExMzQwNDcAdRuIEyIT3givJwIWIhPeCCFDSVEuQk1ZLklRX0JFVEFfMVlSX1JTUS4xLzIwLzIwMjQBAAAAxmQAAAIAAAARMC4xMTU1ODIzMzQ2Mjk2NTIAdRuIEyIT3givJwIWIhPeCCJDSVEuSFJUWC5JUV9CRVRBXzFZUl9SU1EuMS8yMy8yMDI0AQAAAC5fAAACAAAAEjAuMDUyNzI1MDc3MTgwMjc3NQB1G4gTIhPeCIu5/xUiE94IIUNJUS5NUksuSVFfQkVUQV8xWVJfUlNRLjEvMjYvMjAyNAEAAAD2ZgQAAgAAABEwLjAxMDI2NjU0NjA5NDk3NQB1G4gTIhPeCHOS/xUiE94II0NJUS5LWUtPRi5JUV9CRVRBXzFZUl9SU1EuMS8zMC8yMDI0AQAAAMt1CgADAAAAAAAl8FATIhPeCOQL/hUiE94IIUNJUS5FWVBULklRX0JFVEFfMVlSX1JTUS4yLzUvMjAyNAEAAACvYEQAAgAAABIwLjA0NzA4NTc3ODU1NzY0MTQAJfBQEyIT3gjPhvwVIhPeCCFDSVEuSU5LVC5JUV9CRVRBXzFZUl9SU1EuMi82LzIwMjQBAAAAxNEWZAIAAAASMC4wOTEwNjM4MDM1</t>
  </si>
  <si>
    <t>NTM0NzU4ACXwUBMiE94IHhn7FSIT3gghQ0lRLkJEUlguSVFfQkVUQV8xWVJfUlNRLjIvOC8yMDI0AQAAAM5/lhACAAAAFDAuMDAwNjI1MjUyOTE5NjQ2MjAyACXwUBMiE94IvbD4FSIT3ggiQ0lRLlNHTU8uSVFfQkVUQV8xWVJfUlNRLjIvMTIvMjAyNAEAAAACTAYAAgAAABEwLjEzNjg2MTk2NTI2NDM4NgAl8FATIhPeCF1H9hUiE94IIkNJUS5PQ1VMLklRX0JFVEFfMVlSX1JTUS4yLzEzLzIwMjQBAAAAQjGAAgIAAAARMC4wNDMyNTY2ODc4NDk5NzIAJfBQEyIT3ghdR/YVIhPeCCJDSVEuTUVTTy5JUV9CRVRBXzFZUl9SU1EuMi8xNC8yMDI0AQAAAEaeNgEDAAAAAACQrSATIhPeCNbX8xUiE94IIkNJUS5BVFhJLklRX0JFVEFfMVlSX1JTUS4yLzIyLzIwMjQBAAAA0qqGEgIAAAATMC4wMDIzOTI0NTg2NjYwMjI3MgBD1SATIhPeCMop8hUiE94IIkNJUS5LUllTLklRX0JFVEFfMVlSX1JTUS4yLzI2LzIwMjQBAAAAKCfVHwIAAAASMC4wNTEwMzk3OTU2ODUzMjYzAEPVIBMiE94IDr3wFSIT3gghQ0lRLlBUTi5JUV9CRVRBXzFZUl9SU1EuMi8yOC8yMDI0AQAAAAgv3AwCAAAAEzAuMDAyMzU1MDY0NjcyMjU3OTkAQ9UgEyIT3ghsJ+8VIhPeCCFDSVEuQ1VFLklRX0JFVEFfMVlSX1JTUS4yLzI5LzIwMjQBAAAApmboGAIAAAARMC4xOTkwODkyNDM4Mjg3OTkA+7gVEyIT3gjKq+0VIhPeCCFDSVEuQ0xSQi5JUV9C</t>
  </si>
  <si>
    <t>RVRBXzFZUl9SU1EuMy80LzIwMjQBAAAA8+49AgIAAAASMC4wNTY2ODQxNzI2MTkzNjc1APu4FRMiE94IRyXsFSIT3gghQ0lRLk1OUFIuSVFfQkVUQV8xWVJfUlNRLjMvNS8yMDI0AQAAAEumJBICAAAAEzAuMDAzMzQ3NzE3NTU3MTcyNTQA+7gVEyIT3ghHweoVIhPeCCFDSVEuQk1FQS5JUV9CRVRBXzFZUl9SU1EuMy82LzIwMjQBAAAAx5hxKQIAAAASMC4wMzk1NDQ3MzIwNjUyNjQ0APu4FRMiE94Ij/nnFSIT3gghQ0lRLlRFVkEuSVFfQkVUQV8xWVJfUlNRLjEvMy8yMDI0AQAAAE+zBAACAAAAETAuMTA3MDUwMTc1NDEzNTI5AGFLxhMiE94IyXoOFiIT3gghQ0lRLkxHTkQuSVFfQkVUQV8xWVJfUlNRLjEvNS8yMDI0AQAAAGR4AAACAAAAETAuNDEzOTA0MzY5NzMzNjE4AKPvlBMiE94I6HEJFiIT3gghQ0lRLk9LWU8uSVFfQkVUQV8xWVJfUlNRLjEvOC8yMDI0AQAAAEvPtgICAAAAFDAuMDAwNjA1MDc3MTkxMzYxMTM4AKPvlBMiE94I6HEJFiIT3gghQ0lRLkFWSVIuSVFfQkVUQV8xWVJfUlNRLjEvOC8yMDI0AQAAAFnKEQ8CAAAAEjAuMDM4MTE3Mjk2MzQ3MDQ4MgCj75QTIhPeCCL4BhYiE94IIUNJUS5NUksuSVFfQkVUQV8xWVJfUlNRLjEvMTIvMjAyNAEAAAD2ZgQAAgAAABIwLjAxNjY4MDQ1NzIxOTk3NzcAo++UEyIT3ggykAQWIhPeCCJDSVEuQUNYUC5JUV9CRVRBXzFZUl9SU1EuMS8xNy8yMDI0AQAA</t>
  </si>
  <si>
    <t>AM7MQiECAAAAEzAuMDA4OTcxNjkwMDMwMTk5OTgAdRuIEyIT3ggykAQWIhPeCCJDSVEuRENQSC5JUV9CRVRBXzFZUl9SU1EuMS8xOC8yMDI0BQAAAAAAAAAIAAAAFChJbnZhbGlkIElkZW50aWZpZXIpdRuIEyIT3givJwIWIhPeCCJDSVEuSU9OUy5JUV9CRVRBXzFZUl9SU1EuMS8yMi8yMDI0AQAAAFx2AAACAAAAETAuMjc3OTA2NTU5MDIyODU1AHUbiBMiE94Ii7n/FSIT3ggiQ0lRLkVYRUwuSVFfQkVUQV8xWVJfUlNRLjEvMjUvMjAyNAEAAACybgAAAgAAABEwLjEyMjA0MTczMjQwMDU1MQB1G4gTIhPeCIu5/xUiE94IIkNJUS5TUlBULklRX0JFVEFfMVlSX1JTUS4xLzI5LzIwMjQBAAAAWIgFAAIAAAATMC4wMDc0MjQ5MjUyMDYwNDcwOQB1G4gTIhPeCDD2/hUiE94IIkNJUS5SSEhCWS5JUV9CRVRBXzFZUl9SU1EuMi8xLzIwMjQBAAAAJHwKAAMAAAAAACXwUBMiE94I5WH9FSIT3gghQ0lRLkFJTUQuSVFfQkVUQV8xWVJfUlNRLjIvNS8yMDI0AQAAACeTBQACAAAAEzAuMDAzODE5NTE4MDE1NzkwMDYAJfBQEyIT3gic6vsVIhPeCCBDSVEuR1NLLklRX0JFVEFfMVlSX1JTUS4yLzcvMjAyNAEAAADyMwQAAgAAABMwLjAwMjA0MzkzMzQyNTAzOTI2ACXwUBMiE94IvbD4FSIT3gghQ0lRLklOQ1kuSVFfQkVUQV8xWVJfUlNRLjEvMi8yMDI0AQAAAJoUBQACAAAAETAuMjk1Mzg3NTE4NTA1MDY1AGFLxhMiE94I</t>
  </si>
  <si>
    <t>VjwPFiIT3gghQ0lRLkNNTUIuSVFfQkVUQV8xWVJfUlNRLjEvMy8yMDI0AQAAALLTSBMCAAAAETAuMTE4MzA2MjI2NjcxNzY2AKPvlBMiE94I9bgMFiIT3gghQ0lRLlZFUlUuSVFfQkVUQV8xWVJfUlNRLjEvOC8yMDI0AQAAADfTBAACAAAAEzAuMDA4OTM4OTQzNDE3MzcwNzYAo++UEyIT3gjocQkWIhPeCCFDSVEuQ1lCTi5JUV9CRVRBXzFZUl9SU1EuMS84LzIwMjQBAAAA/su+JwIAAAARMC4wMTU0MDE5NzcxNzgzMzcAo++UEyIT3ggi+AYWIhPeCCFDSVEuVEFLLklRX0JFVEFfMVlSX1JTUS4xLzE2LzIwMjQBAAAALFgNAAMAAAAAAHUbiBMiE94IMpAEFiIT3ggiQ0lRLkNBVFguSVFfQkVUQV8xWVJfUlNRLjEvMTcvMjAyNAEAAADqlZcAAgAAABIwLjAwMTk4MzgzNTcwNDUzOTQAdRuIEyIT3givJwIWIhPeCCJDSVEuQUxWTy5JUV9CRVRBXzFZUl9SU1EuMS8xOS8yMDI0AQAAAD2JUSkCAAAAEzAuMDA5OTU5MzYyMjEzODk2MzgAdRuIEyIT3givJwIWIhPeCCFDSVEuTExZLklRX0JFVEFfMVlSX1JTUS4xLzIzLzIwMjQBAAAAG1sEAAIAAAATMC4wMDc0MDIyOTkxMDU1NzY4MwB1G4gTIhPeCIu5/xUiE94IIUNJUS5CTVkuSVFfQkVUQV8xWVJfUlNRLjEvMjUvMjAyNAEAAADGZAAAAgAAABEwLjExNTU4MjMzNDYyOTY1MgB1G4gTIhPeCIu5/xUiE94IIkNJUS5SQ1VTLklRX0JFVEFfMVlSX1JTUS4xLzMwLzIw</t>
  </si>
  <si>
    <t>MjQBAAAANL9lEwIAAAASMC4wODc2MzcwODAzMzIyNTQ3AHUbiBMiE94I9Fn+FSIT3gggQ0lRLktPRC5JUV9CRVRBXzFZUl9SU1EuMi8zLzIwMjQBAAAAlTUxEwIAAAARMC4xODM4NTQ1MTEwMjU4MTQAJfBQEyIT3ggMrvwVIhPeCCFDSVEuQUJFTy5JUV9CRVRBXzFZUl9SU1EuMi82LzIwMjQBAAAA54EFAAIAAAATMC4wMDcyNjIxNTE0ODA0MDEwMwAl8FATIhPeCE1O+xUiE94IIUNJUS5BRFZNLklRX0JFVEFfMVlSX1JTUS4yLzgvMjAyNAEAAACXtVcMAgAAABIwLjAxMzM5NDI3MzQ5OTA5NjMAJfBQEyIT3gi9sPgVIhPeCCFDSVEuVEFLLklRX0JFVEFfMVlSX1JTUS4yLzEyLzIwMjQBAAAALFgNAAMAAAAAACXwUBMiE94IXUf2FSIT3ggiQ0lRLlBUSVguSVFfQkVUQV8xWVJfUlNRLjIvMTMvMjAyNAEAAABzr21wAwAAAAAAJfBQEyIT3ghdR/YVIhPeCCJDSVEuSU5LVC5JUV9CRVRBXzFZUl9SU1EuMi8xNC8yMDI0AQAAAMTRFmQCAAAAEjAuMDkzNzMyNjE0MzI4MDE4MQCQrSATIhPeCNbX8xUiE94IIUNJUS5BWk4uSVFfQkVUQV8xWVJfUlNRLjIvMTcvMjAyNAEAAACGIwUAAgAAABEwLjIwMzk4NjE3NTg3ODIwOQBD1SATIhPeCNbX8xUiE94IIkNJUS5FTEVWLklRX0JFVEFfMVlSX1JTUS4yLzIyLzIwMjQBAAAATNvvAgMAAAAAAEPVIBMiE94I/lDyFSIT3gghQ0lRLkdTSy5JUV9CRVRBXzFZUl9SU1EuMi8y</t>
  </si>
  <si>
    <t>Ni8yMDI0AQAAAPIzBAACAAAAFDAuMDAwOTM4MTE0NjY3NjExNTA5AEPVIBMiE94IJuTwFSIT3ggiQ0lRLlBQQlQuSVFfQkVUQV8xWVJfUlNRLjIvMjcvMjAyNAEAAAAtojYBAgAAABIwLjA2NzEwOTMxMDcwNjc0NDQAQ9UgEyIT3gjYXe8VIhPeCCJDSVEuQ0xOTi5JUV9CRVRBXzFZUl9SU1EuMi8yOS8yMDI0AQAAAGRJOxQCAAAAEjAuMDMyOTQ3NzE4NDE2MDY1MQD7uBUTIhPeCOXS7RUiE94IIENJUS5OVk8uSVFfQkVUQV8xWVJfUlNRLjMvNC8yMDI0AQAAAHzvBAADAAAAAAD7uBUTIhPeCFNz7BUiE94IIENJUS5OVlMuSVFfQkVUQV8xWVJfUlNRLjEvMi8yMDI0AQAAAKm16A8CAAAAEjAuMDEzMTg4NzMyNTYyODM1MQBhS8YTIhPeCNehDhYiE94IIUNJUS5ERVJNLklRX0JFVEFfMVlSX1JTUS4xLzUvMjAyNAEAAAB1j7kQAgAAABIwLjAxOTQwMDAzNzE5NDgyNjgAo++UEyIT3gjocQkWIhPeCCFDSVEuQ0xOTi5JUV9CRVRBXzFZUl9SU1EuMS84LzIwMjQBAAAAZEk7FAIAAAASMC4wNzM5MzcwMTgwODk3MzcyAKPvlBMiE94I6HEJFiIT3gghQ0lRLk5VVkIuSVFfQkVUQV8xWVJfUlNRLjEvOC8yMDI0AQAAAD/tFiYCAAAAETAuMjgzODQwMTAyNjc5NTgyAKPvlBMiE94IIvgGFiIT3ggiQ0lRLkJQVEguSVFfQkVUQV8xWVJfUlNRLjEvMTAvMjAyNAEAAACyZTwCAgAAABIwLjAxNDg3NzgwMDQwMDA2MzIAo++U</t>
  </si>
  <si>
    <t>EyIT3ggykAQWIhPeCCJDSVEuUkNVUy5JUV9CRVRBXzFZUl9SU1EuMS8xNi8yMDI0AQAAADS/ZRMCAAAAETAuMTA2NTM0ODkwOTA3OTM1AHUbiBMiE94IMpAEFiIT3ggiQ0lRLkNMRFguSVFfQkVUQV8xWVJfUlNRLjEvMTgvMjAyNAEAAABVzJIAAgAAABEwLjE2NDQ1ODczMzcxNDcyMgB1G4gTIhPeCK8nAhYiE94IIkNJUS5TR01ULklRX0JFVEFfMVlSX1JTUS4xLzIyLzIwMjQBAAAABBEPAgIAAAARMC4xOTQwMDc5MTAxMzYzMTQAdRuIEyIT3givJwIWIhPeCCJDSVEuVkVSQS5JUV9CRVRBXzFZUl9SU1EuMS8yNS8yMDI0AQAAAJ3FuigCAAAAEjAuMDY0MDM1ODA3NzA0NDM1MwB1G4gTIhPeCIu5/xUiE94IIUNJUS5BWk4uSVFfQkVUQV8xWVJfUlNRLjEvMjkvMjAyNAEAAACGIwUAAgAAABEwLjE0MDA1MTAwMTk3MzAyOAB1G4gTIhPeCFEd/xUiE94IIkNJUS5PVExLLklRX0JFVEFfMVlSX1JTUS4xLzMxLzIwMjQBAAAABaSxCAIAAAASMC4wMTk3ODg0NTg5MDU5MzczACXwUBMiE94I4Jb9FSIT3gghQ0lRLkFSQ1QuSVFfQkVUQV8xWVJfUlNRLjIvNS8yMDI0AQAAAKXDAg4CAAAAEDAuMjg4NTY0MTk0ODM2MzQAJfBQEyIT3giPEfwVIhPeCCFDSVEuQkNUWC5JUV9CRVRBXzFZUl9SU1EuMi83LzIwMjQBAAAA9tyhDwMAAAAAACXwUBMiE94IvbD4FSIT3gghQ0lRLk9LWU8uSVFfQkVUQV8xWVJfUlNRLjIvOS8y</t>
  </si>
  <si>
    <t>MDI0AQAAAEvPtgICAAAAFDAuMDAwODU4NDA4ODQ0NzI0MDAxACXwUBMiE94IvbD4FSIT3ggjQ0lRLlBIUlJGLklRX0JFVEFfMVlSX1JTUS4yLzEyLzIwMjQFAAAAAAAAAAgAAAAUKEludmFsaWQgSWRlbnRpZmllcikl8FATIhPeCF1H9hUiE94IIkNJUS5LUkJQLklRX0JFVEFfMVlSX1JTUS4yLzE0LzIwMjQBAAAAQLl/JwMAAAAAAJCtIBMiE94I1tfzFSIT3ggiQ0lRLk9OQ1kuSVFfQkVUQV8xWVJfUlNRLjIvMTUvMjAyNAEAAABXdRQAAgAAABIwLjAzOTQ5ODIwMzc5MDk1ODUAQ9UgEyIT3gjW1/MVIhPeCCJDSVEuVEVWQS5JUV9CRVRBXzFZUl9SU1EuMi8yMC8yMDI0AQAAAE+zBAACAAAAEjAuMDQ0NDMyMTI5Mzc4MjkzMwBD1SATIhPeCEM78xUiE94IIkNJUS5SRUdOLklRX0JFVEFfMVlSX1JTUS4yLzIzLzIwMjQBAAAAs4MAAAIAAAARMC4xMzg5NDgxMjgwNDU3MzkAQ9UgEyIT3gjBtPEVIhPeCCJDSVEuTVROQi5JUV9CRVRBXzFZUl9SU1EuMi8yNi8yMDI0AQAAANrShQ4CAAAAEjAuMDE5MzMxNDgyNTk3MjQ1NgBD1SATIhPeCMMg8BUiE94IIkNJUS5TTlNFLklRX0JFVEFfMVlSX1JTUS4yLzI4LzIwMjQBAAAA7SwLAAIAAAARMC4xNTEyNTgyNzg2Njg4NjMAQ9UgEyIT3ggIsu4VIhPeCCFDSVEuQ0dFTS5JUV9CRVRBXzFZUl9SU1EuMy8xLzIwMjQBAAAAf3omIAIAAAASMC4wNzU0MDc5MTM4NTE4OTU0</t>
  </si>
  <si>
    <t>APu4FRMiE94IyjbtFSIT3gghQ0lRLkxOVEguSVFfQkVUQV8xWVJfUlNRLjMvNC8yMDI0AQAAAHhrfgACAAAAEzAuMDA2MzEyMjQwOTM1NzEyNDQA+7gVEyIT3gjUq+sVIhPeCCFDSVEuQVBMTS5JUV9CRVRBXzFZUl9SU1EuMS8zLzIwMjQBAAAAoyHGFgIAAAASMC4wODgwNDkxNjc0MzkyNzc5AKPvlBMiE94I9bgMFiIT3gggQ0lRLk1SSy5JUV9CRVRBXzFZUl9SU1EuMS80LzIwMjQBAAAA9mYEAAIAAAATMC4wMDc4NTkxNzY3ODE5OTYzNwCj75QTIhPeCIbaCxYiE94IIUNJUS5BUkdYLklRX0JFVEFfMVlSX1JTUS4xLzgvMjAyNAEAAAC94rMDAgAAABQwLjAwMDY0NDUwNDMwNDY5NDI2MgCj75QTIhPeCOhxCRYiE94IIUNJUS5DUkJQLklRX0JFVEFfMVlSX1JTUS4xLzkvMjAyNAEAAAAkbyQPAgAAABIwLjAyNDY5ODgzMTMyNjU4NTEAo++UEyIT3ggi+AYWIhPeCCJDSVEuTUFJQS5JUV9CRVRBXzFZUl9SU1EuMS8xNy8yMDI0AQAAAHXynyUCAAAAFDEuNTUwNDU3Njk0OTkzOTVFLTA1AHUbiBMiE94IMpAEFiIT3ggiQ0lRLkNSQlAuSVFfQkVUQV8xWVJfUlNRLjEvMjMvMjAyNAEAAAAkbyQPAgAAABIwLjAyNTQ3MDYxODI4MTYzMjEAdRuIEyIT3giLuf8VIhPeCCJDSVEuUkVHTi5JUV9CRVRBXzFZUl9SU1EuMS8yNS8yMDI0AQAAALODAAACAAAAETAuMTQ1MjIwOTczMDEyMjg4AHUbiBMiE94Ii7n/FSIT3ggi</t>
  </si>
  <si>
    <t>Q0lRLktSQlAuSVFfQkVUQV8xWVJfUlNRLjEvMjkvMjAyNAEAAABAuX8nAwAAAAAAdRuIEyIT3ghEgf4VIhPeCCFDSVEuRkRNVC5JUV9CRVRBXzFZUl9SU1EuMi8zLzIwMjQBAAAAJdBDEAIAAAARMC4xMzI3MzEwNzYxMjA0NjcAJfBQEyIT3gjv+/wVIhPeCCFDSVEuR0FOWC5JUV9CRVRBXzFZUl9SU1EuMi82LzIwMjQBAAAA29AMIQIAAAAUOS4yNTkyMDcxNzQ1Nzg0OUUtMDUAJfBQEyIT3ghUdfsVIhPeCCFDSVEuQUxFQy5JUV9CRVRBXzFZUl9SU1EuMi84LzIwMjQBAAAAa0DbDgIAAAASMC4wMTIwMTcxNDU2MjM0Mzc1ACXwUBMiE94IvbD4FSIT3ggiQ0lRLlBZUEQuSVFfQkVUQV8xWVJfUlNRLjIvMTIvMjAyNAEAAAB/Fu8CAgAAABQ4LjEyNTU3NzcwMTY3Mjc2RS0wNQAl8FATIhPeCF1H9hUiE94IIkNJUS5DQUxDLklRX0JFVEFfMVlSX1JTUS4yLzEzLzIwMjQBAAAABmMKAgIAAAASMC4wMzQxNDI4OTc3MTM5MTAzACXwUBMiE94IXUf2FSIT3ggiQ0lRLkFOVlMuSVFfQkVUQV8xWVJfUlNRLjIvMTQvMjAyNAEAAAAv0R0lAgAAABIwLjAxMjc0Njk1MjQ4NTQ4NzQAkK0gEyIT3gjW1/MVIhPeCCFDSVEuU1BSTy5JUV9CRVRBXzFZUl9SU1EuMS8yLzIwMjQBAAAAs9xWDgIAAAARMC4xMzMzNjYzMTg0MjEzMDgAYUvGEyIT3ghZyQ4WIhPeCCFDSVEuR0xZQy5JUV9CRVRBXzFZUl9SU1EuMS80LzIwMjQBAAAA</t>
  </si>
  <si>
    <t>OQdXAAMAAAAAAKPvlBMiE94I9bgMFiIT3gghQ0lRLk1SU04uSVFfQkVUQV8xWVJfUlNRLjEvNS8yMDI0AQAAAObFGAACAAAAEjAuMDEzMjQwNTUyNjgwNzgzOQCj75QTIhPeCOhxCRYiE94IIENJUS5CTVkuSVFfQkVUQV8xWVJfUlNRLjEvOC8yMDI0AQAAAMZkAAACAAAAETAuMTE2NDMzNzcwNzc4MjU5AKPvlBMiE94I6HEJFiIT3gghQ0lRLk9SSUMuSVFfQkVUQV8xWVJfUlNRLjEvOC8yMDI0AQAAAFRLGhICAAAAETAuMTM3NDUyNjQyNjM4MDU0AKPvlBMiE94IIvgGFiIT3ggiQ0lRLlZZTkUuSVFfQkVUQV8xWVJfUlNRLjEvMTAvMjAyNAEAAAAqXWMAAgAAABEwLjA2ODgyMTQwMDkwNTI0MQCj75QTIhPeCDKQBBYiE94IIUNJUS5PTkMuSVFfQkVUQV8xWVJfUlNRLjEvMTYvMjAyNAEAAADg5N0GAgAAABEwLjIxMTY5NTY4ODQ4MTg3NQB1G4gTIhPeCDKQBBYiE94IIkNJUS5QQkxBLklRX0JFVEFfMVlSX1JTUS4xLzE4LzIwMjQBAAAANvXYCgIAAAATMC4wMDI1MTIyMjk5NjQ3MjM0NQB1G4gTIhPeCK8nAhYiE94IIkNJUS5DTFJCLklRX0JFVEFfMVlSX1JTUS4xLzIyLzIwMjQBAAAA8+49AgIAAAARMC4wODcwNjM3NzI2MDgwOTkAdRuIEyIT3givJwIWIhPeCCJDSVEuRU5TQy5JUV9CRVRBXzFZUl9SU1EuMS8yNS8yMDI0AQAAAD9GFgMCAAAAEjAuMDExNDk1NjM0MzE0NTExOAB1G4gTIhPeCIu5/xUiE94I</t>
  </si>
  <si>
    <t>IUNJUS5NUksuSVFfQkVUQV8xWVJfUlNRLjEvMjkvMjAyNAEAAAD2ZgQAAgAAABEwLjAxMDI2NjU0NjA5NDk3NQB1G4gTIhPeCGZr/xUiE94IIkNJUS5WUlRYLklRX0JFVEFfMVlSX1JTUS4xLzMwLzIwMjQBAAAAi40AAAIAAAARMC4xNTEwMzYxNDIxMDk0NzUAJfBQEyIT3gigvf0VIhPeCCFDSVEuUkFOSS5JUV9CRVRBXzFZUl9SU1EuMi81LzIwMjQBAAAAGyBzDgIAAAAUMS4yNjE0NTI5ODU3MjY1NkUtMDYAJfBQEyIT3giqOPwVIhPeCCBDSVEuVEFLLklRX0JFVEFfMVlSX1JTUS4yLzkvMjAyNAEAAAAsWA0AAwAAAAAAJfBQEyIT3gi9sPgVIhPeCCJDSVEuS1RSQS5JUV9CRVRBXzFZUl9SU1EuMi8xMi8yMDI0BQAAAAAAAAAIAAAAFChJbnZhbGlkIElkZW50aWZpZXIpJfBQEyIT3ghdR/YVIhPeCCFDSVEuVEFLLklRX0JFVEFfMVlSX1JTUS4yLzEzLzIwMjQBAAAALFgNAAMAAAAAAJCtIBMiE94IXUf2FSIT3ggiQ0lRLklPTlMuSVFfQkVUQV8xWVJfUlNRLjIvMTUvMjAyNAEAAABcdgAAAgAAABEwLjI3NDE1MjY2OTk0MzgwMQBD1SATIhPeCNbX8xUiE94IIUNJUS5TTkdYLklRX0JFVEFfMVlSX1JTUS4xLzQvMjAyNAEAAACrbQAAAgAAABQwLjAwMDIwMTMwMDM3OTk1Mjk3NACj75QTIhPeCIbaCxYiE94IIUNJUS5OUklYLklRX0JFVEFfMVlSX1JTUS4xLzgvMjAyNAEAAABMKlUMAgAAABEwLjIyNjk1OTc3</t>
  </si>
  <si>
    <t>NzUzNTcxMQCj75QTIhPeCOhxCRYiE94IIUNJUS5WQ0VMLklRX0JFVEFfMVlSX1JTUS4xLzkvMjAyNAEAAABZXgAAAgAAABEwLjE2NzYwNjY4ODE2MzEwOACj75QTIhPeCCL4BhYiE94IIkNJUS5DTFJCLklRX0JFVEFfMVlSX1JTUS4xLzE2LzIwMjQBAAAA8+49AgIAAAASMC4wOTQwMjg5MTYzOTE4MjQxAKPvlBMiE94IMpAEFiIT3ggiQ0lRLktBTlQuSVFfQkVUQV8xWVJfUlNRLjEvMTcvMjAyNAUAAAAAAAAACAAAABQoSW52YWxpZCBJZGVudGlmaWVyKXUbiBMiE94IMpAEFiIT3gghQ0lRLkFaTi5JUV9CRVRBXzFZUl9SU1EuMS8xOS8yMDI0AQAAAIYjBQACAAAAETAuMTE0MTg3NDg5MDE1NjE4AHUbiBMiE94IrycCFiIT3ggiQ0lRLlNYVFAuSVFfQkVUQV8xWVJfUlNRLjEvMjIvMjAyNAEAAAB8QWsOAgAAABEwLjAzOTg5OTk1MzU1ODIwNgB1G4gTIhPeCIu5/xUiE94IIkNJUS5QQ1NBLklRX0JFVEFfMVlSX1JTUS4xLzI1LzIwMjQBAAAAmxynHwIAAAASMC4wMjM4NzA0OTk5NjY0NDM3AHUbiBMiE94Ii7n/FSIT3ggiQ0lRLkxJWFQuSVFfQkVUQV8xWVJfUlNRLjEvMjkvMjAyNAEAAACsRb0BAgAAABIwLjA1MDQxMjcwMDkwNzY2MzUAdRuIEyIT3ghjqP4VIhPeCCtDSVEuQVRYSS5JUV9TSE9SVF9JTlRFUkVTVF9QRVJDRU5ULjEvMi8yMDI0AQAAANKqhhICAAAAEDEuNzI5Mjk2NTY2MzQ2MjMA7w/HEyIT</t>
  </si>
  <si>
    <t>3gjG7w4WIhPeCCFDSVEuQ1RYUi5JUV9WQUxVRV9UUkFERUQuMS8yLzIwMjQBAAAAG5c9EAIAAAAIMC41ODMyOTUA7w/HEyIT3ghZyQ4WIhPeCCtDSVEuSUZSWC5JUV9TSE9SVF9JTlRFUkVTVF9QRVJDRU5ULjEvNC8yMDI0AQAAANB9hwICAAAAEDEuMDcxOTg2OTY0MzExMzYAAhmVEyIT3gj1uAwWIhPeCCFDSVEuQURDVC5JUV9WQUxVRV9UUkFERUQuMS80LzIwMjQBAAAAmqPpCgIAAAAIMi40NjgzNDIARUGVEyIT3gj1uAwWIhPeCCpDSVEuR1NLLklRX1NIT1JUX0lOVEVSRVNUX1BFUkNFTlQuMS81LzIwMjQBAAAA8jMEAAMAAAAAAFJolRMiE94IhtoLFiIT3gghQ0lRLkZCSU8uSVFfVkFMVUVfVFJBREVELjEvNS8yMDI0AQAAAAnyrQMCAAAACDEuODYyODY1AFJolRMiE94I6HEJFiIT3ggrQ0lRLklUT1MuSVFfU0hPUlRfSU5URVJFU1RfUEVSQ0VOVC4xLzgvMjAyNAUAAAAAAAAACAAAABQoSW52YWxpZCBJZGVudGlmaWVyKR+PlRMiE94I6HEJFiIT3gggQ0lRLkdTSy5JUV9WQUxVRV9UUkFERUQuMS84LzIwMjQBAAAA8jMEAAIAAAAKMTIwLjQwMDczNAAfj5UTIhPeCOhxCRYiE94IKkNJUS5EWU4uSVFfU0hPUlRfSU5URVJFU1RfUEVSQ0VOVC4xLzMvMjAyNAEAAAACBkgkAgAAABAxNS44NTEzNDIwMzgxOTIzAAIZlRMiE94IGkQOFiIT3gghQ0lRLkFUSEEuSVFfVkFMVUVfVFJBREVELjEvMy8yMDI0AQAA</t>
  </si>
  <si>
    <t>ABwR2w8CAAAACDIuNDIwMDkxAAIZlRMiE94I9bgMFiIT3ggrQ0lRLlJZVE0uSVFfU0hPUlRfSU5URVJFU1RfUEVSQ0VOVC4xLzQvMjAyNAEAAAAYyW0SAgAAABAxNC42MTU2NTg2NjU0MDgyAEVBlRMiE94I9bgMFiIT3gghQ0lRLlBSVEcuSVFfVkFMVUVfVFJBREVELjEvNC8yMDI0BQAAAAAAAAAIAAAAFChJbnZhbGlkIElkZW50aWZpZXIpRUGVEyIT3giG2gsWIhPeCCtDSVEuTU5NRC5JUV9TSE9SVF9JTlRFUkVTVF9QRVJDRU5ULjEvOC8yMDI0AQAAAKL8nCUCAAAAEDcuMDA2NzIyNjgyNzA0MTYAH4+VEyIT3gjocQkWIhPeCCFDSVEuSU5DWS5JUV9WQUxVRV9UUkFERUQuMS84LzIwMjQBAAAAmhQFAAIAAAAKMTM4LjM1OTQzMgAfj5UTIhPeCOhxCRYiE94ILENJUS5BTFBNWS5JUV9TSE9SVF9JTlRFUkVTVF9QRVJDRU5ULjEvOS8yMDI0AQAAAJFYDQADAAAAAAAztpUTIhPeCCL4BhYiE94IIUNJUS5NRFdELklRX1ZBTFVFX1RSQURFRC4xLzkvMjAyNAEAAABB+BcAAgAAAAgxLjI5OTkzNACj2ZUTIhPeCCL4BhYiE94ILENJUS5BTklQLklRX1NIT1JUX0lOVEVSRVNUX1BFUkNFTlQuMS8xNi8yMDI0AQAAAPhTFwACAAAAEDEuMzgzMjk2MDQ5MDkzMzEAhgSWEyIT3ggykAQWIhPeCCJDSVEuQUxMSy5JUV9WQUxVRV9UUkFERUQuMS8xNi8yMDI0AQAAADn+bQ0DAAAAAAB1G4gTIhPeCDKQBBYiE94IK0NJUS5C</t>
  </si>
  <si>
    <t>TVkuSVFfU0hPUlRfSU5URVJFU1RfUEVSQ0VOVC4xLzE3LzIwMjQBAAAAxmQAAAIAAAAQMS4wOTY2ODY3MjI5MTUwNQB1G4gTIhPeCDKQBBYiE94IIkNJUS5SRUdOLklRX1ZBTFVFX1RSQURFRC4xLzE3LzIwMjQBAAAAs4MAAAIAAAAKNDg5LjQwODA3OAB1G4gTIhPeCDKQBBYiE94IK0NJUS5BVEFJLklRX1NIT1JUX0lOVEVSRVNUX1BFUkNFTlQuMS8yLzIwMjQBAAAA7TdXKgIAAAAQMi43MjA5NDMzNDU3NjgxMwDvD8cTIhPeCJMWDxYiE94IIUNJUS5BVFhJLklRX1ZBTFVFX1RSQURFRC4xLzIvMjAyNAEAAADSqoYSAgAAAAgwLjE2NTUxNgDvD8cTIhPeCMbvDhYiE94IK0NJUS5JTlRTLklRX1NIT1JUX0lOVEVSRVNUX1BFUkNFTlQuMS8zLzIwMjQBAAAA/YRvDQIAAAARMC42MjIyMDE4Njk1NjcwODUAAhmVEyIT3gj1uAwWIhPeCCFDSVEuSUZSWC5JUV9WQUxVRV9UUkFERUQuMS80LzIwMjQBAAAA0H2HAgIAAAAIMS44OTQyNzUAAhmVEyIT3gj1uAwWIhPeCCtDSVEuVEJQSC5JUV9TSE9SVF9JTlRFUkVTVF9QRVJDRU5ULjEvNS8yMDI0AQAAABJcXQ4CAAAAEDE4LjcyNDQ1ODk5NTg5MzUARUGVEyIT3giG2gsWIhPeCCBDSVEuR1NLLklRX1ZBTFVFX1RSQURFRC4xLzUvMjAyNAEAAADyMwQAAgAAAAk5Ny4zMTkyNDQAUmiVEyIT3giG2gsWIhPeCCpDSVEuQUxULklRX1NIT1JUX0lOVEVSRVNUX1BFUkNFTlQu</t>
  </si>
  <si>
    <t>MS84LzIwMjQBAAAA90JKAAIAAAAQMjAuNjQ3MzY4NTI1NTczNQAfj5UTIhPeCOhxCRYiE94IIUNJUS5JVE9TLklRX1ZBTFVFX1RSQURFRC4xLzgvMjAyNAUAAAAAAAAACAAAABQoSW52YWxpZCBJZGVudGlmaWVyKR+PlRMiE94I6HEJFiIT3ggrQ0lRLkJQTUMuSVFfU0hPUlRfSU5URVJFU1RfUEVSQ0VOVC4xLzgvMjAyNAEAAAD6obwHAwAAAAAAM7aVEyIT3ggi+AYWIhPeCCFDSVEuU01NVC5JUV9WQUxVRV9UUkFERUQuMS84LzIwMjQBAAAAwy2xAAIAAAAINi44MjMzMTEAM7aVEyIT3ggi+AYWIhPeCCxDSVEuRkRNVC5JUV9TSE9SVF9JTlRFUkVTVF9QRVJDRU5ULjEvMTAvMjAyNAEAAAAl0EMQAgAAABA3LjUzMTg2NzQyODE2ODExAKPZlRMiE94IIvgGFiIT3ggiQ0lRLkFDUlMuSVFfVkFMVUVfVFJBREVELjEvMTAvMjAyNAEAAADLUu0MAgAAAAg4LjUxMDM0NQCj2ZUTIhPeCCL4BhYiE94ILENJUS5WUlRYLklRX1NIT1JUX0lOVEVSRVNUX1BFUkNFTlQuMS8xNi8yMDI0AQAAAIuNAAACAAAAEDEuMjYzNTc1Mjc0NjY3NTIAdRuIEyIT3ggykAQWIhPeCCtDSVEuVEVWQS5JUV9TSE9SVF9JTlRFUkVTVF9QRVJDRU5ULjEvMy8yMDI0AQAAAE+zBAACAAAADzEuMjU5MjYyNTkwNzYxOQAxT8cTIhPeCBpEDhYiE94IIUNJUS5SWVRNLklRX1ZBTFVFX1RSQURFRC4xLzQvMjAyNAEAAAAYyW0SAgAAAAk1OC4zODg4</t>
  </si>
  <si>
    <t>NTMARUGVEyIT3gj1uAwWIhPeCCtDSVEuTEdORC5JUV9TSE9SVF9JTlRFUkVTVF9QRVJDRU5ULjEvNS8yMDI0AQAAAGR4AAACAAAADjUuMTI0ODc0Njk4NTk3AFJolRMiE94I6HEJFiIT3ggrQ0lRLk9LWU8uSVFfU0hPUlRfSU5URVJFU1RfUEVSQ0VOVC4xLzgvMjAyNAEAAABLz7YCAgAAAA8wLjE0MzQzMTYwNTEzOTYAH4+VEyIT3gjocQkWIhPeCCFDSVEuTU5NRC5JUV9WQUxVRV9UUkFERUQuMS84LzIwMjQBAAAAovycJQIAAAAINS44MjI4NDMAH4+VEyIT3gjocQkWIhPeCCtDSVEuQVZJUi5JUV9TSE9SVF9JTlRFUkVTVF9QRVJDRU5ULjEvOC8yMDI0AQAAAFnKEQ8CAAAAEDQuMjE1MTc4NzMzMzA1MDkAM7aVEyIT3ggi+AYWIhPeCCJDSVEuQUxQTVkuSVFfVkFMVUVfVFJBREVELjEvOS8yMDI0AQAAAJFYDQADAAAAAAAztpUTIhPeCCL4BhYiE94IK0NJUS5NUksuSVFfU0hPUlRfSU5URVJFU1RfUEVSQ0VOVC4xLzEyLzIwMjQBAAAA9mYEAAIAAAARMC43MDUwNzE4MzI3MjM2ODMAo9mVEyIT3ggykAQWIhPeCCJDSVEuQU5JUC5JUV9WQUxVRV9UUkFERUQuMS8xNi8yMDI0AQAAAPhTFwACAAAACDQuNzY1MzE1AIYElhMiE94IMpAEFiIT3ggsQ0lRLkFDWFAuSVFfU0hPUlRfSU5URVJFU1RfUEVSQ0VOVC4xLzE3LzIwMjQBAAAAzsxCIQIAAAAPMi4xNjk4ODU3MzQ3MDU4AHUbiBMiE94IMpAEFiIT3gghQ0lR</t>
  </si>
  <si>
    <t>LkJNWS5JUV9WQUxVRV9UUkFERUQuMS8xNy8yMDI0AQAAAMZkAAACAAAACjgyMC45NDI5NDEAdRuIEyIT3ggykAQWIhPeCCxDSVEuRENQSC5JUV9TSE9SVF9JTlRFUkVTVF9QRVJDRU5ULjEvMTgvMjAyNAUAAAAAAAAACAAAABQoSW52YWxpZCBJZGVudGlmaWVyKXUbiBMiE94IrycCFiIT3gghQ0lRLk5WUy5JUV9WQUxVRV9UUkFERUQuMS8xOS8yMDI0AQAAAKm16A8CAAAACDAuMjY3ODE3AHUbiBMiE94IrycCFiIT3ggsQ0lRLklPTlMuSVFfU0hPUlRfSU5URVJFU1RfUEVSQ0VOVC4xLzIyLzIwMjQBAAAAXHYAAAIAAAAQNS43NDUyMjc3NTM5NzIxOAB1G4gTIhPeCIu5/xUiE94IIkNJUS5TUFJCLklRX1ZBTFVFX1RSQURFRC4xLzIyLzIwMjQBAAAA8RLmGAIAAAAIMC40MzE1MTUAdRuIEyIT3giLuf8VIhPeCCxDSVEuRVhFTC5JUV9TSE9SVF9JTlRFUkVTVF9QRVJDRU5ULjEvMjUvMjAyNAEAAACybgAAAgAAABAyLjc1MzgxNzY0NjU1MTE4AEgMihMiE94Ii7n/FSIT3ggiQ0lRLlNSUksuSVFfVkFMVUVfVFJBREVELjEvMjUvMjAyNAEAAACQLbYgAgAAAAg3LjkyNTU3NQBIDIoTIhPeCIu5/xUiE94ILENJUS5TUlBULklRX1NIT1JUX0lOVEVSRVNUX1BFUkNFTlQuMS8yOS8yMDI0AQAAAFiIBQACAAAAEDYuMDY2NjMzMTkyNDY5OTcASAyKEyIT3ggw9v4VIhPeCCFDSVEuVEFLLklRX1ZBTFVFX1RSQURFRC4x</t>
  </si>
  <si>
    <t>LzI5LzIwMjQBAAAALFgNAAIAAAAJMjMuNTU0MTc3AEgMihMiE94IIs/+FSIT3ggsQ0lRLlJISEJZLklRX1NIT1JUX0lOVEVSRVNUX1BFUkNFTlQuMi8xLzIwMjQBAAAAJHwKAAMAAAAAAFYXURMiE94I5WH9FSIT3gggQ0lRLkFaTi5JUV9WQUxVRV9UUkFERUQuMi8yLzIwMjQBAAAAhiMFAAIAAAAKMzA0LjkxODQyMQBWF1ETIhPeCAkj/RUiE94IK0NJUS5BSU1ELklRX1NIT1JUX0lOVEVSRVNUX1BFUkNFTlQuMi81LzIwMjQBAAAAJ5MFAAIAAAARMC43ODIzMTEzNjE4NDU5OTQAVhdREyIT3gic6vsVIhPeCCBDSVEuR1NLLklRX1ZBTFVFX1RSQURFRC4yLzYvMjAyNAEAAADyMwQAAgAAAAk4My4zNDU3ODEAVhdREyIT3giFw/sVIhPeCCpDSVEuR1NLLklRX1NIT1JUX0lOVEVSRVNUX1BFUkNFTlQuMi83LzIwMjQBAAAA8jMEAAMAAAAAAJI9URMiE94IvbD4FSIT3ggrQ0lRLklST04uSVFfU0hPUlRfSU5URVJFU1RfUEVSQ0VOVC4yLzkvMjAyNAEAAABO3zkmAgAAAA81LjQ2NDg0OTI1NjE5MzgAkj1REyIT3gi9sPgVIhPeCCNDSVEuQ1NMTFkuSVFfVkFMVUVfVFJBREVELjIvMTIvMjAyNAEAAABfcw0AAwAAAAAAkj1REyIT3gi9sPgVIhPeCCxDSVEuS1JZUy5JUV9TSE9SVF9JTlRFUkVTVF9QRVJDRU5ULjIvMTMvMjAyNAEAAAAoJ9UfAgAAABA3LjE5NDMzMTkxMDYwMzA1AO1jURMiE94IXUf2FSIT3ggiQ0lR</t>
  </si>
  <si>
    <t>LkNBREwuSVFfVkFMVUVfVFJBREVELjIvMTMvMjAyNAEAAACrWjoCAgAAAAgzLjQ3ODY4NADtY1ETIhPeCF1H9hUiE94ILENJUS5HTFNJLklRX1NIT1JUX0lOVEVSRVNUX1BFUkNFTlQuMi8xNC8yMDI0AQAAAEZQ8CYCAAAAEDEuMjAyNTk5NzQ4NjgwMDYAQ9UgEyIT3gjW1/MVIhPeCCFDSVEuQVpOLklRX1ZBTFVFX1RSQURFRC4yLzE0LzIwMjQBAAAAhiMFAAIAAAAKNjEwLjE1NDY0OACV/CATIhPeCNbX8xUiE94IIkNJUS5FTlNDLklRX1ZBTFVFX1RSQURFRC4yLzE1LzIwMjQBAAAAP0YWAwIAAAAIMC4yNjI2NzQAyCUhEyIT3gjW1/MVIhPeCCxDSVEuU1BSWS5JUV9TSE9SVF9JTlRFUkVTVF9QRVJDRU5ULjIvMjAvMjAyNAEAAAAHpuEiAgAAABA1LjA2NDM3MjA1MDk4MzI5ALZKIRMiE94IO+3yFSIT3gghQ0lRLkdTSy5JUV9WQUxVRV9UUkFERUQuMi8yMS8yMDI0AQAAAPIzBAACAAAACTgzLjE4NTUyMQC2SiETIhPeCBTG8hUiE94ILENJUS5DT0dULklRX1NIT1JUX0lOVEVSRVNUX1BFUkNFTlQuMi8yMy8yMDI0AQAAAGnURCgCAAAAEDQuODUyMjc2NTk2NTU5NzUAiHUhEyIT3giTjfEVIhPeCCJDSVEuTkVSVi5JUV9WQUxVRV9UUkFERUQuMi8yNy8yMDI0AQAAAAmTkA8CAAAACDUuNDQ5OTY1AIh1IRMiE94Ir9LvFSIT3ggsQ0lRLlZBTkkuSVFfU0hPUlRfSU5URVJFU1RfUEVSQ0VOVC4yLzI4LzIwMjQB</t>
  </si>
  <si>
    <t>AAAAUnOMDwIAAAARMC4zNjI0OTYzODkwMjkyMzQA+7gVEyIT3gjViu4VIhPeCCJDSVEuQkxSWC5JUV9WQUxVRV9UUkFERUQuMi8yOC8yMDI0AQAAACiGTAACAAAABzAuNDgwMjIA+7gVEyIT3ggGZO4VIhPeCCFDSVEuTEVYWC5JUV9WQUxVRV9UUkFERUQuMy8xLzIwMjQBAAAAK3uPAQIAAAAINC43MDg3NDUA+7gVEyIT3gjf6OwVIhPeCCtDSVEuTlJYUC5JUV9TSE9SVF9JTlRFUkVTVF9QRVJDRU5ULjMvNC8yMDI0AQAAABV6CRMCAAAAEDQuMjUwNDAwOTQ5NzA5MTEA+7gVEyIT3ghfhOsVIhPeCCtDSVEuTktUUi5JUV9TSE9SVF9JTlRFUkVTVF9QRVJDRU5ULjMvNS8yMDI0AQAAAOl0AAACAAAAEDEuMzM2NDA4NTM4NDczMzMA+7gVEyIT3giP+ecVIhPeCCFDSVEuTElQTy5JUV9WQUxVRV9UUkFERUQuMy81LzIwMjQBAAAAh+YjAgIAAAAIMC45NTc3MjgA+7gVEyIT3giP+ecVIhPeCCtDSVEuSU5DWS5JUV9TSE9SVF9JTlRFUkVTVF9QRVJDRU5ULjEvMi8yMDI0AQAAAJoUBQACAAAAEDMuMTEwOTE5MDU5OTI3MzcA7w/HEyIT3ghWPA8WIhPeCCFDSVEuQVRBSS5JUV9WQUxVRV9UUkFERUQuMS8yLzIwMjQBAAAA7TdXKgIAAAAINS4yMjA5MzcA7w/HEyIT3giTFg8WIhPeCCtDSVEuQ01NQi5JUV9TSE9SVF9JTlRFUkVTVF9QRVJDRU5ULjEvMy8yMDI0AQAAALLTSBMCAAAAETAuMTUxNjA0MjA3ODY0ODQyAAIZ</t>
  </si>
  <si>
    <t>lRMiE94I9bgMFiIT3gghQ0lRLklOVFMuSVFfVkFMVUVfVFJBREVELjEvMy8yMDI0AQAAAP2Ebw0CAAAACDAuNDQyOTM0AAIZlRMiE94I9bgMFiIT3gghQ0lRLlRCUEguSVFfVkFMVUVfVFJBREVELjEvNS8yMDI0AQAAABJcXQ4CAAAACTE0LjgwMDc1OQBFQZUTIhPeCIbaCxYiE94IK0NJUS5WRVJVLklRX1NIT1JUX0lOVEVSRVNUX1BFUkNFTlQuMS84LzIwMjQBAAAAN9MEAAIAAAAQOS4wMDU0Nzk5MDA2MDM2OQBSaJUTIhPeCOhxCRYiE94IIENJUS5BTFQuSVFfVkFMVUVfVFJBREVELjEvOC8yMDI0AQAAAPdCSgACAAAACTkzLjUwNTEzNAAfj5UTIhPeCOhxCRYiE94IK0NJUS5DWUJOLklRX1NIT1JUX0lOVEVSRVNUX1BFUkNFTlQuMS84LzIwMjQBAAAA/su+JwIAAAAQMi40NjA5MTU4NjQxMTgwMQAztpUTIhPeCCL4BhYiE94IIkNJUS5GRE1ULklRX1ZBTFVFX1RSQURFRC4xLzEwLzIwMjQBAAAAJdBDEAIAAAAINC40NDM4NDkAo9mVEyIT3ggi+AYWIhPeCCtDSVEuVEFLLklRX1NIT1JUX0lOVEVSRVNUX1BFUkNFTlQuMS8xNi8yMDI0AQAAACxYDQADAAAAAAB1G4gTIhPeCDKQBBYiE94IIkNJUS5WUlRYLklRX1ZBTFVFX1RSQURFRC4xLzE2LzIwMjQBAAAAi40AAAIAAAAKNzgxLjg1OTgxNgB1G4gTIhPeCDKQBBYiE94ILENJUS5DQVRYLklRX1NIT1JUX0lOVEVSRVNUX1BFUkNFTlQuMS8xNy8yMDI0AQAA</t>
  </si>
  <si>
    <t>AOqVlwACAAAAETAuNjg4OTA4Mjg0MjU1NDQ0AHUbiBMiE94IrycCFiIT3gghQ0lRLlBGRS5JUV9WQUxVRV9UUkFERUQuMS8xNy8yMDI0AQAAAN55AgACAAAACjkzNy43NDkyMTEAdRuIEyIT3givJwIWIhPeCCxDSVEuQUxWTy5JUV9TSE9SVF9JTlRFUkVTVF9QRVJDRU5ULjEvMTkvMjAyNAEAAAA9iVEpAgAAABIwLjAzNzA5NjQxMjEyOTcxMjUAdRuIEyIT3givJwIWIhPeCCFDSVEuQk1ZLklRX1ZBTFVFX1RSQURFRC4xLzIwLzIwMjQBAAAAxmQAAAMAAAAAAHUbiBMiE94IrycCFiIT3ggrQ0lRLkxMWS5JUV9TSE9SVF9JTlRFUkVTVF9QRVJDRU5ULjEvMjMvMjAyNAEAAAAbWwQAAgAAABEwLjU2NjM2OTE3NzM0NDg5NAB1G4gTIhPeCIu5/xUiE94IIkNJUS5IUlRYLklRX1ZBTFVFX1RSQURFRC4xLzIzLzIwMjQBAAAALl8AAAIAAAAIOC45Nzc2OTgAdRuIEyIT3giLuf8VIhPeCCtDSVEuQk1ZLklRX1NIT1JUX0lOVEVSRVNUX1BFUkNFTlQuMS8yNS8yMDI0AQAAAMZkAAACAAAADzEuNDM0Mzc0MDk3NTkyMgBIDIoTIhPeCIu5/xUiE94IIUNJUS5NUksuSVFfVkFMVUVfVFJBREVELjEvMjYvMjAyNAEAAAD2ZgQAAgAAAAsxMDAyLjg0MjcyOQBIDIoTIhPeCHOS/xUiE94ILENJUS5SQ1VTLklRX1NIT1JUX0lOVEVSRVNUX1BFUkNFTlQuMS8zMC8yMDI0AQAAADS/ZRMCAAAAEDcuOTM5ODk4MzIzNTg5MDMASAyK</t>
  </si>
  <si>
    <t>EyIT3gjiMv4VIhPeCCNDSVEuS1lLT0YuSVFfVkFMVUVfVFJBREVELjEvMzAvMjAyNAEAAADLdQoAAwAAAAAAJfBQEyIT3gjkC/4VIhPeCCpDSVEuS09ELklRX1NIT1JUX0lOVEVSRVNUX1BFUkNFTlQuMi8zLzIwMjQBAAAAlTUxEwIAAAAQMi42MDg3NzM2MTc5NzQ4NQBWF1ETIhPeCAyu/BUiE94IIUNJUS5FWVBULklRX1ZBTFVFX1RSQURFRC4yLzUvMjAyNAEAAACvYEQAAgAAAAk0Ny44NzM1ODMAVhdREyIT3gjPhvwVIhPeCCtDSVEuQUJFTy5JUV9TSE9SVF9JTlRFUkVTVF9QRVJDRU5ULjIvNi8yMDI0AQAAAOeBBQACAAAAEDIuNjcyNDE1NjQ3ODUyMDgAVhdREyIT3ghNTvsVIhPeCCFDSVEuSU5LVC5JUV9WQUxVRV9UUkFERUQuMi82LzIwMjQBAAAAxNEWZAIAAAAIMC4wODM5NTEAkj1REyIT3ggeGfsVIhPeCCpDSVEuTlZTLklRX1NIT1JUX0lOVEVSRVNUX1BFUkNFTlQuMS8yLzIwMjQBAAAAqbXoDwMAAAAAAO8PxxMiE94I16EOFiIT3gghQ0lRLlRFVkEuSVFfVkFMVUVfVFJBREVELjEvMy8yMDI0AQAAAE+zBAACAAAACTE1OS4wNjc2NQAxT8cTIhPeCMl6DhYiE94IK0NJUS5ERVJNLklRX1NIT1JUX0lOVEVSRVNUX1BFUkNFTlQuMS81LzIwMjQBAAAAdY+5EAIAAAARMC45NDEwNzI5MTIxNjAyNzkAUmiVEyIT3gjocQkWIhPeCCFDSVEuTEdORC5JUV9WQUxVRV9UUkFERUQuMS81LzIwMjQBAAAAZHgA</t>
  </si>
  <si>
    <t>AAIAAAAIOS44ODcwODkAUmiVEyIT3gjocQkWIhPeCCtDSVEuQ0xOTi5JUV9TSE9SVF9JTlRFUkVTVF9QRVJDRU5ULjEvOC8yMDI0AQAAAGRJOxQCAAAAETAuMzQ0MDcxMTI1MzE0OTkzAB+PlRMiE94I6HEJFiIT3gghQ0lRLk9LWU8uSVFfVkFMVUVfVFJBREVELjEvOC8yMDI0AQAAAEvPtgICAAAACDIuMTQ3MjgyAB+PlRMiE94I6HEJFiIT3ggrQ0lRLk5VVkIuSVFfU0hPUlRfSU5URVJFU1RfUEVSQ0VOVC4xLzgvMjAyNAEAAAA/7RYmAgAAABAxLjAwNjQyNzQyNzM3NTcxADO2lRMiE94IIvgGFiIT3gghQ0lRLkFWSVIuSVFfVkFMVUVfVFJBREVELjEvOC8yMDI0AQAAAFnKEQ8CAAAACDIuMjkyNjE3ADO2lRMiE94IIvgGFiIT3ggsQ0lRLkJQVEguSVFfU0hPUlRfSU5URVJFU1RfUEVSQ0VOVC4xLzEwLzIwMjQBAAAAsmU8AgIAAAAQMy4wMzcyNTY3NTI3OTY1NgCj2ZUTIhPeCDKQBBYiE94IIUNJUS5NUksuSVFfVkFMVUVfVFJBREVELjEvMTIvMjAyNAEAAAD2ZgQAAgAAAAo4MDkuNDQ4MDc5AKPZlRMiE94IMpAEFiIT3ggsQ0lRLlJDVVMuSVFfU0hPUlRfSU5URVJFU1RfUEVSQ0VOVC4xLzE2LzIwMjQBAAAANL9lEwIAAAAQOS43MDkyNjYxMDQ2NjQzNgB1G4gTIhPeCDKQBBYiE94IIkNJUS5BQ1hQLklRX1ZBTFVFX1RSQURFRC4xLzE3LzIwMjQBAAAAzsxCIQIAAAAJMTMuNTM4OTM3AHUbiBMiE94IMpAE</t>
  </si>
  <si>
    <t>FiIT3ggsQ0lRLkNMRFguSVFfU0hPUlRfSU5URVJFU1RfUEVSQ0VOVC4xLzE4LzIwMjQBAAAAVcySAAIAAAAQMTIuMDQ2ODMwNzQ3OTQ0NgB1G4gTIhPeCK8nAhYiE94IIkNJUS5EQ1BILklRX1ZBTFVFX1RSQURFRC4xLzE4LzIwMjQFAAAAAAAAAAgAAAAUKEludmFsaWQgSWRlbnRpZmllcil1G4gTIhPeCK8nAhYiE94ILENJUS5TR01ULklRX1NIT1JUX0lOVEVSRVNUX1BFUkNFTlQuMS8yMi8yMDI0AQAAAAQRDwICAAAAEDIuNzE1NzE0MjQyNTM3NDgAdRuIEyIT3givJwIWIhPeCCJDSVEuSU9OUy5JUV9WQUxVRV9UUkFERUQuMS8yMi8yMDI0AQAAAFx2AAACAAAACDczLjUzODcyAHUbiBMiE94Ii7n/FSIT3ggsQ0lRLlZFUkEuSVFfU0hPUlRfSU5URVJFU1RfUEVSQ0VOVC4xLzI1LzIwMjQBAAAAncW6KAIAAAAQMTMuNjE2NjU1Mzg5MzczOABIDIoTIhPeCIu5/xUiE94IIkNJUS5FWEVMLklRX1ZBTFVFX1RSQURFRC4xLzI1LzIwMjQBAAAAsm4AAAIAAAAJNjYuNjU4OTgzAEgMihMiE94Ii7n/FSIT3ggrQ0lRLkFaTi5JUV9TSE9SVF9JTlRFUkVTVF9QRVJDRU5ULjEvMjkvMjAyNAEAAACGIwUAAwAAAAAASAyKEyIT3ghRHf8VIhPeCCJDSVEuU1JQVC5JUV9WQUxVRV9UUkFERUQuMS8yOS8yMDI0AQAAAFiIBQACAAAACjEzOS40OTA5MjEASAyKEyIT3ggw9v4VIhPeCCxDSVEuT1RMSy5JUV9TSE9SVF9JTlRF</t>
  </si>
  <si>
    <t>UkVTVF9QRVJDRU5ULjEvMzEvMjAyNAEAAAAFpLEIAgAAABA0LjY1OTczMTYxMTk2MTIzAFYXURMiE94I4Jb9FSIT3ggiQ0lRLlJISEJZLklRX1ZBTFVFX1RSQURFRC4yLzEvMjAyNAEAAAAkfAoAAwAAAAAAVhdREyIT3gjlYf0VIhPeCCtDSVEuQVJDVC5JUV9TSE9SVF9JTlRFUkVTVF9QRVJDRU5ULjIvNS8yMDI0AQAAAKXDAg4CAAAAEDE1LjUyMDMyNTA4NTIxMDIAVhdREyIT3giPEfwVIhPeCCFDSVEuQUlNRC5JUV9WQUxVRV9UUkFERUQuMi81LzIwMjQBAAAAJ5MFAAIAAAAIMC4wMzI4MzcAVhdREyIT3gic6vsVIhPeCCtDSVEuQkNUWC5JUV9TSE9SVF9JTlRFUkVTVF9QRVJDRU5ULjIvNy8yMDI0AQAAAPbcoQ8DAAAAAACSPVETIhPeCL2w+BUiE94IIENJUS5HU0suSVFfVkFMVUVfVFJBREVELjIvNy8yMDI0AQAAAPIzBAACAAAACjEyNy40NDY5MzUAkj1REyIT3gi9sPgVIhPeCCtDSVEuT0tZTy5JUV9TSE9SVF9JTlRFUkVTVF9QRVJDRU5ULjIvOS8yMDI0AQAAAEvPtgICAAAAETAuMTU0MDI4NTMyMjcxNDM0AJI9URMiE94IvbD4FSIT3gghQ0lRLklST04uSVFfVkFMVUVfVFJBREVELjIvOS8yMDI0AQAAAE7fOSYCAAAACDcuODg1ODU2AJI9URMiE94IvbD4FSIT3ggtQ0lRLlBIUlJGLklRX1NIT1JUX0lOVEVSRVNUX1BFUkNFTlQuMi8xMi8yMDI0BQAAAAAAAAAIAAAAFChJbnZhbGlkIElkZW50aWZp</t>
  </si>
  <si>
    <t>ZXIp7WNREyIT3ghdR/YVIhPeCCJDSVEuS1JZUy5JUV9WQUxVRV9UUkFERUQuMi8xMy8yMDI0AQAAACgn1R8CAAAACTM2LjU0ODYxMQDtY1ETIhPeCF1H9hUiE94ILENJUS5LUkJQLklRX1NIT1JUX0lOVEVSRVNUX1BFUkNFTlQuMi8xNC8yMDI0AQAAAEC5fycDAAAAAABD1SATIhPeCNbX8xUiE94IIkNJUS5HTFNJLklRX1ZBTFVFX1RSQURFRC4yLzE0LzIwMjQBAAAARlDwJgIAAAAHMy4zNzY3MgBD1SATIhPeCNbX8xUiE94ILENJUS5PTkNZLklRX1NIT1JUX0lOVEVSRVNUX1BFUkNFTlQuMi8xNS8yMDI0AQAAAFd1FAACAAAAETAuODk0ODQ0ODg1OTc0ODkzAJX8IBMiE94I1tfzFSIT3ggsQ0lRLlRFVkEuSVFfU0hPUlRfSU5URVJFU1RfUEVSQ0VOVC4yLzIwLzIwMjQBAAAAT7MEAAIAAAAPMS42MzM5Njk5NTgxMzg4ALZKIRMiE94IQzvzFSIT3ggiQ0lRLlNQUlkuSVFfVkFMVUVfVFJBREVELjIvMjAvMjAyNAEAAAAHpuEiAgAAAAg5LjYwODE0NgC2SiETIhPeCDvt8hUiE94ILENJUS5SRUdOLklRX1NIT1JUX0lOVEVSRVNUX1BFUkNFTlQuMi8yMy8yMDI0AQAAALODAAACAAAAEDEuMTYzNDM3NTAzNDY2MzQAiHUhEyIT3gjBtPEVIhPeCCJDSVEuQ09HVC5JUV9WQUxVRV9UUkFERUQuMi8yMy8yMDI0AQAAAGnURCgCAAAACTM4LjM1OTMwOACIdSETIhPeCJON8RUiE94ILENJUS5NVE5CLklRX1NIT1JUX0lO</t>
  </si>
  <si>
    <t>VEVSRVNUX1BFUkNFTlQuMi8yNi8yMDI0AQAAANrShQ4CAAAAEDAuNjU0NTA5MTM1MTc4NTUAiHUhEyIT3gjDIPAVIhPeCCxDSVEuU05TRS5JUV9TSE9SVF9JTlRFUkVTVF9QRVJDRU5ULjIvMjgvMjAyNAEAAADtLAsAAgAAABEwLjU3MjQyNDEzOTM3OTUxMwCIdSETIhPeCAiy7hUiE94IIkNJUS5WQU5JLklRX1ZBTFVFX1RSQURFRC4yLzI4LzIwMjQBAAAAUnOMDwIAAAAJNTU2LjU1NDU4APu4FRMiE94I1YruFSIT3ggrQ0lRLkNHRU0uSVFfU0hPUlRfSU5URVJFU1RfUEVSQ0VOVC4zLzEvMjAyNAEAAAB/eiYgAgAAABAxLjgzMjQxNTE0NTUwMzY1APu4FRMiE94IyjbtFSIT3ggrQ0lRLkxOVEguSVFfU0hPUlRfSU5URVJFU1RfUEVSQ0VOVC4zLzQvMjAyNAEAAAB4a34AAgAAABA3LjMzNjY4NDcyNTMzMDc5APu4FRMiE94I1KvrFSIT3gghQ0lRLklOQ1kuSVFfVkFMVUVfVFJBREVELjEvMi8yMDI0AQAAAJoUBQACAAAACTk1LjQ3ODkxOADvD8cTIhPeCFY8DxYiE94IK0NJUS5BUExNLklRX1NIT1JUX0lOVEVSRVNUX1BFUkNFTlQuMS8zLzIwMjQBAAAAoyHGFgIAAAARMC4wODgwNTQ3MTE5NTkxMzgAAhmVEyIT3gj1uAwWIhPeCCFDSVEuQ01NQi5JUV9WQUxVRV9UUkFERUQuMS8zLzIwMjQBAAAAstNIEwIAAAAIMC4wODUyNzQAAhmVEyIT3gj1uAwWIhPeCCpDSVEuTVJLLklRX1NIT1JUX0lOVEVSRVNUX1BF</t>
  </si>
  <si>
    <t>UkNFTlQuMS80LzIwMjQBAAAA9mYEAAIAAAARMC41MzE0NTk0ODM3MzY4ODkARUGVEyIT3giG2gsWIhPeCCtDSVEuQVJHWC5JUV9TSE9SVF9JTlRFUkVTVF9QRVJDRU5ULjEvOC8yMDI0AQAAAL3iswMDAAAAAABSaJUTIhPeCOhxCRYiE94IIUNJUS5WRVJVLklRX1ZBTFVFX1RSQURFRC4xLzgvMjAyNAEAAAA30wQAAgAAAAgxLjA3MzE1MQBSaJUTIhPeCOhxCRYiE94IIUNJUS5DWUJOLklRX1ZBTFVFX1RSQURFRC4xLzgvMjAyNAEAAAD+y74nAgAAAAgxLjgzMTMzNQAztpUTIhPeCCL4BhYiE94IK0NJUS5DUkJQLklRX1NIT1JUX0lOVEVSRVNUX1BFUkNFTlQuMS85LzIwMjQBAAAAJG8kDwIAAAAQMS4wNzcwNjYzMjY4NTkzMgCj2ZUTIhPeCCL4BhYiE94IIUNJUS5UQUsuSVFfVkFMVUVfVFJBREVELjEvMTYvMjAyNAEAAAAsWA0AAgAAAAk0OC43NzEyNDMAdRuIEyIT3ggykAQWIhPeCCxDSVEuTUFJQS5JUV9TSE9SVF9JTlRFUkVTVF9QRVJDRU5ULjEvMTcvMjAyNAEAAAB18p8lAgAAABEwLjU1Njk4NDAwNzIwNDA3MQB1G4gTIhPeCDKQBBYiE94IIkNJUS5DQVRYLklRX1ZBTFVFX1RSQURFRC4xLzE3LzIwMjQBAAAA6pWXAAIAAAAIMC4zNzUzMzQAdRuIEyIT3givJwIWIhPeCCJDSVEuQUxWTy5JUV9WQUxVRV9UUkFERUQuMS8xOS8yMDI0AQAAAD2JUSkCAAAACTMzLjkzNjQyNAB1G4gTIhPeCK8nAhYiE94I</t>
  </si>
  <si>
    <t>LENJUS5DUkJQLklRX1NIT1JUX0lOVEVSRVNUX1BFUkNFTlQuMS8yMy8yMDI0AQAAACRvJA8CAAAAETAuOTAwMjQ1MzM4NTU2MTMxAHUbiBMiE94Ii7n/FSIT3gghQ0lRLkxMWS5JUV9WQUxVRV9UUkFERUQuMS8yMy8yMDI0AQAAABtbBAACAAAACzE1ODkuOTMxMjk1AHUbiBMiE94Ii7n/FSIT3ggsQ0lRLlJFR04uSVFfU0hPUlRfSU5URVJFU1RfUEVSQ0VOVC4xLzI1LzIwMjQBAAAAs4MAAAIAAAAQMS4wMDM2NDQ4MjM2Mjc1MwBIDIoTIhPeCIu5/xUiE94IIUNJUS5CTVkuSVFfVkFMVUVfVFJBREVELjEvMjUvMjAyNAEAAADGZAAAAgAAAAk4NzUuMTAyNTkASAyKEyIT3giLuf8VIhPeCCxDSVEuS1JCUC5JUV9TSE9SVF9JTlRFUkVTVF9QRVJDRU5ULjEvMjkvMjAyNAEAAABAuX8nAwAAAAAASAyKEyIT3ghEgf4VIhPeCCJDSVEuUkNVUy5JUV9WQUxVRV9UUkFERUQuMS8zMC8yMDI0AQAAADS/ZRMCAAAACTMzLjI1MTQxNgBIDIoTIhPeCPRZ/hUiE94IK0NJUS5GRE1ULklRX1NIT1JUX0lOVEVSRVNUX1BFUkNFTlQuMi8zLzIwMjQBAAAAJdBDEAIAAAAQNi43MzczMjM5NDA4NzgyNQBWF1ETIhPeCO/7/BUiE94IIENJUS5LT0QuSVFfVkFMVUVfVFJBREVELjIvMy8yMDI0AQAAAJU1MRMDAAAAAABWF1ETIhPeCPzU/BUiE94IK0NJUS5HQU5YLklRX1NIT1JUX0lOVEVSRVNUX1BFUkNFTlQuMi82LzIwMjQBAAAA</t>
  </si>
  <si>
    <t>29AMIQIAAAARMC42Mzg5MTM4MTQ0MTU0NzYAVhdREyIT3ghUdfsVIhPeCCFDSVEuQUJFTy5JUV9WQUxVRV9UUkFERUQuMi82LzIwMjQBAAAA54EFAAIAAAAIMC41NDQ1NzgAVhdREyIT3ghNTvsVIhPeCCtDSVEuQUxFQy5JUV9TSE9SVF9JTlRFUkVTVF9QRVJDRU5ULjIvOC8yMDI0AQAAAGtA2w4CAAAAEDUuNjg0MjgyMDU4Njc5OTcAkj1REyIT3gi9sPgVIhPeCCFDSVEuQURWTS5JUV9WQUxVRV9UUkFERUQuMi84LzIwMjQBAAAAl7VXDAIAAAAJMjkuOTEyNjU3AJI9URMiE94IvbD4FSIT3ggsQ0lRLlBZUEQuSVFfU0hPUlRfSU5URVJFU1RfUEVSQ0VOVC4yLzEyLzIwMjQBAAAAfxbvAgIAAAARMC4xMDc5Nzg0ODQzNDg5NTYA7WNREyIT3ghdR/YVIhPeCCFDSVEuVEFLLklRX1ZBTFVFX1RSQURFRC4yLzEyLzIwMjQBAAAALFgNAAIAAAAJMTYuMzA4MjQ4AO1jURMiE94IXUf2FSIT3ggsQ0lRLkNBTEMuSVFfU0hPUlRfSU5URVJFU1RfUEVSQ0VOVC4yLzEzLzIwMjQBAAAABmMKAgIAAAARMC4yMDE4NDE0MTQxNzQ4MDIA7WNREyIT3ghdR/YVIhPeCCJDSVEuUFRJWC5JUV9WQUxVRV9UUkFERUQuMi8xMy8yMDI0AQAAAHOvbXADAAAAAADtY1ETIhPeCF1H9hUiE94ILENJUS5BTlZTLklRX1NIT1JUX0lOVEVSRVNUX1BFUkNFTlQuMi8xNC8yMDI0AQAAAC/RHSUCAAAAEDEyLjM5MTQyMDYyNjE5ODcAlfwgEyIT</t>
  </si>
  <si>
    <t>3gjW1/MVIhPeCCJDSVEuSU5LVC5JUV9WQUxVRV9UUkFERUQuMi8xNC8yMDI0AQAAAMTRFmQCAAAACDAuMDQ4MDgxAJX8IBMiE94I1tfzFSIT3ggtQ0lRLlJISEJZLklRX1NIT1JUX0lOVEVSRVNUX1BFUkNFTlQuMi8xNi8yMDI0AQAAACR8CgADAAAAAADIJSETIhPeCNbX8xUiE94IIUNJUS5BWk4uSVFfVkFMVUVfVFJBREVELjIvMTcvMjAyNAEAAACGIwUAAwAAAAAAyCUhEyIT3gjW1/MVIhPeCCxDSVEuTlJTTi5JUV9TSE9SVF9JTlRFUkVTVF9QRVJDRU5ULjIvMjEvMjAyNAEAAABqZeUgAgAAABEwLjk2NjczMTk5MTYwMzcxNAC2SiETIhPeCDZ48hUiE94IIkNJUS5FTEVWLklRX1ZBTFVFX1RSQURFRC4yLzIyLzIwMjQBAAAATNvvAgMAAAAAALZKIRMiE94I/lDyFSIT3ggsQ0lRLkNMRFguSVFfU0hPUlRfSU5URVJFU1RfUEVSQ0VOVC4yLzI0LzIwMjQBAAAAVcySAAIAAAAQMTIuMjcwNDQzNDY2MTkzMgCIdSETIhPeCHsL8RUiE94IIUNJUS5HU0suSVFfVkFMVUVfVFJBREVELjIvMjYvMjAyNAEAAADyMwQAAgAAAAoxMTguNzI1ODA4AIh1IRMiE94IJuTwFSIT3ggsQ0lRLkFDWFAuSVFfU0hPUlRfSU5URVJFU1RfUEVSQ0VOVC4yLzI3LzIwMjQBAAAAzsxCIQIAAAAQMi4xODk1MTEwMDk2MTk0NACIdSETIhPeCKKE7xUiE94IIkNJUS5QUEJULklRX1ZBTFVFX1RSQURFRC4yLzI3LzIwMjQBAAAALaI2AQMA</t>
  </si>
  <si>
    <t>AAAAAIh1IRMiE94I2F3vFSIT3ggiQ0lRLkNMTk4uSVFfVkFMVUVfVFJBREVELjIvMjkvMjAyNAEAAABkSTsUAgAAAAgwLjcwNDI2NAD7uBUTIhPeCOXS7RUiE94IK0NJUS5XSFdLLklRX1NIT1JUX0lOVEVSRVNUX1BFUkNFTlQuMy8xLzIwMjQBAAAAX7ekGQIAAAAQNC4wMzc4MjM3NTAxMTUxOAD7uBUTIhPeCIia7BUiE94IIENJUS5OVk8uSVFfVkFMVUVfVFJBREVELjMvNC8yMDI0AQAAAHzvBAACAAAACjg3Mi4yMjg2MjUA+7gVEyIT3ghTc+wVIhPeCCtDSVEuU1BSTy5JUV9TSE9SVF9JTlRFUkVTVF9QRVJDRU5ULjEvMi8yMDI0AQAAALPcVg4CAAAAEDEuODQyNDg3ODk0NzAyNDkA7w/HEyIT3ghZyQ4WIhPeCCBDSVEuTlZTLklRX1ZBTFVFX1RSQURFRC4xLzIvMjAyNAEAAACptegPAgAAAAgwLjAzMDc3OADvD8cTIhPeCNehDhYiE94IK0NJUS5HTFlDLklRX1NIT1JUX0lOVEVSRVNUX1BFUkNFTlQuMS80LzIwMjQBAAAAOQdXAAMAAAAAAAIZlRMiE94I9bgMFiIT3ggrQ0lRLk1SU04uSVFfU0hPUlRfSU5URVJFU1RfUEVSQ0VOVC4xLzUvMjAyNAEAAADmxRgAAgAAABA3LjAxMjM2MDA0MzQ4OTA0AFJolRMiE94I6HEJFiIT3gghQ0lRLkRFUk0uSVFfVkFMVUVfVFJBREVELjEvNS8yMDI0AQAAAHWPuRACAAAACDEuNTU0MjA4AFJolRMiE94I6HEJFiIT3ggqQ0lRLkJNWS5JUV9TSE9SVF9JTlRFUkVTVF9Q</t>
  </si>
  <si>
    <t>RVJDRU5ULjEvOC8yMDI0AQAAAMZkAAACAAAADzEuMTg0NDUxODYzODUyNAAfj5UTIhPeCOhxCRYiE94IIUNJUS5DTE5OLklRX1ZBTFVFX1RSQURFRC4xLzgvMjAyNAEAAABkSTsUAgAAAAgxLjIzMjgyNgAfj5UTIhPeCOhxCRYiE94IK0NJUS5PUklDLklRX1NIT1JUX0lOVEVSRVNUX1BFUkNFTlQuMS84LzIwMjQBAAAAVEsaEgIAAAAQMTUuODkwOTQ0MDg0NzkzOQAztpUTIhPeCCL4BhYiE94IIUNJUS5OVVZCLklRX1ZBTFVFX1RSQURFRC4xLzgvMjAyNAEAAAA/7RYmAgAAAAgwLjg3NDU0NgAztpUTIhPeCCL4BhYiE94ILENJUS5WWU5FLklRX1NIT1JUX0lOVEVSRVNUX1BFUkNFTlQuMS8xMC8yMDI0AQAAACpdYwACAAAAETAuNjMwMzg1ODgxOTkyODUyAKPZlRMiE94IMpAEFiIT3ggiQ0lRLkJQVEguSVFfVkFMVUVfVFJBREVELjEvMTAvMjAyNAEAAACyZTwCAgAAAAgwLjEzOTQ5NgCj2ZUTIhPeCDKQBBYiE94IK0NJUS5PTkMuSVFfU0hPUlRfSU5URVJFU1RfUEVSQ0VOVC4xLzE2LzIwMjQBAAAA4OTdBgIAAAAQMS43NTIyMjEzNTc1ODI2OAB1G4gTIhPeCDKQBBYiE94IIkNJUS5SQ1VTLklRX1ZBTFVFX1RSQURFRC4xLzE2LzIwMjQBAAAANL9lEwIAAAAIOS41MTI5MjYAdRuIEyIT3ggykAQWIhPeCCxDSVEuUEJMQS5JUV9TSE9SVF9JTlRFUkVTVF9QRVJDRU5ULjEvMTgvMjAyNAEAAAA29dgKAgAAABAx</t>
  </si>
  <si>
    <t>NC4wNzQ4MjAzNTk1MzA3AHUbiBMiE94IrycCFiIT3ggiQ0lRLkNMRFguSVFfVkFMVUVfVFJBREVELjEvMTgvMjAyNAEAAABVzJIAAgAAAAkxNi42OTU2MzEAdRuIEyIT3givJwIWIhPeCCxDSVEuQ0xSQi5JUV9TSE9SVF9JTlRFUkVTVF9QRVJDRU5ULjEvMjIvMjAyNAEAAADz7j0CAgAAABA0LjQwMzYzMTU3NTQwMDk5AHUbiBMiE94IrycCFiIT3ggiQ0lRLlNHTVQuSVFfVkFMVUVfVFJBREVELjEvMjIvMjAyNAEAAAAEEQ8CAgAAAAo2NjYuMjQwNDU5AHUbiBMiE94IrycCFiIT3ggsQ0lRLkVOU0MuSVFfU0hPUlRfSU5URVJFU1RfUEVSQ0VOVC4xLzI1LzIwMjQBAAAAP0YWAwIAAAAQNy44MjgzMTAzNDA5OTY4NgB1G4gTIhPeCIu5/xUiE94IIkNJUS5WRVJBLklRX1ZBTFVFX1RSQURFRC4xLzI1LzIwMjQBAAAAncW6KAIAAAAKMjkxLjI3NzQ1MgBIDIoTIhPeCIu5/xUiE94IK0NJUS5NUksuSVFfU0hPUlRfSU5URVJFU1RfUEVSQ0VOVC4xLzI5LzIwMjQBAAAA9mYEAAIAAAARMC44MjEzODc1NDUwMjM2NDMASAyKEyIT3ghma/8VIhPeCCFDSVEuQVpOLklRX1ZBTFVFX1RSQURFRC4xLzI5LzIwMjQBAAAAhiMFAAIAAAAKMTg5Ljc2MzIzNQBIDIoTIhPeCFEd/xUiE94ILENJUS5WUlRYLklRX1NIT1JUX0lOVEVSRVNUX1BFUkNFTlQuMS8zMC8yMDI0AQAAAIuNAAACAAAAEDEuMzAxNTExMDA1ODU1OTQAJfBQ</t>
  </si>
  <si>
    <t>EyIT3gigvf0VIhPeCCJDSVEuT1RMSy5JUV9WQUxVRV9UUkFERUQuMS8zMS8yMDI0AQAAAAWksQgCAAAACDAuNjk1MTk0AFYXURMiE94I4Jb9FSIT3ggrQ0lRLlJBTkkuSVFfU0hPUlRfSU5URVJFU1RfUEVSQ0VOVC4yLzUvMjAyNAEAAAAbIHMOAgAAABA1Ljg2MDE4NjQzNTM5Njc2AFYXURMiE94Iqjj8FSIT3gghQ0lRLkFSQ1QuSVFfVkFMVUVfVFJBREVELjIvNS8yMDI0AQAAAKXDAg4CAAAACDkuODg1NjAyAFYXURMiE94IjxH8FSIT3gghQ0lRLkJDVFguSVFfVkFMVUVfVFJBREVELjIvNy8yMDI0AQAAAPbcoQ8CAAAACDAuNjEyMDg5AJI9URMiE94IvbD4FSIT3ggqQ0lRLlRBSy5JUV9TSE9SVF9JTlRFUkVTVF9QRVJDRU5ULjIvOS8yMDI0AQAAACxYDQADAAAAAACSPVETIhPeCL2w+BUiE94IIUNJUS5PS1lPLklRX1ZBTFVFX1RSQURFRC4yLzkvMjAyNAEAAABLz7YCAgAAAAg5LjgzMjkzOACSPVETIhPeCL2w+BUiE94ILENJUS5LVFJBLklRX1NIT1JUX0lOVEVSRVNUX1BFUkNFTlQuMi8xMi8yMDI0BQAAAAAAAAAIAAAAFChJbnZhbGlkIElkZW50aWZpZXIp7WNREyIT3ghdR/YVIhPeCCNDSVEuUEhSUkYuSVFfVkFMVUVfVFJBREVELjIvMTIvMjAyNAUAAAAAAAAACAAAABQoSW52YWxpZCBJZGVudGlmaWVyKe1jURMiE94IXUf2FSIT3ggrQ0lRLlRBSy5JUV9TSE9SVF9JTlRFUkVTVF9QRVJDRU5ULjIv</t>
  </si>
  <si>
    <t>MTMvMjAyNAEAAAAsWA0AAwAAAAAAQ9UgEyIT3ghdR/YVIhPeCCJDSVEuS1JCUC5JUV9WQUxVRV9UUkFERUQuMi8xNC8yMDI0AQAAAEC5fycDAAAAAABD1SATIhPeCNbX8xUiE94ILENJUS5JT05TLklRX1NIT1JUX0lOVEVSRVNUX1BFUkNFTlQuMi8xNS8yMDI0AQAAAFx2AAACAAAAEDUuODkwNzY3NTI5NTQzNDkAlfwgEyIT3gjW1/MVIhPeCCJDSVEuT05DWS5JUV9WQUxVRV9UUkFERUQuMi8xNS8yMDI0AQAAAFd1FAACAAAACDAuMjgzNjQyAJX8IBMiE94I1tfzFSIT3gghQ0lRLkFQTE0uSVFfVkFMVUVfVFJBREVELjEvMy8yMDI0AQAAAKMhxhYCAAAACDAuNjU2MDg1AAIZlRMiE94I9bgMFiIT3ggrQ0lRLlNOR1guSVFfU0hPUlRfSU5URVJFU1RfUEVSQ0VOVC4xLzQvMjAyNAEAAACrbQAAAgAAABEwLjM4MjQzNTM3NjIyNjIyMQBFQZUTIhPeCIbaCxYiE94IIENJUS5NUksuSVFfVkFMVUVfVFJBREVELjEvNC8yMDI0AQAAAPZmBAACAAAACzEzNDQuNzAzNjA5AEVBlRMiE94IhtoLFiIT3gghQ0lRLkFSR1guSVFfVkFMVUVfVFJBREVELjEvOC8yMDI0AQAAAL3iswMCAAAACTIxLjIxODk2MQBSaJUTIhPeCOhxCRYiE94IK0NJUS5OUklYLklRX1NIT1JUX0lOVEVSRVNUX1BFUkNFTlQuMS84LzIwMjQBAAAATCpVDAIAAAAQMTguMjAwNzgxODQ0NDEyNgAfj5UTIhPeCOhxCRYiE94IK0NJUS5WQ0VMLklRX1NI</t>
  </si>
  <si>
    <t>T1JUX0lOVEVSRVNUX1BFUkNFTlQuMS85LzIwMjQBAAAAWV4AAAIAAAAQMTIuMzIxNDQwMTQ0NTM5NQCj2ZUTIhPeCCL4BhYiE94IIUNJUS5DUkJQLklRX1ZBTFVFX1RSQURFRC4xLzkvMjAyNAEAAAAkbyQPAgAAAAgwLjI0NTA4MwCj2ZUTIhPeCCL4BhYiE94ILENJUS5DTFJCLklRX1NIT1JUX0lOVEVSRVNUX1BFUkNFTlQuMS8xNi8yMDI0AQAAAPPuPQICAAAAEDQuNDAzNjMxNTc1NDAwOTkAhgSWEyIT3ggykAQWIhPeCCxDSVEuS0FOVC5JUV9TSE9SVF9JTlRFUkVTVF9QRVJDRU5ULjEvMTcvMjAyNAUAAAAAAAAACAAAABQoSW52YWxpZCBJZGVudGlmaWVyKXUbiBMiE94IMpAEFiIT3ggiQ0lRLk1BSUEuSVFfVkFMVUVfVFJBREVELjEvMTcvMjAyNAEAAAB18p8lAgAAAAg1LjUxNTMwMQB1G4gTIhPeCDKQBBYiE94IK0NJUS5BWk4uSVFfU0hPUlRfSU5URVJFU1RfUEVSQ0VOVC4xLzE5LzIwMjQBAAAAhiMFAAMAAAAAAHUbiBMiE94IrycCFiIT3ggsQ0lRLlNYVFAuSVFfU0hPUlRfSU5URVJFU1RfUEVSQ0VOVC4xLzIyLzIwMjQBAAAAfEFrDgIAAAAQNi4yNjQyNjYwMTUyMjg5NQB1G4gTIhPeCIu5/xUiE94IIkNJUS5DUkJQLklRX1ZBTFVFX1RSQURFRC4xLzIzLzIwMjQBAAAAJG8kDwIAAAAIMC42MzM2MTEAdRuIEyIT3giLuf8VIhPeCCxDSVEuUENTQS5JUV9TSE9SVF9JTlRFUkVTVF9QRVJDRU5ULjEv</t>
  </si>
  <si>
    <t>MjUvMjAyNAEAAACbHKcfAgAAABEwLjcyMTg5NDM5NDMwNDk5NgBIDIoTIhPeCIu5/xUiE94IIkNJUS5SRUdOLklRX1ZBTFVFX1RSQURFRC4xLzI1LzIwMjQBAAAAs4MAAAIAAAAJMzc0LjAzMTI3AEgMihMiE94Ii7n/FSIT3ggsQ0lRLkxJWFQuSVFfU0hPUlRfSU5URVJFU1RfUEVSQ0VOVC4xLzI5LzIwMjQBAAAArEW9AQIAAAARMC4yMTA4NjY1NDAxMDgyMTIASAyKEyIT3ghjqP4VIhPeCCJDSVEuS1JCUC5JUV9WQUxVRV9UUkFERUQuMS8yOS8yMDI0AQAAAEC5fycDAAAAAABIDIoTIhPeCESB/hUiE94IK0NJUS5CQklPLklRX1NIT1JUX0lOVEVSRVNUX1BFUkNFTlQuMi8yLzIwMjQBAAAAYoecGAIAAAAQOS4yNjY4NjczODM2MDA4OQBWF1ETIhPeCAkj/RUiE94IIUNJUS5GRE1ULklRX1ZBTFVFX1RSQURFRC4yLzMvMjAyNAEAAAAl0EMQAwAAAAAAVhdREyIT3gjv+/wVIhPeCCtDSVEuU0dNTy5JUV9TSE9SVF9JTlRFUkVTVF9QRVJDRU5ULjIvNi8yMDI0AQAAAAJMBgACAAAAEDUuMTY3NjY4NDg4MDY3ODUAVhdREyIT3gibnPsVIhPeCCFDSVEuR0FOWC5JUV9WQUxVRV9UUkFERUQuMi82LzIwMjQBAAAA29AMIQIAAAAHMS4wMzIwNgBWF1ETIhPeCFR1+xUiE94IIUNJUS5BTEVDLklRX1ZBTFVFX1RSQURFRC4yLzgvMjAyNAEAAABrQNsOAgAAAAgzLjc1Mzk2MwCSPVETIhPeCL2w+BUiE94ILENJUS5MUk1S</t>
  </si>
  <si>
    <t>LklRX1NIT1JUX0lOVEVSRVNUX1BFUkNFTlQuMi8xMi8yMDI0AQAAABdgHSICAAAAETAuNzczNjk1NTA5NjkwMzQ5AJI9URMiE94IvbD4FSIT3ggiQ0lRLlBZUEQuSVFfVkFMVUVfVFJBREVELjIvMTIvMjAyNAEAAAB/Fu8CAgAAAAgwLjAzMzkxMwDtY1ETIhPeCF1H9hUiE94ILENJUS5MQ1RYLklRX1NIT1JUX0lOVEVSRVNUX1BFUkNFTlQuMi8xMy8yMDI0AQAAABZkAAACAAAAEDQuNDg2MDIzNTg2MDM2NjkA7WNREyIT3ghdR/YVIhPeCCJDSVEuQ0FMQy5JUV9WQUxVRV9UUkFERUQuMi8xMy8yMDI0AQAAAAZjCgICAAAACDAuMTEzMTQ2AO1jURMiE94IXUf2FSIT3ggrQ0lRLkFJTS5JUV9TSE9SVF9JTlRFUkVTVF9QRVJDRU5ULjIvMTQvMjAyNAEAAABzoK4oAwAAAAAAlfwgEyIT3gjW1/MVIhPeCCJDSVEuQU5WUy5JUV9WQUxVRV9UUkFERUQuMi8xNC8yMDI0AQAAAC/RHSUCAAAACDEuNjU2MjY1AJX8IBMiE94I1tfzFSIT3ggsQ0lRLkZCSU8uSVFfU0hPUlRfSU5URVJFU1RfUEVSQ0VOVC4yLzE2LzIwMjQBAAAACfKtAwIAAAAQOC4xMjM0NzY2NzU2OTA3NQDIJSETIhPeCNbX8xUiE94II0NJUS5SSEhCWS5JUV9WQUxVRV9UUkFERUQuMi8xNi8yMDI0AQAAACR8CgADAAAAAADIJSETIhPeCNbX8xUiE94IK0NJUS5BVlhMLklRX1NIT1JUX0lOVEVSRVNUX1BFUkNFTlQuMS8yLzIwMjQBAAAAYzjPAAIAAAAQ</t>
  </si>
  <si>
    <t>MjIuMDc2MzcxMzU0MTE5MwDvD8cTIhPeCMbvDhYiE94IIUNJUS5TUFJPLklRX1ZBTFVFX1RSQURFRC4xLzIvMjAyNAEAAACz3FYOAgAAAAgwLjY1MTgyMgDvD8cTIhPeCFnJDhYiE94IK0NJUS5FTlZCLklRX1NIT1JUX0lOVEVSRVNUX1BFUkNFTlQuMS8zLzIwMjQBAAAAAPvLJgIAAAARMC41MTc0NjY2ODkwNjc4MTEAAhmVEyIT3gj1uAwWIhPeCCFDSVEuR0xZQy5JUV9WQUxVRV9UUkFERUQuMS80LzIwMjQBAAAAOQdXAAMAAAAAAAIZlRMiE94I9bgMFiIT3ggrQ0lRLkNWQUMuSVFfU0hPUlRfSU5URVJFU1RfUEVSQ0VOVC4xLzUvMjAyNAEAAAB+Kz0BAgAAABAxLjY3MjYwMTgxMzExMzk2AEVBlRMiE94IhtoLFiIT3gghQ0lRLk1SU04uSVFfVkFMVUVfVFJBREVELjEvNS8yMDI0AQAAAObFGAACAAAACDIuMDYyMTgyAFJolRMiE94I6HEJFiIT3ggrQ0lRLkNMUkIuSVFfU0hPUlRfSU5URVJFU1RfUEVSQ0VOVC4xLzgvMjAyNAEAAADz7j0CAgAAABA0Ljg4MTk1NjAwNzY2NTgzAB+PlRMiE94I6HEJFiIT3gggQ0lRLkJNWS5JUV9WQUxVRV9UUkFERUQuMS84LzIwMjQBAAAAxmQAAAIAAAAKOTcwLjg0ODg2NgAfj5UTIhPeCOhxCRYiE94IIUNJUS5PUklDLklRX1ZBTFVFX1RSQURFRC4xLzgvMjAyNAEAAABUSxoSAgAAAAgzLjE2MjIzMgAztpUTIhPeCCL4BhYiE94ILENJUS5DTU5ELklRX1NIT1JUX0lOVEVS</t>
  </si>
  <si>
    <t>RVNUX1BFUkNFTlQuMS8xMC8yMDI0AQAAAD/2jyACAAAAETAuODUzMDg1OTk5MDMwMjA4AKPZlRMiE94IIvgGFiIT3ggiQ0lRLlZZTkUuSVFfVkFMVUVfVFJBREVELjEvMTAvMjAyNAEAAAAqXWMAAgAAAAgwLjYzMjI0NACj2ZUTIhPeCDKQBBYiE94ILENJUS5TUlBULklRX1NIT1JUX0lOVEVSRVNUX1BFUkNFTlQuMS8xNi8yMDI0AQAAAFiIBQACAAAAEDUuMDE1MzM5ODgxNDg2NTUAdRuIEyIT3ggykAQWIhPeCCFDSVEuT05DLklRX1ZBTFVFX1RSQURFRC4xLzE2LzIwMjQBAAAA4OTdBgIAAAAJNTEuMjQzMTkyAHUbiBMiE94IMpAEFiIT3ggsQ0lRLkNSREYuSVFfU0hPUlRfSU5URVJFU1RfUEVSQ0VOVC4xLzE3LzIwMjQBAAAAvDqnAAIAAAAQMi45NDc5MDM4ODM1MjQ5NAB1G4gTIhPeCK8nAhYiE94IIkNJUS5QQkxBLklRX1ZBTFVFX1RSQURFRC4xLzE4LzIwMjQBAAAANvXYCgIAAAAIMC44OTk4NTgAdRuIEyIT3givJwIWIhPeCCtDSVEuQVpOLklRX1NIT1JUX0lOVEVSRVNUX1BFUkNFTlQuMS8yMi8yMDI0AQAAAIYjBQADAAAAAAB1G4gTIhPeCK8nAhYiE94IIkNJUS5DTFJCLklRX1ZBTFVFX1RSQURFRC4xLzIyLzIwMjQBAAAA8+49AgIAAAAJMTEuMjYzMjI3AHUbiBMiE94IrycCFiIT3ggsQ0lRLlVSR04uSVFfU0hPUlRfSU5URVJFU1RfUEVSQ0VOVC4xLzI0LzIwMjQBAAAA1dJYDgIAAAAQMTAuOTg1</t>
  </si>
  <si>
    <t>NTExMDY4Mzc0OAB1G4gTIhPeCIu5/xUiE94IIkNJUS5FTlNDLklRX1ZBTFVFX1RSQURFRC4xLzI1LzIwMjQBAAAAP0YWAwIAAAAINC4xNzg0MDUAdRuIEyIT3giLuf8VIhPeCCtDSVEuQk1ZLklRX1NIT1JUX0lOVEVSRVNUX1BFUkNFTlQuMS8yNy8yMDI0AQAAAMZkAAACAAAADzEuNDM0Mzc0MDk3NTkyMgBIDIoTIhPeCHOS/xUiE94IIUNJUS5NUksuSVFfVkFMVUVfVFJBREVELjEvMjkvMjAyNAEAAAD2ZgQAAgAAAAsxMTA4LjMwNTM5NQBIDIoTIhPeCGZr/xUiE94ILENJUS5TQ1lYLklRX1NIT1JUX0lOVEVSRVNUX1BFUkNFTlQuMS8zMC8yMDI0AQAAAKcwDAACAAAADzMuNzgyMDY3MzAyNjEwNAAl8FATIhPeCNzk/RUiE94IIkNJUS5WUlRYLklRX1ZBTFVFX1RSQURFRC4xLzMwLzIwMjQBAAAAi40AAAIAAAALMTQ4NS40ODA3NDgAJfBQEyIT3gigvf0VIhPeCB9DSVEuR0FMVC5JUV9NQVJLRVRDQVAuNC8xMC8yMDI0AQAAAMdBEAACAAAACjIzNi40NzIwMjcBBgAAAAUAAAABMQEAAAALLTIwMDQwNDAxNTkDAAAAAzE2MAIAAAAGMTAwMDU0BAAAAAEwBwAAAAk0LzEwLzIwMjTtO/8TIhPeCN+nxxUiE94IKUNJUS5HQUxULklRX1BSSUNFX1ZPTF9ISVNUXzZNVEguNC8xMC8yMDI0AQAAAMdBEAACAAAABzY1LjE0OTIA7Tv/EyIT3gjfp8cVIhPeCB9DSVEuR0FMVC5JUV9MQVNUU0FMRVBSSUNFLjQ1MzkxAQAA</t>
  </si>
  <si>
    <t>AMdBEAACAAAABDMuOTQAXSoVFCIT3gjfp8cVIhPeCCNDSVEuR0FMVC5JUV9MQVNUU0FMRVBSSUNFLjQvMTAvMjAyNAEAAADHQRAAAgAAAAQzLjgyAO07/xMiE94I36fHFSIT3ggfQ0lRLkdBTFQuSVFfTEFTVFNBTEVQUklDRS40NTM5OQEAAADHQRAAAgAAAAQzLjM4AF0qFRQiE94I36fHFSIT3ggfQ0lRLkFMS1MuSVFfTUFSS0VUQ0FQLjQvMTAvMjAyNAEAAAD8XwAAAgAAAAs0NDIyLjQ3NDU0NAEGAAAABQAAAAExAQAAAAstMjAwOTA4MzUwMQMAAAADMTYwAgAAAAYxMDAwNTQEAAAAATAHAAAACTQvMTAvMjAyNO8PxxMiE94IlFnHFSIT3ggfQ0lRLkFDUlYuSVFfTUFSS0VUQ0FQLjQvMTAvMjAyNAEAAACJQ+cmAgAAAAoyMzUuMTk3OTIxAQYAAAAFAAAAATEBAAAACy0yMDA0MzE3OTY1AwAAAAMxNjACAAAABjEwMDA1NAQAAAABMAcAAAAJNC8xMC8yMDI07Tv/EyIT3giUWccVIhPeCB9DSVEuQUNSVi5JUV9MQVNUU0FMRVBSSUNFLjQ1MzkxAQAAAIlD5yYCAAAABDkuNjIA7Tv/EyIT3giUWccVIhPeCCNDSVEuQUNSVi5JUV9MQVNUU0FMRVBSSUNFLjQvMTAvMjAyNAEAAACJQ+cmAgAAAAUxMC4zOQBdKhUUIhPeCJRZxxUiE94IHkNJUS5BSU0uSVFfTUFSS0VUQ0FQLjQvMTAvMjAyNAEAAABzoK4oAgAAAAk3Ni4yMTcxMjcBBgAAAAUAAAABMQEAAAALLTIwMDg3ODM5NzcDAAAAATkCAAAABjEwMDA1NAQAAAAB</t>
  </si>
  <si>
    <t>MAcAAAAJNC8xMC8yMDI0YUvGEyIT3giUWccVIhPeCB9DSVEuQkNUWC5JUV9NQVJLRVRDQVAuNC8xMC8yMDI0AQAAAPbcoQ8CAAAACDU5LjEzMTg5AQYAAAAFAAAAATEBAAAACy0yMDA1NzE0MzQ5AwAAAAIyNwIAAAAGMTAwMDU0BAAAAAEwBwAAAAk0LzEwLzIwMjTtO/8TIhPeCEQLxxUiE94IKUNJUS5CQ1RYLklRX1BSSUNFX1ZPTF9ISVNUXzZNVEguNC8xMC8yMDI0AQAAAPbcoQ8CAAAABzg3LjQ5MzkA7Tv/EyIT3ghEC8cVIhPeCB9DSVEuQkNUWC5JUV9MQVNUU0FMRVBSSUNFLjQ1MzkxAQAAAPbcoQ8CAAAACjQyNy41MTQ3ODYA7Tv/EyIT3giUWccVIhPeCCNDSVEuQkNUWC5JUV9MQVNUU0FMRVBSSUNFLjQvMTAvMjAyNAEAAAD23KEPAgAAAAo0MDkuNDk5Nzk1AF0qFRQiE94IlFnHFSIT3ggfQ0lRLkJDVFguSVFfTEFTVFNBTEVQUklDRS40NTM5OQEAAAD23KEPAgAAAAozMjMuOTk5ODM4AF0qFRQiE94IRAvHFSIT3ggfQ0lRLkFNTFguSVFfTUFSS0VUQ0FQLjQvMTAvMjAyNAEAAAAGoOcSAgAAAAoxNjYuNzQ0MDYyAQYAAAAFAAAAATEBAAAACy0yMDA5MjkxNTMzAwAAAAMxNjACAAAABjEwMDA1NAQAAAABMAcAAAAJNC8xMC8yMDI0usTGEyIT3ghEC8cVIhPeCClDSVEuQU1MWC5JUV9QUklDRV9WT0xfSElTVF82TVRILjQvMTAvMjAyNAEAAAAGoOcSAgAAAAgyNTguNDg0NgBdKhUUIhPeCEQLxxUiE94I</t>
  </si>
  <si>
    <t>H0NJUS5SRUdOLklRX01BUktFVENBUC40LzEwLzIwMjQBAAAAs4MAAAIAAAANMTAwNjA1LjgyNzAzNQEGAAAABQAAAAExAQAAAAstMjAxMTcxNDU2MQMAAAADMTYwAgAAAAYxMDAwNTQEAAAAATAHAAAACTQvMTAvMjAyNO8PxxMiE94IRAvHFSIT3ggjQ0lRLlJFR04uSVFfTEFTVFNBTEVQUklDRS40LzEwLzIwMjQBAAAAs4MAAAIAAAAFOTM2LjIAXSoVFCIT3ghEC8cVIhPeCB9DSVEuUkVHTi5JUV9MQVNUU0FMRVBSSUNFLjQ1Mzk5AQAAALODAAACAAAABjkwMS4xOQDtO/8TIhPeCEQLxxUiE94IH0NJUS5CTlRYLklRX01BUktFVENBUC40LzEwLzIwMjQBAAAAezsNAwIAAAAMMjEzNjMuODA3NzM2AQYAAAAFAAAAATEBAAAACy0yMDA1NTIzNzM2AwAAAAMxNjACAAAABjEwMDA1NAQAAAABMAcAAAAJNC8xMC8yMDI07Tv/EyIT3ghEC8cVIhPeCB9DSVEuQVBWTy5JUV9NQVJLRVRDQVAuNC8xMC8yMDI0AQAAAJTuvhMCAAAACDEuMjc4NzIxAQYAAAAFAAAAATEBAAAACy0yMDA3MzY1OTM3AwAAAAMxNjACAAAABjEwMDA1NAQAAAABMAcAAAAJNC8xMC8yMDI07Tv/EyIT3ghLqsYVIhPeCCNDSVEuQVBWTy5JUV9MQVNUU0FMRVBSSUNFLjQvMTAvMjAyNAEAAACU7r4TAgAAAAsxNzc2LjAwMTc3NgBdKhUUIhPeCEuqxhUiE94IH0NJUS5DUkJVLklRX01BUktFVENBUC40LzEwLzIwMjQBAAAAL0c5EAIAAAAKMzkyLjg2</t>
  </si>
  <si>
    <t>ODA3OQEGAAAABQAAAAExAQAAAAstMjAwNjY0MzAzMQMAAAADMTYwAgAAAAYxMDAwNTQEAAAAATAHAAAACTQvMTAvMjAyNGFLxhMiE94IaELEFSIT3ggfQ0lRLkNSQlUuSVFfTEFTVFNBTEVQUklDRS40NTM5OQEAAAAvRzkQAgAAAAQzLjkxAF0qFRQiE94IaELEFSIT3ggfQ0lRLlZSVFguSVFfTUFSS0VUQ0FQLjQvMTAvMjAyNAEAAACLjQAAAgAAAAwxMDI3NTguMjY1NTkBBgAAAAUAAAABMQEAAAALLTIwMTAwNzc3NjYDAAAAAzE2MAIAAAAGMTAwMDU0BAAAAAEwBwAAAAk0LzEwLzIwMjTtO/8TIhPeCGhCxBUiE94IKUNJUS5WUlRYLklRX1BSSUNFX1ZPTF9ISVNUXzZNVEguNC8xMC8yMDI0AQAAAIuNAAACAAAABzI3LjEwODYA7Tv/EyIT3ghoQsQVIhPeCB9DSVEuQUxQTi5JUV9NQVJLRVRDQVAuNC8xMC8yMDI0AQAAANmQZgACAAAACTY3LjUwMTcyNQEGAAAABQAAAAExAQAAAAstMjAwMjQwMDQ1NgMAAAACMjkCAAAABjEwMDA1NAQAAAABMAcAAAAJNC8xMC8yMDI0cXbGEyIT3ghoQsQVIhPeCCNDSVEuQUxQTi5JUV9MQVNUU0FMRVBSSUNFLjQvMTAvMjAyNAEAAADZkGYAAgAAAAQ3Ljc1AF0qFRQiE94IaELEFSIT3ggfQ0lRLkFMUE4uSVFfTEFTVFNBTEVQUklDRS40NTM5OQEAAADZkGYAAgAAAAM3LjUA7Tv/EyIT3ghoQsQVIhPeCB9DSVEuS1JZUy5JUV9NQVJLRVRDQVAuNC8xMC8yMDI0AQAAACgn1R8C</t>
  </si>
  <si>
    <t>AAAACzUwMTAuMDA1OTA4AQYAAAAFAAAAATEBAAAACy0yMDA4NzMxNjM3AwAAAAMxNjACAAAABjEwMDA1NAQAAAABMAcAAAAJNC8xMC8yMDI0YUvGEyIT3ghoQsQVIhPeCClDSVEuS1JZUy5JUV9QUklDRV9WT0xfSElTVF82TVRILjQvMTAvMjAyNAEAAAAoJ9UfAgAAAAc3MC4zMTQ4AO07/xMiE94IaELEFSIT3ggjQ0lRLktSWVMuSVFfTEFTVFNBTEVQUklDRS40LzEwLzIwMjQBAAAAKCfVHwIAAAAFMTc1LjcA7Tv/EyIT3ghoQsQVIhPeCB9DSVEuS1JZUy5JUV9MQVNUU0FMRVBSSUNFLjQ1Mzk5AQAAACgn1R8CAAAABjE2OS42NADtO/8TIhPeCGhCxBUiE94IH0NJUS5MUENOLklRX01BUktFVENBUC40LzExLzIwMjQBAAAAGvR6AAIAAAAIMzQuMDc0NDcBBgAAAAUAAAABMQEAAAALLTIwMDcxMDQ0ODMDAAAAAzE2MAIAAAAGMTAwMDU0BAAAAAEwBwAAAAk0LzExLzIwMjTtO/8TIhPeCGhCxBUiE94IH0NJUS5QUlRDLklRX01BUktFVENBUC40LzExLzIwMjQBAAAAFgCNAAIAAAAKNTg2LjM1Mzc0OQEGAAAABQAAAAExAQAAAAstMjAyOTYwNTE1NwMAAAACNTUCAAAABjEwMDA1NAQAAAABMAcAAAAJNC8xMS8yMDI0cXbGEyIT3ghoQsQVIhPeCClDSVEuUFJUQy5JUV9QUklDRV9WT0xfSElTVF82TVRILjQvMTEvMjAyNAEAAAAWAI0AAgAAAAc1MC4zMjQ1AO07/xMiE94IaELEFSIT3ggfQ0lRLlBSVEMuSVFfTEFT</t>
  </si>
  <si>
    <t>VFNBTEVQUklDRS40NTM5MgEAAAAWAI0AAgAAAAUyLjE3NQDtO/8TIhPeCGhCxBUiE94IH0NJUS5DTFlNLklRX01BUktFVENBUC40LzExLzIwMjQBAAAAygn0IwIAAAAKMTI4LjQzODE2NwEGAAAABQAAAAExAQAAAAstMjAwMzk0MDQ5NQMAAAADMTYwAgAAAAYxMDAwNTQEAAAAATAHAAAACTQvMTEvMjAyNO07/xMiE94IaELEFSIT3ggfQ0lRLkJPTEQuSVFfTUFSS0VUQ0FQLjQvMTEvMjAyNAEAAACDpAEmAgAAAAoyNTguNjA5NzYyAQYAAAAFAAAAATEBAAAACy0yMDA2ODczMDU0AwAAAAMxNjACAAAABjEwMDA1NAQAAAABMAcAAAAJNC8xMS8yMDI0cXbGEyIT3ghoQsQVIhPeCB9DSVEuQk9MRC5JUV9MQVNUU0FMRVBSSUNFLjQ1MzkyAQAAAIOkASYCAAAABTExLjg3AO07/xMiE94IaELEFSIT3ggjQ0lRLkJPTEQuSVFfTEFTVFNBTEVQUklDRS40LzExLzIwMjQBAAAAg6QBJgIAAAAFMTEuNjMA7Tv/EyIT3ghoQsQVIhPeCB5DSVEuQVpOLklRX01BUktFVENBUC40LzExLzIwMjQBAAAAhiMFAAIAAAANMTY5OTM2LjMzMTQyOAEGAAAABQAAAAExAQAAAAstMjAwOTUxNzE0MAMAAAACNTUCAAAABjEwMDA1NAQAAAABMAcAAAAJNC8xMS8yMDI0usTGEyIT3ghoQsQVIhPeCB9DSVEuUkFSRS5JUV9NQVJLRVRDQVAuNC8xNS8yMDI0AQAAAPF6AAcCAAAACzM1MjkuNzMwOTAyAQYAAAAFAAAAATEBAAAACy0yMDA5MzMx</t>
  </si>
  <si>
    <t>NTE3AwAAAAMxNjACAAAABjEwMDA1NAQAAAABMAcAAAAJNC8xNS8yMDI07Tv/EyIT3ghoQsQVIhPeCClDSVEuUkFSRS5JUV9QUklDRV9WT0xfSElTVF82TVRILjQvMTUvMjAyNAEAAADxegAHAgAAAAc1MS42NDYzAO07/xMiE94IaELEFSIT3ggjQ0lRLlJBUkUuSVFfTEFTVFNBTEVQUklDRS40LzE1LzIwMjQBAAAA8XoABwIAAAAFNDIuODcAXSoVFCIT3ghoQsQVIhPeCB9DSVEuUkFSRS5JUV9MQVNUU0FMRVBSSUNFLjQ1NDA0AQAAAPF6AAcCAAAABTQzLjY5AO07/xMiE94IaELEFSIT3ggfQ0lRLkxHTkQuSVFfTUFSS0VUQ0FQLjQvMTUvMjAyNAEAAABkeAAAAgAAAAsxNDEyLjM1MDc0NAEGAAAABQAAAAExAQAAAAstMjAwNzczMjc0OAMAAAADMTYwAgAAAAYxMDAwNTQEAAAAATAHAAAACTQvMTUvMjAyNLrExhMiE94IaELEFSIT3ggpQ0lRLkxHTkQuSVFfUFJJQ0VfVk9MX0hJU1RfNk1USC40LzE1LzIwMjQBAAAAZHgAAAIAAAAHNDEuNzc2OQBdKhUUIhPeCGhCxBUiE94IH0NJUS5MR05ELklRX0xBU1RTQUxFUFJJQ0UuNDUzOTQBAAAAZHgAAAIAAAAFODEuMzYA7Tv/EyIT3ghoQsQVIhPeCB9DSVEuTVJOUy5JUV9NQVJLRVRDQVAuNC8xNS8yMDI0AQAAACEWNwECAAAACzM5NzEuMTYzMjc3AQYAAAAFAAAAATEBAAAACy0yMDExOTA2MTQwAwAAAAMxMjUCAAAABjEwMDA1NAQAAAABMAcAAAAJNC8xNS8yMDI0</t>
  </si>
  <si>
    <t>7Tv/EyIT3ghoQsQVIhPeCCNDSVEuTVJOUy5JUV9MQVNUU0FMRVBSSUNFLjQvMTUvMjAyNAEAAAAhFjcBAgAAAAI1MwBdKhUUIhPeCGhCxBUiE94IH0NJUS5NUk5TLklRX0xBU1RTQUxFUFJJQ0UuNDU0MDQBAAAAIRY3AQIAAAAFNTIuNTEA7Tv/EyIT3ghoQsQVIhPeCB9DSVEuVEZGUC5JUV9NQVJLRVRDQVAuNC8xNS8yMDI0AQAAAOo0CwACAAAABzk3OS45MzYBBgAAAAUAAAABMQEAAAALLTIwMTIyMTgzMjgDAAAAAjUwAgAAAAYxMDAwNTQEAAAAATAHAAAACTQvMTUvMjAyNNTrxhMiE94IaELEFSIT3ggfQ0lRLlZJUlguSVFfTUFSS0VUQ0FQLjQvMTUvMjAyNAEAAAAt004CAgAAAAk1MS40NDY4ODkBBgAAAAUAAAABMQEAAAALLTIwMDcwMDQyMzcDAAAAAjUwAgAAAAYxMDAwNTQEAAAAATAHAAAACTQvMTUvMjAyNO07/xMiE94IaELEFSIT3ggjQ0lRLlZJUlguSVFfTEFTVFNBTEVQUklDRS40LzE1LzIwMjQBAAAALdNOAgMAAAAAAF0qFRQiE94IaELEFSIT3ggfQ0lRLlZJUlguSVFfTEFTVFNBTEVQUklDRS40NTQwNAEAAAAt004CAwAAAAAAXSoVFCIT3ghoQsQVIhPeCB9DSVEuUk5BWi5JUV9NQVJLRVRDQVAuNC8xNS8yMDI0AQAAABkhliACAAAACDMuMTE0NDc4AQYAAAAFAAAAATEBAAAACy0yMDAzNDIwMzU5AwAAAAMxNjACAAAABjEwMDA1NAQAAAABMAcAAAAJNC8xNS8yMDI0YUvGEyIT3ghoQsQVIhPe</t>
  </si>
  <si>
    <t>CClDSVEuUk5BWi5JUV9QUklDRV9WT0xfSElTVF82TVRILjQvMTUvMjAyNAEAAAAZIZYgAgAAAAgxNzIuMjExMwDtO/8TIhPeCGhCxBUiE94IH0NJUS5STkFaLklRX0xBU1RTQUxFUFJJQ0UuNDUzOTQBAAAAGSGWIAIAAAAKNTc0LjA4MTU2MQBdKhUUIhPeCGhCxBUiE94II0NJUS5STkFaLklRX0xBU1RTQUxFUFJJQ0UuNC8xNS8yMDI0AQAAABkhliACAAAACjQ5NS41NDE1MTIA7Tv/EyIT3ghoQsQVIhPeCB9DSVEuT05WTy5JUV9NQVJLRVRDQVAuNC8xNS8yMDI0AQAAAEVkXAYCAAAACTEzLjU1NDA0MwEGAAAABQAAAAExAQAAAAstMjAxMTI2ODA0MQMAAAADMTYwAgAAAAYxMDAwNTQEAAAAATAHAAAACTQvMTUvMjAyNO07/xMiE94IaELEFSIT3ggfQ0lRLk9OVk8uSVFfTEFTVFNBTEVQUklDRS40NTQwNAEAAABFZFwGAwAAAAAAXSoVFCIT3ghoQsQVIhPeCB9DSVEuQ09SVC5JUV9NQVJLRVRDQVAuNC8xNS8yMDI0AQAAANK5FQACAAAACzI0MDMuODMwMzkzAQYAAAAFAAAAATEBAAAACy0yMDEwMTc4MDM3AwAAAAMxNjACAAAABjEwMDA1NAQAAAABMAcAAAAJNC8xNS8yMDI0vZ3GEyIT3ghoQsQVIhPeCClDSVEuQ09SVC5JUV9QUklDRV9WT0xfSElTVF82TVRILjQvMTUvMjAyNAEAAADSuRUAAgAAAAc2My41NTA3AO07/xMiE94IaELEFSIT3ggfQ0lRLkVXVFguSVFfTUFSS0VUQ0FQLjQvMTUvMjAyNAEAAADS</t>
  </si>
  <si>
    <t>Nn8jAgAAAAsxNTM5LjQwNDY0NAEGAAAABQAAAAExAQAAAAstMjAwOTI4NTg2MgMAAAADMTYwAgAAAAYxMDAwNTQEAAAAATAHAAAACTQvMTUvMjAyNHF2xhMiE94IaELEFSIT3ggfQ0lRLkVXVFguSVFfTEFTVFNBTEVQUklDRS40NTQwNAEAAADSNn8jAgAAAAUxNS4wOADtO/8TIhPeCGhCxBUiE94IH0NJUS5PUklDLklRX01BUktFVENBUC40LzE1LzIwMjQBAAAAVEsaEgIAAAAJNjQyLjc2NTU4AQYAAAAFAAAAATEBAAAACy0yMDA2NjQyOTY2AwAAAAMxNjACAAAABjEwMDA1NAQAAAABMAcAAAAJNC8xNS8yMDI07Tv/EyIT3ghoQsQVIhPeCClDSVEuT1JJQy5JUV9QUklDRV9WT0xfSElTVF82TVRILjQvMTUvMjAyNAEAAABUSxoSAgAAAAc2OS44NTE2AO07/xMiE94IaELEFSIT3ggfQ0lRLk9SSUMuSVFfTEFTVFNBTEVQUklDRS40NTM5NAEAAABUSxoSAgAAAAM5LjgAXSoVFCIT3ghoQsQVIhPeCCNDSVEuT1JJQy5JUV9MQVNUU0FMRVBSSUNFLjQvMTUvMjAyNAEAAABUSxoSAgAAAAQ5LjU0AF0qFRQiE94IaELEFSIT3ggfQ0lRLk9SSUMuSVFfTEFTVFNBTEVQUklDRS40NTQwNAEAAABUSxoSAgAAAAQ4LjcyAF0qFRQiE94IaELEFSIT3ggfQ0lRLlRFTE8uSVFfTUFSS0VUQ0FQLjQvMTUvMjAyNAEAAADE4yxtAgAAAAoyNjEuNzUwNzU2AQYAAAAFAAAAATEBAAAACy0yMDAzOTQwNDcwAwAAAAMxNjACAAAABjEw</t>
  </si>
  <si>
    <t>MDA1NAQAAAABMAcAAAAJNC8xNS8yMDI0usTGEyIT3ghoQsQVIhPeCB9DSVEuTEJQSC5JUV9NQVJLRVRDQVAuNC8xNS8yMDI0BQAAAAAAAAAIAAAAFChJbnZhbGlkIElkZW50aWZpZXIp7Tv/EyIT3ghoQsQVIhPeCClDSVEuTEJQSC5JUV9QUklDRV9WT0xfSElTVF82TVRILjQvMTUvMjAyNAUAAAAAAAAACAAAABQoSW52YWxpZCBJZGVudGlmaWVyKe07/xMiE94IaELEFSIT3ggfQ0lRLkxCUEguSVFfTEFTVFNBTEVQUklDRS40NTM5NAUAAAAAAAAACAAAABQoSW52YWxpZCBJZGVudGlmaWVyKe07/xMiE94IaELEFSIT3ggeQ0lRLk5WUy5JUV9NQVJLRVRDQVAuNC8xNS8yMDI0AQAAAKm16A8CAAAACzEzMzQuMjA3MjE2AQYAAAAFAAAAATEBAAAACy0yMDE4ODkyNzk0AwAAAAMxNzQCAAAABjEwMDA1NAQAAAABMAcAAAAJNC8xNS8yMDI07Tv/EyIT3ghoQsQVIhPeCB9DSVEuSEFMTy5JUV9NQVJLRVRDQVAuNC8xNi8yMDI0AQAAAEYFeQACAAAACjQ4NzYuMzQ4NjQBBgAAAAUAAAABMQEAAAALLTIwMDkzMDIzMzMDAAAAAzE2MAIAAAAGMTAwMDU0BAAAAAEwBwAAAAk0LzE2LzIwMjS9ncYTIhPeCGhCxBUiE94IKUNJUS5IQUxPLklRX1BSSUNFX1ZPTF9ISVNUXzZNVEguNC8xNi8yMDI0AQAAAEYFeQACAAAABzM4LjU4OTMA7Tv/EyIT3ghoQsQVIhPeCB9DSVEuSEFMTy5JUV9MQVNUU0FMRVBSSUNFLjQ1Mzk3AQAA</t>
  </si>
  <si>
    <t>AEYFeQACAAAABTM4LjcyAF0qFRQiE94IaELEFSIT3ggjQ0lRLkhBTE8uSVFfTEFTVFNBTEVQUklDRS40LzE2LzIwMjQBAAAARgV5AAIAAAAFMzguMzgA7Tv/EyIT3ghoQsQVIhPeCB9DSVEuSEFMTy5JUV9MQVNUU0FMRVBSSUNFLjQ1NDA1AQAAAEYFeQACAAAABTM4Ljk3AO07/xMiE94IaELEFSIT3ggfQ0lRLkFSR1guSVFfTUFSS0VUQ0FQLjQvMTYvMjAyNAEAAAC94rMDAgAAAAwyMDc0OS42NTc3NzUBBgAAAAUAAAABMQEAAAALLTIwMDUyNDgwMDIDAAAAAjUwAgAAAAYxMDAwNTQEAAAAATAHAAAACTQvMTYvMjAyNHF2xhMiE94IaELEFSIT3ggpQ0lRLkFSR1guSVFfUFJJQ0VfVk9MX0hJU1RfNk1USC40LzE2LzIwMjQBAAAAveKzAwIAAAAFNTcuNzQAXSoVFCIT3ghoQsQVIhPeCCNDSVEuWkxBQi5JUV9MQVNUU0FMRVBSSUNFLjQvMTYvMjAyNAEAAAB3AikQAgAAAAUxNC40MgDtO/8TIhPeCGhCxBUiE94IHkNJUS5SRVBMLklRX01BUktFVENBUC40LzcvMjAyNAEAAABE6BIiAgAAAAo0NTEuODE0MTA1AQYAAAAFAAAAATEBAAAACy0yMDExMzQzMzgwAwAAAAMxNjACAAAABjEwMDA1NAQAAAABMAcAAAAINC83LzIwMjTvD8cTIhPeCP5yzxUiE94IKENJUS5SRVBMLklRX1BSSUNFX1ZPTF9ISVNUXzZNVEguNC83LzIwMjQBAAAAROgSIgIAAAAIMTA5LjIyNTEAXSoVFCIT3gj+cs8VIhPeCB5DSVEuQUxOWS5J</t>
  </si>
  <si>
    <t>UV9NQVJLRVRDQVAuNC83LzIwMjQBAAAAc6wqAAIAAAAMMTk0MTcuOTg0MzIyAQYAAAAFAAAAATEBAAAACy0yMDEwMDc3NzE1AwAAAAMxNjACAAAABjEwMDA1NAQAAAABMAcAAAAINC83LzIwMjTtO/8TIhPeCP5yzxUiE94IHkNJUS5BUldSLklRX01BUktFVENBUC40LzcvMjAyNAEAAACGGQMAAgAAAAszMTk0LjA2MjQ0MwEGAAAABQAAAAExAQAAAAstMjAxMTU2MzQyMwMAAAADMTYwAgAAAAYxMDAwNTQEAAAAATAHAAAACDQvNy8yMDI07Tv/EyIT3ggupM0VIhPeCCJDSVEuQVJXUi5JUV9MQVNUU0FMRVBSSUNFLjQvNy8yMDI0AQAAAIYZAwACAAAABTI1Ljc4AO07/xMiE94ILqTNFSIT3ggeQ0lRLkJOVFguSVFfTUFSS0VUQ0FQLjQvNy8yMDI0AQAAAHs7DQMCAAAADDIxNTE4LjkzMzUzMgEGAAAABQAAAAExAQAAAAstMjAwNTUyMzczNgMAAAADMTYwAgAAAAYxMDAwNTQEAAAAATAHAAAACDQvNy8yMDI07Tv/EyIT3ggupM0VIhPeCB5DSVEuSU9OUy5JUV9NQVJLRVRDQVAuNC83LzIwMjQBAAAAXHYAAAIAAAALNjI5OS4zOTI2NjYBBgAAAAUAAAABMQEAAAALLTIwMDkzMjMxNDMDAAAAAzE2MAIAAAAGMTAwMDU0BAAAAAEwBwAAAAg0LzcvMjAyNL2dxhMiE94ILqTNFSIT3ggiQ0lRLklPTlMuSVFfTEFTVFNBTEVQUklDRS40LzcvMjAyNAEAAABcdgAAAgAAAAU0My4yMgDtO/8TIhPeCC6kzRUiE94IHkNJUS5J</t>
  </si>
  <si>
    <t>VE9TLklRX01BUktFVENBUC40LzcvMjAyNAUAAAAAAAAACAAAABQoSW52YWxpZCBJZGVudGlmaWVyKb2dxhMiE94ILqTNFSIT3ggiQ0lRLklUT1MuSVFfTEFTVFNBTEVQUklDRS40LzcvMjAyNAUAAAAAAAAACAAAABQoSW52YWxpZCBJZGVudGlmaWVyKe07/xMiE94ILqTNFSIT3ggdQ0lRLklOTy5JUV9NQVJLRVRDQVAuNC83LzIwMjQBAAAA+nAAAAIAAAAKMjc1LjY1MzQ1NQEGAAAABQAAAAExAQAAAAstMjAwNzE3NTg1MQMAAAADMTYwAgAAAAYxMDAwNTQEAAAAATAHAAAACDQvNy8yMDI07w/HEyIT3ggupM0VIhPeCCdDSVEuSU5PLklRX1BSSUNFX1ZPTF9ISVNUXzZNVEguNC83LzIwMjQBAAAA+nAAAAIAAAAIMTA3LjQ4MTEAXSoVFCIT3ggupM0VIhPeCB5DSVEuSU5PLklRX0xBU1RTQUxFUFJJQ0UuNDUzODcBAAAA+nAAAAIAAAAGMTEuNzk1AF0qFRQiE94ILqTNFSIT3ggeQ0lRLklOTy5JUV9MQVNUU0FMRVBSSUNFLjQ1Mzk0AQAAAPpwAAACAAAABTExLjAzAF0qFRQiE94ILqTNFSIT3ggeQ0lRLkVXVFguSVFfTUFSS0VUQ0FQLjQvNy8yMDI0AQAAANI2fyMCAAAACzE1NzkuMTU2MTY2AQYAAAAFAAAAATEBAAAACy0yMDA5Mjg1ODYyAwAAAAMxNjACAAAABjEwMDA1NAQAAAABMAcAAAAINC83LzIwMjRxdsYTIhPeCC6kzRUiE94IHkNJUS5TTkRYLklRX01BUktFVENBUC40LzgvMjAyNAEAAADKpp8BAgAA</t>
  </si>
  <si>
    <t>AAsxOTM4LjM4NjYzOAEGAAAABQAAAAExAQAAAAstMjAwNzYzODY2NAMAAAADMTYwAgAAAAYxMDAwNTQEAAAAATAHAAAACDQvOC8yMDI0YUvGEyIT3ggupM0VIhPeCB9DSVEuU05EWC5JUV9MQVNUU0FMRVBSSUNFLjQ1Mzg3AQAAAMqmnwECAAAABTIyLjg5AF0qFRQiE94ILqTNFSIT3ggeQ0lRLlpZTUUuSVFfTUFSS0VUQ0FQLjQvOC8yMDI0AQAAAGdklAICAAAACjY3OC44NjYyOTYBBgAAAAUAAAABMQEAAAALLTIwMDcxODgzMTMDAAAAAzE2MAIAAAAGMTAwMDU0BAAAAAEwBwAAAAg0LzgvMjAyNO8PxxMiE94ILqTNFSIT3ggeQ0lRLkJNUk4uSVFfTUFSS0VUQ0FQLjQvOC8yMDI0AQAAAAVkAAACAAAADDE2NDY3LjYwODI4OAEGAAAABQAAAAExAQAAAAstMjAwODY2OTA4NQMAAAADMTYwAgAAAAYxMDAwNTQEAAAAATAHAAAACDQvOC8yMDI07Tv/EyIT3ggupM0VIhPeCB5DSVEuTUlTVC5JUV9NQVJLRVRDQVAuNC84LzIwMjQBAAAAM+0nAgIAAAAKMTA4LjcwMzIwNAEGAAAABQAAAAExAQAAAAstMjAwNTAxMTQ4OQMAAAADMTYwAgAAAAYxMDAwNTQEAAAAATAHAAAACDQvOC8yMDI0vZ3GEyIT3ggupM0VIhPeCB9DSVEuTUlTVC5JUV9MQVNUU0FMRVBSSUNFLjQ1Mzg3AQAAADPtJwICAAAAAzEuOADtO/8TIhPeCC6kzRUiE94IIkNJUS5NSVNULklRX0xBU1RTQUxFUFJJQ0UuNC84LzIwMjQBAAAAM+0nAgIAAAAE</t>
  </si>
  <si>
    <t>MS44MgBdKhUUIhPeCC6kzRUiE94IH0NJUS5NSVNULklRX0xBU1RTQUxFUFJJQ0UuNDUzOTcBAAAAM+0nAgIAAAAFMS43NTUA7Tv/EyIT3ggupM0VIhPeCB5DSVEuUFNUWC5JUV9NQVJLRVRDQVAuNC84LzIwMjQBAAAASrkFAAMAAAAAAO07/xMiE94ILqTNFSIT3ggoQ0lRLlBTVFguSVFfUFJJQ0VfVk9MX0hJU1RfNk1USC40LzgvMjAyNAEAAABKuQUAAwAAAAAA7Tv/EyIT3ggupM0VIhPeCCJDSVEuUFNUWC5JUV9MQVNUU0FMRVBSSUNFLjQvOC8yMDI0AQAAAEq5BQADAAAAAABdKhUUIhPeCC6kzRUiE94IHkNJUS5LQU5ULklRX01BUktFVENBUC40LzgvMjAyNAUAAAAAAAAACAAAABQoSW52YWxpZCBJZGVudGlmaWVyKXF2xhMiE94ILqTNFSIT3ggeQ0lRLlZJTkMuSVFfTUFSS0VUQ0FQLjQvOC8yMDI0AQAAAOQ1IykCAAAACjEwMi4zNTU5NTYBBgAAAAUAAAABMQEAAAALLTIwMDM4Nzc0MjYDAAAAAzE2MAIAAAAGMTAwMDU0BAAAAAEwBwAAAAg0LzgvMjAyNLrExhMiE94ILqTNFSIT3ggiQ0lRLlZJTkMuSVFfTEFTVFNBTEVQUklDRS40LzgvMjAyNAEAAADkNSMpAgAAAAQ5NS42AO07/xMiE94ILqTNFSIT3ggeQ0lRLkNSREYuSVFfTUFSS0VUQ0FQLjQvOC8yMDI0AQAAALw6pwACAAAACjI2Mi43MDE3NTQBBgAAAAUAAAABMQEAAAALLTIwMDc3OTQzMzADAAAAAzE2MAIAAAAGMTAwMDU0BAAAAAEwBwAAAAg0</t>
  </si>
  <si>
    <t>LzgvMjAyNLrExhMiE94ILqTNFSIT3ggeQ0lRLk5VVkwuSVFfTUFSS0VUQ0FQLjQvOC8yMDI0AQAAAIVs3ikCAAAACzQzODQuNzg5MTQ1AQYAAAAFAAAAATEBAAAACy0yMDA4MjE2NzI3AwAAAAMxNjACAAAABjEwMDA1NAQAAAABMAcAAAAINC84LzIwMjS6xMYTIhPeCC6kzRUiE94IH0NJUS5OVVZMLklRX0xBU1RTQUxFUFJJQ0UuNDUzOTcBAAAAhWzeKQIAAAAFNjUuMjgAXSoVFCIT3ggupM0VIhPeCB5DSVEuTVJVUy5JUV9NQVJLRVRDQVAuNC84LzIwMjQBAAAAEGR8AQIAAAALMjU4MS4xOTg3NzkBBgAAAAUAAAABMQEAAAALLTIwMDgwMjUxNjEDAAAAAzE2MAIAAAAGMTAwMDU0BAAAAAEwBwAAAAg0LzgvMjAyNGFLxhMiE94ILqTNFSIT3ggoQ0lRLk1SVVMuSVFfUFJJQ0VfVk9MX0hJU1RfNk1USC40LzgvMjAyNAEAAAAQZHwBAgAAAAc1Mi45NDEzAO07/xMiE94ILqTNFSIT3ggfQ0lRLk1SVVMuSVFfTEFTVFNBTEVQUklDRS40NTM5NwEAAAAQZHwBAgAAAAU0MS4yNwDtO/8TIhPeCC6kzRUiE94IHkNJUS5HTUFCLklRX01BUktFVENBUC40LzgvMjAyNAEAAABoKAoAAgAAAA0xMzM0NTQuOTE3MTY5AQYAAAAFAAAAATEBAAAACy0yMDEwNDI0MzA3AwAAAAI0MgIAAAAGMTAwMDU0BAAAAAEwBwAAAAg0LzgvMjAyNO07/xMiE94ILqTNFSIT3ggfQ0lRLkdNQUIuSVFfTEFTVFNBTEVQUklDRS40NTM4NwEAAABo</t>
  </si>
  <si>
    <t>KAoAAgAAAAQyMDU3AO07/xMiE94ILqTNFSIT3ggiQ0lRLkdNQUIuSVFfTEFTVFNBTEVQUklDRS40LzgvMjAyNAEAAABoKAoAAgAAAAQyMDUxAF0qFRQiE94ILqTNFSIT3ggeQ0lRLklOS1QuSVFfTUFSS0VUQ0FQLjQvOC8yMDI0AQAAAMTRFmQCAAAACTQ1LjgwMjc0NgEGAAAABQAAAAExAQAAAAstMjAwNDkxMzA0OAMAAAADMTYwAgAAAAYxMDAwNTQEAAAAATAHAAAACDQvOC8yMDI07Tv/EyIT3ggupM0VIhPeCB5DSVEuQ0FETC5JUV9NQVJLRVRDQVAuNC84LzIwMjQBAAAAq1o6AgIAAAAKMTg4LjcwNDIxOQEGAAAABQAAAAExAQAAAAstMjAwNDMxNzk2OQMAAAADMTYwAgAAAAYxMDAwNTQEAAAAATAHAAAACDQvOC8yMDI07w/HEyIT3ggupM0VIhPeCChDSVEuQ0FETC5JUV9QUklDRV9WT0xfSElTVF82TVRILjQvOC8yMDI0AQAAAKtaOgICAAAACDIxNy44NzYyAF0qFRQiE94ILqTNFSIT3ggeQ0lRLkNPR1QuSVFfTUFSS0VUQ0FQLjQvOC8yMDI0AQAAAGnURCgCAAAACjYyMy4zOTkzNDIBBgAAAAUAAAABMQEAAAALLTIwMDg3Mjc2NzQDAAAAAzE2MAIAAAAGMTAwMDU0BAAAAAEwBwAAAAg0LzgvMjAyNO07/xMiE94IFH3NFSIT3ggeQ0lRLkFHRU4uSVFfTUFSS0VUQ0FQLjQvOC8yMDI0AQAAAGRBBgACAAAACjE5NS4wMDcyODgBBgAAAAUAAAABMQEAAAALLTIwMDYwNjUxNDkDAAAAAzE2MAIAAAAGMTAwMDU0</t>
  </si>
  <si>
    <t>BAAAAAEwBwAAAAg0LzgvMjAyNL2dxhMiE94IFH3NFSIT3ggeQ0lRLkFEQ1QuSVFfTUFSS0VUQ0FQLjQvOC8yMDI0AQAAAJqj6QoCAAAACjQyMC4wNzU0MDQBBgAAAAUAAAABMQEAAAALLTIwMDYzMjgwMjIDAAAAAzE2MAIAAAAGMTAwMDU0BAAAAAEwBwAAAAg0LzgvMjAyNHF2xhMiE94Iw1XNFSIT3ggoQ0lRLkFEQ1QuSVFfUFJJQ0VfVk9MX0hJU1RfNk1USC40LzgvMjAyNAEAAACao+kKAgAAAAgxMzkuOTMzOQDtO/8TIhPeCMNVzRUiE94IH0NJUS5BRENULklRX0xBU1RTQUxFUFJJQ0UuNDUzODcBAAAAmqPpCgIAAAABNQDtO/8TIhPeCMNVzRUiE94IIkNJUS5BRENULklRX0xBU1RTQUxFUFJJQ0UuNC84LzIwMjQBAAAAmqPpCgIAAAAENS4wOQDtO/8TIhPeCMNVzRUiE94IH0NJUS5BRENULklRX0xBU1RTQUxFUFJJQ0UuNDUzOTcBAAAAmqPpCgIAAAAENC4zNwBdKhUUIhPeCMNVzRUiE94IHkNJUS5BTFhPLklRX01BUktFVENBUC40LzgvMjAyNAEAAACQA/8RAgAAAAo2MDguODQ2Mjc1AQYAAAAFAAAAATEBAAAACy0yMDA3MDE4OTY5AwAAAAMxNjACAAAABjEwMDA1NAQAAAABMAcAAAAINC84LzIwMjRxdsYTIhPeCLEuzRUiE94IKENJUS5BTFhPLklRX1BSSUNFX1ZPTF9ISVNUXzZNVEguNC84LzIwMjQBAAAAkAP/EQIAAAAHOTIuNzM4NQBdKhUUIhPeCLEuzRUiE94IHkNJUS5QWVhTLklRX01BUktFVENB</t>
  </si>
  <si>
    <t>UC40LzgvMjAyNAEAAADx4IElAgAAAAozMjQuMzg0MjMzAQYAAAAFAAAAATEBAAAACy0yMDA1MDM1NTg5AwAAAAMxNjACAAAABjEwMDA1NAQAAAABMAcAAAAINC84LzIwMjTtO/8TIhPeCLEuzRUiE94IHkNJUS5FTFRYLklRX01BUktFVENBUC40LzgvMjAyNAEAAABAqs8MAgAAAAk4OC41MTM5ODEBBgAAAAUAAAABMQEAAAALLTIwMDMzOTY0ODADAAAAAzE2MAIAAAAGMTAwMDU0BAAAAAEwBwAAAAg0LzgvMjAyNO07/xMiE94IeAPNFSIT3ggoQ0lRLkVMVFguSVFfUFJJQ0VfVk9MX0hJU1RfNk1USC40LzgvMjAyNAEAAABAqs8MAgAAAAgxMzQuOTMxMgBdKhUUIhPeCHgDzRUiE94IHkNJUS5SSUdMLklRX01BUktFVENBUC40LzgvMjAyNAEAAAA7hAAAAgAAAAoyMjAuOTc2MDQxAQYAAAAFAAAAATEBAAAACy0yMDA3MzE5MTk4AwAAAAMxNjACAAAABjEwMDA1NAQAAAABMAcAAAAINC84LzIwMjTtO/8TIhPeCHgDzRUiE94IHUNJUS5QVE4uSVFfTUFSS0VUQ0FQLjQvOC8yMDI0AQAAAAgv3AwCAAAACTgzLjY0ODY4OQEGAAAABQAAAAExAQAAAAstMjAwNjMxNzIzMgMAAAABOQIAAAAGMTAwMDU0BAAAAAEwBwAAAAg0LzgvMjAyNL2dxhMiE94ItNzMFSIT3ggnQ0lRLlBUTi5JUV9QUklDRV9WT0xfSElTVF82TVRILjQvOC8yMDI0AQAAAAgv3AwCAAAABzczLjM3NDMA7Tv/EyIT3gi03MwVIhPeCCFDSVEuUFROLklR</t>
  </si>
  <si>
    <t>X0xBU1RTQUxFUFJJQ0UuNC84LzIwMjQBAAAACC/cDAIAAAAFMC4wNzEAXSoVFCIT3gi03MwVIhPeCB5DSVEuUFROLklRX0xBU1RTQUxFUFJJQ0UuNDUzOTcBAAAACC/cDAIAAAAFMC4wNzcA7Tv/EyIT3gi03MwVIhPeCB5DSVEuU1VQTi5JUV9NQVJLRVRDQVAuNC84LzIwMjQBAAAAsHMGAAIAAAALMTcyMC4zMTk2NjcBBgAAAAUAAAABMQEAAAALLTIwMDg0Mzc0MzIDAAAAAzE2MAIAAAAGMTAwMDU0BAAAAAEwBwAAAAg0LzgvMjAyNHF2xhMiE94IbLXMFSIT3ggoQ0lRLlNVUE4uSVFfUFJJQ0VfVk9MX0hJU1RfNk1USC40LzgvMjAyNAEAAACwcwYAAgAAAAc0MC41MTY3AF0qFRQiE94ItNzMFSIT3ggfQ0lRLlNVUE4uSVFfTEFTVFNBTEVQUklDRS40NTM5NwEAAACwcwYAAgAAAAUyOS45OQDtO/8TIhPeCGy1zBUiE94IHkNJUS5PUklDLklRX01BUktFVENBUC40LzgvMjAyNAEAAABUSxoSAgAAAAo3MjQuMjkwMzU1AQYAAAAFAAAAATEBAAAACy0yMDA2NjQyOTY2AwAAAAMxNjACAAAABjEwMDA1NAQAAAABMAcAAAAINC84LzIwMjTtO/8TIhPeCGy1zBUiE94IHUNJUS5QRkUuSVFfTUFSS0VUQ0FQLjQvOC8yMDI0AQAAAN55AgACAAAADTE1MDUxMC4zNDc1MTUBBgAAAAUAAAABMQEAAAALLTIwMDkwODMzNjIDAAAAAzE2MAIAAAAGMTAwMDU0BAAAAAEwBwAAAAg0LzgvMjAyNLrExhMiE94IHY7MFSIT3ggeQ0lR</t>
  </si>
  <si>
    <t>LlBGRS5JUV9MQVNUU0FMRVBSSUNFLjQ1Mzg3AQAAAN55AgACAAAABTI2LjY2AO07/xMiE94IHY7MFSIT3ggeQ0lRLkVOVFguSVFfTUFSS0VUQ0FQLjQvOC8yMDI0AQAAAC6mYAYCAAAACTY5LjE4ODYxNQEGAAAABQAAAAExAQAAAAstMjAwNjg4MzgzOAMAAAADMTYwAgAAAAYxMDAwNTQEAAAAATAHAAAACDQvOC8yMDI0usTGEyIT3ggdjswVIhPeCB5DSVEuQ0hSUy5JUV9NQVJLRVRDQVAuNC84LzIwMjQBAAAAx3pVDAIAAAAKMjgyLjkxMzM2NQEGAAAABQAAAAExAQAAAAstMjAwNTkzMDk4MQMAAAADMTYwAgAAAAYxMDAwNTQEAAAAATAHAAAACDQvOC8yMDI07Tv/EyIT3gg9Z8wVIhPeCB9DSVEuQ0hSUy5JUV9MQVNUU0FMRVBSSUNFLjQ1Mzk3AQAAAMd6VQwCAAAAAzIuMgBdKhUUIhPeCD1nzBUiE94IHkNJUS5OVkNULklRX01BUktFVENBUC40LzgvMjAyNAEAAACiiRlkAgAAAAoxMzguNzc0NTE1AQYAAAAFAAAAATEBAAAACy0yMDA3MTUzODY4AwAAAAMxNjACAAAABjEwMDA1NAQAAAABMAcAAAAINC84LzIwMjTtO/8TIhPeCAdAzBUiE94IKENJUS5OVkNULklRX1BSSUNFX1ZPTF9ISVNUXzZNVEguNC84LzIwMjQBAAAAookZZAIAAAAHODUuNTUwNwBdKhUUIhPeCAdAzBUiE94IH0NJUS5OVkNULklRX0xBU1RTQUxFUFJJQ0UuNDUzODcBAAAAookZZAIAAAAENy43OADtO/8TIhPeCD1nzBUiE94IIkNJUS5O</t>
  </si>
  <si>
    <t>VkNULklRX0xBU1RTQUxFUFJJQ0UuNC84LzIwMjQBAAAAookZZAIAAAAENy44MQBdKhUUIhPeCD1nzBUiE94IHkNJUS5DQ0NDLklRX01BUktFVENBUC40LzgvMjAyNAEAAAAEzioTAgAAAAo1MjUuNDgxMTI1AQYAAAAFAAAAATEBAAAACy0yMDA5MjkxNTI3AwAAAAMxNjACAAAABjEwMDA1NAQAAAABMAcAAAAINC84LzIwMjTtO/8TIhPeCAdAzBUiE94IKENJUS5DQ0NDLklRX1BSSUNFX1ZPTF9ISVNUXzZNVEguNC84LzIwMjQBAAAABM4qEwIAAAAIMTg5LjM5NTEA7Tv/EyIT3ggHQMwVIhPeCB5DSVEuQ09SVC5JUV9NQVJLRVRDQVAuNC84LzIwMjQBAAAA0rkVAAIAAAALMjUwOC4yMjYzMTEBBgAAAAUAAAABMQEAAAALLTIwMTAxNzgwMzcDAAAAAzE2MAIAAAAGMTAwMDU0BAAAAAEwBwAAAAg0LzgvMjAyNGFLxhMiE94IIRnMFSIT3ggiQ0lRLkNPUlQuSVFfTEFTVFNBTEVQUklDRS40LzgvMjAyNAEAAADSuRUAAgAAAAUyNC4yMwBdKhUUIhPeCCEZzBUiE94IHkNJUS5JTk1CLklRX01BUktFVENBUC40LzgvMjAyNAEAAACXS5wfAgAAAAoxODUuOTcwMDM5AQYAAAAFAAAAATEBAAAACy0yMDA0MDczNTUwAwAAAAMxNjACAAAABjEwMDA1NAQAAAABMAcAAAAINC84LzIwMjTtO/8TIhPeCCEZzBUiE94IHkNJUS5NUktSLklRX01BUktFVENBUC40LzgvMjAyNAEAAAAiVBoAAgAAAAk0MS45MzI2NDUBBgAAAAUAAAAB</t>
  </si>
  <si>
    <t>MQEAAAALLTIwMDQzNzA1MDEDAAAAAzE2MAIAAAAGMTAwMDU0BAAAAAEwBwAAAAg0LzgvMjAyNO07/xMiE94I5MrLFSIT3ggoQ0lRLk1SS1IuSVFfUFJJQ0VfVk9MX0hJU1RfNk1USC40LzgvMjAyNAEAAAAiVBoAAgAAAAgxMDEuNjY1NgBdKhUUIhPeCOTKyxUiE94IH0NJUS5NUktSLklRX0xBU1RTQUxFUFJJQ0UuNDUzODcBAAAAIlQaAAIAAAAENC42NwBdKhUUIhPeCOTKyxUiE94IIkNJUS5NUktSLklRX0xBU1RTQUxFUFJJQ0UuNC84LzIwMjQBAAAAIlQaAAIAAAAENC43MQBdKhUUIhPeCOvxyxUiE94IH0NJUS5NUktSLklRX0xBU1RTQUxFUFJJQ0UuNDUzOTcBAAAAIlQaAAIAAAAENC40NABdKhUUIhPeCOTKyxUiE94IHUNJUS5OVlMuSVFfTUFSS0VUQ0FQLjQvOC8yMDI0AQAAAKm16A8CAAAACzEzMDYuMjgxOTQ5AQYAAAAFAAAAATEBAAAACy0yMDE4ODkyNzk0AwAAAAMxNzQCAAAABjEwMDA1NAQAAAABMAcAAAAINC84LzIwMjTU68YTIhPeCOTKyxUiE94IJ0NJUS5OVlMuSVFfUFJJQ0VfVk9MX0hJU1RfNk1USC40LzgvMjAyNAEAAACptegPAgAAAAc1MS4xNjA5AO07/xMiE94I5MrLFSIT3ggeQ0lRLk5YVEMuSVFfTUFSS0VUQ0FQLjQvOC8yMDI0AQAAAFUaKRMCAAAACTU3LjIwMTE5NgEGAAAABQAAAAExAQAAAAstMjAwNTM2NjI5NAMAAAADMTYwAgAAAAYxMDAwNTQEAAAAATAHAAAACDQvOC8yMDI0</t>
  </si>
  <si>
    <t>7Tv/EyIT3ghZpMsVIhPeCB1DSVEuT0NTLklRX01BUktFVENBUC40LzgvMjAyNAEAAAA39B0jAgAAAAozOTQuMzUwODI2AQYAAAAFAAAAATEBAAAACy0yMDA1NjY4NDQwAwAAAAMxNjACAAAABjEwMDA1NAQAAAABMAcAAAAINC84LzIwMjTU68YTIhPeCFmkyxUiE94IJ0NJUS5PQ1MuSVFfUFJJQ0VfVk9MX0hJU1RfNk1USC40LzgvMjAyNAEAAAA39B0jAgAAAAc0My4yNDU3AF0qFRQiE94IWaTLFSIT3ggeQ0lRLkNWS0QuSVFfTUFSS0VUQ0FQLjQvOS8yMDI0AQAAADKP4WoCAAAACDYuNTQyNjU1AQYAAAAFAAAAATEBAAAACy0yMDA2NzA3Njk1AwAAAAMxNjACAAAABjEwMDA1NAQAAAABMAcAAAAINC85LzIwMjRhS8YTIhPeCH1uyxUiE94IHkNJUS5BVE9TLklRX01BUktFVENBUC40LzkvMjAyNAEAAACezPkFAgAAAAoyMzAuNTU5NDc4AQYAAAAFAAAAATEBAAAACy0yMDAyNjYwMzY1AwAAAAMxNjACAAAABjEwMDA1NAQAAAABMAcAAAAINC85LzIwMjTtO/8TIhPeCFsqyxUiE94IKENJUS5BVE9TLklRX1BSSUNFX1ZPTF9ISVNUXzZNVEguNC85LzIwMjQBAAAAnsz5BQIAAAAHNzIuOTI4NADtO/8TIhPeCFsqyxUiE94IIkNJUS5BVE9TLklRX0xBU1RTQUxFUFJJQ0UuNC85LzIwMjQBAAAAnsz5BQIAAAAEMS44NABdKhUUIhPeCFsqyxUiE94IH0NJUS5BVE9TLklRX0xBU1RTQUxFUFJJQ0UuNDUzOTgBAAAAnsz5</t>
  </si>
  <si>
    <t>BQIAAAAEMS41NADtO/8TIhPeCFsqyxUiE94IHUNJUS5MTFkuSVFfTUFSS0VUQ0FQLjQvOS8yMDI0AQAAABtbBAACAAAADTY4MjA5Ni4xMjE1NjQBBgAAAAUAAAABMQEAAAALLTIwMDk0MDM1NTIDAAAAAzE2MAIAAAAGMTAwMDU0BAAAAAEwBwAAAAg0LzkvMjAyNO07/xMiE94IWyrLFSIT3ggeQ0lRLklNUlguSVFfTUFSS0VUQ0FQLjQvOS8yMDI0AQAAANUOYRICAAAACTY0LjEzMDM2NgEGAAAABQAAAAExAQAAAAstMjAwNzc5NTI1NwMAAAADMTYwAgAAAAYxMDAwNTQEAAAAATAHAAAACDQvOS8yMDI0usTGEyIT3ghbKssVIhPeCB5DSVEuQ01QWC5JUV9NQVJLRVRDQVAuNC85LzIwMjQBAAAA/GHdDwIAAAAKMjI5Ljc3MzkxNgEGAAAABQAAAAExAQAAAAstMjAwNTM2NzYwOAMAAAADMTYwAgAAAAYxMDAwNTQEAAAAATAHAAAACDQvOS8yMDI01OvGEyIT3ggR3MoVIhPeCB9DSVEuQ01QWC5JUV9MQVNUU0FMRVBSSUNFLjQ1MzkwAQAAAPxh3Q8CAAAAAzEuNwBdKhUUIhPeCBHcyhUiE94IHkNJUS5NVEVNLklRX01BUktFVENBUC40LzkvMjAyNAEAAACZm6kBAgAAAAg5Ljk0MjM5NgEGAAAABQAAAAExAQAAAAstMjAwMzg5MjIzMAMAAAADMTYwAgAAAAYxMDAwNTQEAAAAATAHAAAACDQvOS8yMDI0usTGEyIT3ggR3MoVIhPeCB5DSVEuTlJJWC5JUV9NQVJLRVRDQVAuNC85LzIwMjQBAAAATCpVDAIAAAAKODU5LjE1</t>
  </si>
  <si>
    <t>NTg3OQEGAAAABQAAAAExAQAAAAstMjAxMDE4OTE5NgMAAAADMTYwAgAAAAYxMDAwNTQEAAAAATAHAAAACDQvOS8yMDI07Tv/EyIT3ggR3MoVIhPeCB9DSVEuTlJJWC5JUV9MQVNUU0FMRVBSSUNFLjQ1Mzk4AQAAAEwqVQwCAAAABTE0LjY1AF0qFRQiE94IEdzKFSIT3ggeQ0lRLklPQlQuSVFfTUFSS0VUQ0FQLjQvOS8yMDI0AQAAAOB3dGQCAAAACjEwNi4wNjgyNzIBBgAAAAUAAAABMQEAAAALLTIwMDY3Njc5NzMDAAAAAzE2MAIAAAAGMTAwMDU0BAAAAAEwBwAAAAg0LzkvMjAyNO07/xMiE94I8ZfKFSIT3ggoQ0lRLklPQlQuSVFfUFJJQ0VfVk9MX0hJU1RfNk1USC40LzkvMjAyNAEAAADgd3RkAgAAAAc2OC44MTI3AO07/xMiE94I8ZfKFSIT3ggfQ0lRLklPQlQuSVFfTEFTVFNBTEVQUklDRS40NTM5MAEAAADgd3RkAgAAAAQxLjU0AO07/xMiE94I8ZfKFSIT3ggiQ0lRLklPQlQuSVFfTEFTVFNBTEVQUklDRS40LzkvMjAyNAEAAADgd3RkAgAAAAQxLjYxAO07/xMiE94I8ZfKFSIT3ggeQ0lRLlJBUFQuSVFfTUFSS0VUQ0FQLjQvOS8yMDI0AQAAANAgVhACAAAACjI5My43MDk0MzQBBgAAAAUAAAABMQEAAAALLTIwMDcwODgzODgDAAAAAzE2MAIAAAAGMTAwMDU0BAAAAAEwBwAAAAg0LzkvMjAyNO07/xMiE94I8ZfKFSIT3ggoQ0lRLlJBUFQuSVFfUFJJQ0VfVk9MX0hJU1RfNk1USC40LzkvMjAyNAEAAADQ</t>
  </si>
  <si>
    <t>IFYQAgAAAAgyMDkuMzY5NwBdKhUUIhPeCPGXyhUiE94IHkNJUS5GSFRYLklRX01BUktFVENBUC40LzkvMjAyNAEAAADoYxIgAgAAAAozMTguMzkyOTYyAQYAAAAFAAAAATEBAAAACy0yMDA3MDc2NTU0AwAAAAMxNjACAAAABjEwMDA1NAQAAAABMAcAAAAINC85LzIwMjTtO/8TIhPeCPGXyhUiE94IIkNJUS5GSFRYLklRX0xBU1RTQUxFUFJJQ0UuNC85LzIwMjQBAAAA6GMSIAIAAAAENy40OABdKhUUIhPeCPGXyhUiE94IHkNJUS5JTkFCLklRX01BUktFVENBUC40LzkvMjAyNAEAAAAUNC4hAgAAAAg0Ny4xODMxNwEGAAAABQAAAAExAQAAAAstMjAwNjE1MTgzMwMAAAADMTYwAgAAAAYxMDAwNTQEAAAAATAHAAAACDQvOS8yMDI07Tv/EyIT3giyScoVIhPeCB9DSVEuSU5BQi5JUV9MQVNUU0FMRVBSSUNFLjQ1Mzk4AQAAABQ0LiECAAAACTI5LjQwOTAyOQDtO/8TIhPeCLJJyhUiE94IHkNJUS5UUFNULklRX01BUktFVENBUC40LzkvMjAyNAEAAADdw/EgAgAAAAk4NS44ODMxMTcBBgAAAAUAAAABMQEAAAALLTIwMDU1NzM1MzUDAAAAAzE2MAIAAAAGMTAwMDU0BAAAAAEwBwAAAAg0LzkvMjAyNO07/xMiE94IsknKFSIT3ggoQ0lRLlRQU1QuSVFfUFJJQ0VfVk9MX0hJU1RfNk1USC40LzkvMjAyNAEAAADdw/EgAgAAAAg1NjAuMjczNADtO/8TIhPeCLJJyhUiE94IH0NJUS5UUFNULklRX0xBU1RTQUxFUFJJQ0Uu</t>
  </si>
  <si>
    <t>NDUzOTABAAAA3cPxIAIAAAAJNTEuODY5OTg0AF0qFRQiE94IsknKFSIT3ggiQ0lRLlRQU1QuSVFfTEFTVFNBTEVQUklDRS40LzkvMjAyNAEAAADdw/EgAgAAAAk1MC4zMDk5ODQAXSoVFCIT3giyScoVIhPeCB9DSVEuVFBTVC5JUV9MQVNUU0FMRVBSSUNFLjQ1Mzk4AQAAAN3D8SACAAAACTQzLjU0OTk4NgDtO/8TIhPeCLJJyhUiE94IHUNJUS5BWk4uSVFfTUFSS0VUQ0FQLjQvOS8yMDI0AQAAAIYjBQACAAAADTE2NTk5Ny42OTU1MTkBBgAAAAUAAAABMQEAAAALLTIwMDk1MTcxNDADAAAAAjU1AgAAAAYxMDAwNTQEAAAAATAHAAAACDQvOS8yMDI07Tv/EyIT3giSBcoVIhPeCB5DSVEuUFJMRC5JUV9NQVJLRVRDQVAuNC85LzIwMjQBAAAAZl5HFgIAAAAKMzc3Ljg3MDc0OQEGAAAABQAAAAExAQAAAAstMjAxMDA1MjI2NAMAAAADMTYwAgAAAAYxMDAwNTQEAAAAATAHAAAACDQvOS8yMDI07Tv/EyIT3giSBcoVIhPeCB5DSVEuQ1JWUy5JUV9NQVJLRVRDQVAuNC85LzIwMjQBAAAA9LCmEAIAAAAJNzkuOTMyODg5AQYAAAAFAAAAATEBAAAACy0yMDA1NTc3MTAzAwAAAAMxNjACAAAABjEwMDA1NAQAAAABMAcAAAAINC85LzIwMjTtO/8TIhPeCE63yRUiE94IKENJUS5DUlZTLklRX1BSSUNFX1ZPTF9ISVNUXzZNVEguNC85LzIwMjQBAAAA9LCmEAIAAAAHNzguODU2MQBdKhUUIhPeCE63yRUiE94IIkNJUS5DUlZT</t>
  </si>
  <si>
    <t>LklRX0xBU1RTQUxFUFJJQ0UuNC85LzIwMjQBAAAA9LCmEAIAAAAEMS42MwBdKhUUIhPeCE63yRUiE94IH0NJUS5DUlZTLklRX0xBU1RTQUxFUFJJQ0UuNDUzOTgBAAAA9LCmEAIAAAAEMS40NwBdKhUUIhPeCE63yRUiE94IHkNJUS5NQ1JCLklRX01BUktFVENBUC40LzkvMjAyNAEAAADTYkENAgAAAAoxMDcuMTI2MTExAQYAAAAFAAAAATEBAAAACy0yMDA3MjQyNjMxAwAAAAMxNjACAAAABjEwMDA1NAQAAAABMAcAAAAINC85LzIwMjS9ncYTIhPeCE63yRUiE94IHkNJUS5RTEdOLklRX01BUktFVENBUC40LzkvMjAyNAEAAACN6hUAAgAAAAgyLjUxNjAwMgEGAAAABQAAAAExAQAAAAstMjAwMjY0NzkxMgMAAAADMTYwAgAAAAYxMDAwNTQEAAAAATAHAAAACDQvOS8yMDI0vZ3GEyIT3ggNackVIhPeCCJDSVEuUUxHTi5JUV9MQVNUU0FMRVBSSUNFLjQvOS8yMDI0AQAAAI3qFQACAAAABjE5Ljk0NQBdKhUUIhPeCE63yRUiE94IH0NJUS5RTEdOLklRX0xBU1RTQUxFUFJJQ0UuNDUzOTgBAAAAjeoVAAIAAAAFMTQuOTkAXSoVFCIT3ggNackVIhPeCB5DSVEuQkNUWC5JUV9NQVJLRVRDQVAuNC85LzIwMjQBAAAA9tyhDwIAAAAJNjIuMDA4NTc3AQYAAAAFAAAAATEBAAAACy0yMDA1NzE0MzQ5AwAAAAIyNwIAAAAGMTAwMDU0BAAAAAEwBwAAAAg0LzkvMjAyNNTrxhMiE94IDWnJFSIT3ggeQ0lRLklQSEEuSVFfTUFS</t>
  </si>
  <si>
    <t>S0VUQ0FQLjQvOS8yMDI0AQAAAJmABgACAAAACjE4NS45MzY1NzIBBgAAAAUAAAABMQEAAAALLTIwMDIzNDA5NTEDAAAAAjUwAgAAAAYxMDAwNTQEAAAAATAHAAAACDQvOS8yMDI0vZ3GEyIT3ggNackVIhPeCChDSVEuSVBIQS5JUV9QUklDRV9WT0xfSElTVF82TVRILjQvOS8yMDI0AQAAAJmABgACAAAABzc5LjY0ODMAXSoVFCIT3ggNackVIhPeCB9DSVEuSVBIQS5JUV9MQVNUU0FMRVBSSUNFLjQ1Mzk4AQAAAJmABgACAAAABDIuNTkA7Tv/EyIT3gjDGskVIhPeCB5DSVEuQUxYTy5JUV9NQVJLRVRDQVAuNC85LzIwMjQBAAAAkAP/EQIAAAAKNjE4Ljg3NjY5MgEGAAAABQAAAAExAQAAAAstMjAwNzAxODk2OQMAAAADMTYwAgAAAAYxMDAwNTQEAAAAATAHAAAACDQvOS8yMDI07Tv/EyIT3gjDGskVIhPeCChDSVEuQUxYTy5JUV9QUklDRV9WT0xfSElTVF82TVRILjQvOS8yMDI0AQAAAJAD/xECAAAABzkyLjM4MTIAXSoVFCIT3gjDGskVIhPeCB5DSVEuR05QWC5JUV9NQVJLRVRDQVAuNC85LzIwMjQBAAAAqrxxDQIAAAAINS44NjQ5MjgBBgAAAAUAAAABMQEAAAALLTIwMDM0MTU4MzgDAAAAAzE2MAIAAAAGMTAwMDU0BAAAAAEwBwAAAAg0LzkvMjAyNLrExhMiE94IwxrJFSIT3ggfQ0lRLkdOUFguSVFfTEFTVFNBTEVQUklDRS40NTM5MAEAAACqvHENAgAAAAMxNDgA7Tv/EyIT3gjDGskVIhPeCCJDSVEuR05Q</t>
  </si>
  <si>
    <t>WC5JUV9MQVNUU0FMRVBSSUNFLjQvOS8yMDI0AQAAAKq8cQ0CAAAABTE1My41AO07/xMiE94IwxrJFSIT3ggeQ0lRLkNHRU4uSVFfTUFSS0VUQ0FQLjQvOS8yMDI0AQAAAOOIAgACAAAACjIxMS4yOTEyNTUBBgAAAAUAAAABMQEAAAALLTIwMDY2MjA0NDYDAAAAAzE2MAIAAAAGMTAwMDU0BAAAAAEwBwAAAAg0LzkvMjAyNHF2xhMiE94IwxrJFSIT3ggeQ0lRLkdJTEQuSVFfTUFSS0VUQ0FQLjQvOS8yMDI0AQAAAEpxAAACAAAADDg3MDgwLjcwMDY5NwEGAAAABQAAAAExAQAAAAstMjAwODc4Njc0MgMAAAADMTYwAgAAAAYxMDAwNTQEAAAAATAHAAAACDQvOS8yMDI07Tv/EyIT3gjO1sgVIhPeCB9DSVEuR0lMRC5JUV9MQVNUU0FMRVBSSUNFLjQ1Mzk4AQAAAEpxAAACAAAABTY3LjMxAF0qFRQiE94IztbIFSIT3ggeQ0lRLk5UQkwuSVFfTUFSS0VUQ0FQLjQvOS8yMDI0AQAAAALtWgADAAAAAAC6xMYTIhPeCM7WyBUiE94IKENJUS5OVEJMLklRX1BSSUNFX1ZPTF9ISVNUXzZNVEguNC85LzIwMjQBAAAAAu1aAAIAAAAHMTEuNTc1NQDtO/8TIhPeCM7WyBUiE94IH0NJUS5OVEJMLklRX0xBU1RTQUxFUFJJQ0UuNDUzOTABAAAAAu1aAAIAAAAIMTAuNjYzMjUAXSoVFCIT3gjO1sgVIhPeCCJDSVEuTlRCTC5JUV9MQVNUU0FMRVBSSUNFLjQvOS8yMDI0AQAAAALtWgACAAAACDEwLjY2NTU1AO07/xMiE94IztbIFSIT</t>
  </si>
  <si>
    <t>3ggfQ0lRLk5UQkwuSVFfTEFTVFNBTEVQUklDRS40NTM5OAEAAAAC7VoAAgAAAAcxMC45NTUzAF0qFRQiE94IztbIFSIT3ggdQ0lRLlBGRS5JUV9NQVJLRVRDQVAuNC85LzIwMjQBAAAA3nkCAAIAAAANMTUxNjQyLjg1NTc3MwEGAAAABQAAAAExAQAAAAstMjAwOTA4MzM2MgMAAAADMTYwAgAAAAYxMDAwNTQEAAAAATAHAAAACDQvOS8yMDI07Tv/EyIT3gjO1sgVIhPeCB5DSVEuQkdORS5JUV9NQVJLRVRDQVAuNC85LzIwMjQBAAAA4OTdBgIAAAAMMTYwOTMuNTk4Nzc4AQYAAAAFAAAAATEBAAAACy0yMDA4NzE3MjQ1AwAAAAMxNjACAAAABjEwMDA1NAQAAAABMAcAAAAINC85LzIwMjTvD8cTIhPeCKqSyBUiE94IIkNJUS5CR05FLklRX0xBU1RTQUxFUFJJQ0UuNC85LzIwMjQBAAAA4OTdBgMAAAAAAO07/xMiE94IqpLIFSIT3ggdQ0lRLk9OQy5JUV9NQVJLRVRDQVAuNC85LzIwMjQBAAAA4OTdBgIAAAAMMTYwOTMuNTk4Nzc4AQYAAAAFAAAAATEBAAAACy0yMDA4NzE3MjQ1AwAAAAMxNjACAAAABjEwMDA1NAQAAAABMAcAAAAINC85LzIwMjTU68YTIhPeCKqSyBUiE94IHkNJUS5DQ0NDLklRX01BUktFVENBUC40LzkvMjAyNAEAAAAEzioTAgAAAAo1NDYuNzQ3MzMyAQYAAAAFAAAAATEBAAAACy0yMDA5MjkxNTI3AwAAAAMxNjACAAAABjEwMDA1NAQAAAABMAcAAAAINC85LzIwMjTU68YTIhPeCGlEyBUiE94I</t>
  </si>
  <si>
    <t>H0NJUS5DQ0NDLklRX0xBU1RTQUxFUFJJQ0UuNDUzOTgBAAAABM4qEwIAAAAENi44MwDtO/8TIhPeCGlEyBUiE94IHkNJUS5CQ1lDLklRX01BUktFVENBUC40LzkvMjAyNAEAAACdbFIEAgAAAAo5ODIuNDYzMjg4AQYAAAAFAAAAATEBAAAACy0yMDA5NjEwMDkwAwAAAAMxNjACAAAABjEwMDA1NAQAAAABMAcAAAAINC85LzIwMjTtO/8TIhPeCGlEyBUiE94IKENJUS5CQ1lDLklRX1BSSUNFX1ZPTF9ISVNUXzZNVEguNC85LzIwMjQBAAAAnWxSBAIAAAAHNjUuOTA5OABdKhUUIhPeCGlEyBUiE94IHkNJUS5BUFJFLklRX01BUktFVENBUC40LzkvMjAyNAEAAACr06gTAgAAAAgzMi43OTUyNAEGAAAABQAAAAExAQAAAAstMjAwNDgwMjYxMwMAAAADMTYwAgAAAAYxMDAwNTQEAAAAATAHAAAACDQvOS8yMDI07Tv/EyIT3ggj9scVIhPeCCJDSVEuQVBSRS5JUV9MQVNUU0FMRVBSSUNFLjQvOS8yMDI0AQAAAKvTqBMCAAAABjYuMDM5NADtO/8TIhPeCCP2xxUiE94IH0NJUS5BUFJFLklRX0xBU1RTQUxFUFJJQ0UuNDUzOTgBAAAAq9OoEwIAAAAENS44NQDtO/8TIhPeCCP2xxUiE94IHUNJUS5ZUy5JUV9NQVJLRVRDQVAuNC8xMC8yMDI0AQAAAHjRWgwCAAAACjE2OS40OTUxNTUBBgAAAAUAAAABMQEAAAALLTIwMTI1NDIwMTIDAAAAAzE2MAIAAAAGMTAwMDU0BAAAAAEwBwAAAAk0LzEwLzIwMjRhS8YTIhPeCCP2xxUi</t>
  </si>
  <si>
    <t>E94IJ0NJUS5ZUy5JUV9QUklDRV9WT0xfSElTVF82TVRILjQvMTAvMjAyNAEAAAB40VoMAwAAAAAA7Tv/EyIT3ggj9scVIhPeCB1DSVEuWVMuSVFfTEFTVFNBTEVQUklDRS40NTM5MQEAAAB40VoMAwAAAAAA7Tv/EyIT3ggj9scVIhPeCCFDSVEuWVMuSVFfTEFTVFNBTEVQUklDRS40LzEwLzIwMjQBAAAAeNFaDAMAAAAAAO07/xMiE94II/bHFSIT3ggfQ0lRLldIV0suSVFfTUFSS0VUQ0FQLjQvMTAvMjAyNAEAAABft6QZAgAAAAg0OS4xMDg0MQEGAAAABQAAAAExAQAAAAstMjAwNjI0NDE3MwMAAAADMTYwAgAAAAYxMDAwNTQEAAAAATAHAAAACTQvMTAvMjAyNL2dxhMiE94II/bHFSIT3ggfQ0lRLkJUQUkuSVFfTUFSS0VUQ0FQLjQvMTAvMjAyNAEAAAANL2YgAgAAAAk4MC40MTY2MDUBBgAAAAUAAAABMQEAAAALLTIwMDUwOTA3NjcDAAAAAzE2MAIAAAAGMTAwMDU0BAAAAAEwBwAAAAk0LzEwLzIwMjTtO/8TIhPeCN+nxxUiE94IKUNJUS5CVEFJLklRX1BSSUNFX1ZPTF9ISVNUXzZNVEguNC8xMC8yMDI0AQAAAA0vZiACAAAACDEzNC44NjAxAF0qFRQiE94I36fHFSIT3ggfQ0lRLkJUQUkuSVFfTEFTVFNBTEVQUklDRS40NTM5MQEAAAANL2YgAgAAAAU0MS4xMgDtO/8TIhPeCN+nxxUiE94IH0NJUS5WU1RNLklRX01BUktFVENBUC40LzEwLzIwMjQBAAAAKDfoBgIAAAAKMjg1LjgzOTA5NAEGAAAABQAAAAEx</t>
  </si>
  <si>
    <t>AQAAAAstMjAwNjE1MTgzNwMAAAADMTYwAgAAAAYxMDAwNTQEAAAAATAHAAAACTQvMTAvMjAyNO07/xMiE94I36fHFSIT3ggfQ0lRLlZTVE0uSVFfTEFTVFNBTEVQUklDRS40NTM5OQEAAAAoN+gGAgAAAAUxMC44NADtO/8TIhPeCN+nxxUiE94II0NJUS5JUldELklRX0xBU1RTQUxFUFJJQ0UuMy8yOC8yMDI0AQAAAAp7AAACAAAABDguNzEA7Tv/EyIT3ggxTNcVIhPeCB9DSVEuTFBDTi5JUV9NQVJLRVRDQVAuMy8yOC8yMDI0AQAAABr0egACAAAACTI3LjY0MjMxNgEGAAAABQAAAAExAQAAAAstMjAwNzEwNDQ4MwMAAAADMTYwAgAAAAYxMDAwNTQEAAAAATAHAAAACTMvMjgvMjAyNNTrxhMiE94IMUzXFSIT3ggfQ0lRLkdJTEQuSVFfTUFSS0VUQ0FQLjMvMjgvMjAyNAEAAABKcQAAAgAAAAw5MTIwMS45MDYyOTIBBgAAAAUAAAABMQEAAAALLTIwMDg3ODY3NDIDAAAAAzE2MAIAAAAGMTAwMDU0BAAAAAEwBwAAAAkzLzI4LzIwMjTU68YTIhPeCGnj1BUiE94IHkNJUS5YTE8uSVFfTUFSS0VUQ0FQLjMvMjgvMjAyNAEAAAA8jMYVAgAAAAkzNy4yMTcyNDUBBgAAAAUAAAABMQEAAAALLTIwMjAwNzIyNDkDAAAAAzE2MAIAAAAGMTAwMDU0BAAAAAEwBwAAAAkzLzI4LzIwMjRxdsYTIhPeCGnj1BUiE94IH0NJUS5TTkRYLklRX01BUktFVENBUC4zLzI4LzIwMjQBAAAAyqafAQIAAAALMjAyMi4xNzg1NjcBBgAAAAUA</t>
  </si>
  <si>
    <t>AAABMQEAAAALLTIwMDc2Mzg2NjQDAAAAAzE2MAIAAAAGMTAwMDU0BAAAAAEwBwAAAAkzLzI4LzIwMjRhS8YTIhPeCGnj1BUiE94IH0NJUS5PQ0VBLklRX01BUktFVENBUC4zLzI4LzIwMjQBAAAAd+XpJwIAAAAKMTI5LjAyMDA1NgEGAAAABQAAAAExAQAAAAstMjAzMzIwOTk2NQMAAAADMTYwAgAAAAYxMDAwNTQEAAAAATAHAAAACTMvMjgvMjAyNO07/xMiE94IaePUFSIT3ggfQ0lRLlBQQlQuSVFfTUFSS0VUQ0FQLjMvMjgvMjAyNAEAAAAtojYBAgAAAAk2NS4zMzM4NDUBBgAAAAUAAAABMQEAAAALLTIwMDY1NjExMTIDAAAAAjcxAgAAAAYxMDAwNTQEAAAAATAHAAAACTMvMjgvMjAyNLrExhMiE94IaePUFSIT3ggfQ0lRLkdSVFguSVFfTUFSS0VUQ0FQLjMvMjgvMjAyNAEAAABtuWoNAgAAAAg3LjYxNDkwNAEGAAAABQAAAAExAQAAAAstMjAwNDA3MzU5OQMAAAADMTYwAgAAAAYxMDAwNTQEAAAAATAHAAAACTMvMjgvMjAyNO07/xMiE94IaePUFSIT3ggfQ0lRLkFQTFQuSVFfTUFSS0VUQ0FQLjMvMjgvMjAyNAEAAAB7jFQhAgAAAAo3MjAuMDMwNDUxAQYAAAAFAAAAATEBAAAACy0yMDA3MjM4ODkzAwAAAAMxNjACAAAABjEwMDA1NAQAAAABMAcAAAAJMy8yOC8yMDI0vZ3GEyIT3ghp49QVIhPeCB9DSVEuQVBMVC5JUV9MQVNUU0FMRVBSSUNFLjQ1Mzg2AQAAAHuMVCECAAAABDUuOTIA7Tv/EyIT3ghp49QV</t>
  </si>
  <si>
    <t>IhPeCB9DSVEuTkJJWC5JUV9NQVJLRVRDQVAuMy8yOC8yMDI0AQAAAEl9AAACAAAADDEzNzI0LjA3MzAyMQEGAAAABQAAAAExAQAAAAstMjAxMTA0MTk4MwMAAAADMTYwAgAAAAYxMDAwNTQEAAAAATAHAAAACTMvMjgvMjAyNO8PxxMiE94IaePUFSIT3ggfQ0lRLk5CSVguSVFfTEFTVFNBTEVQUklDRS40NTM4NgEAAABJfQAAAgAAAAYxMzcuNjEAXSoVFCIT3ghp49QVIhPeCB9DSVEuQ0FETC5JUV9NQVJLRVRDQVAuMy8yOC8yMDI0AQAAAKtaOgICAAAACTQ2LjM2ODk5OQEGAAAABQAAAAExAQAAAAstMjAwNDMxNzk2OQMAAAADMTYwAgAAAAYxMDAwNTQEAAAAATAHAAAACTMvMjgvMjAyNL2dxhMiE94IaePUFSIT3ggfQ0lRLkNBREwuSVFfTEFTVFNBTEVQUklDRS40NTM3OAEAAACrWjoCAgAAAAQxLjU0AF0qFRQiE94IaePUFSIT3ggeQ0lRLkJNWS5JUV9NQVJLRVRDQVAuMy8yOC8yMDI0AQAAAMZkAAACAAAADTEwOTkxMS4xMjUxMTQBBgAAAAUAAAABMQEAAAALLTIwMTA0ODA5MjADAAAAAzE2MAIAAAAGMTAwMDU0BAAAAAEwBwAAAAkzLzI4LzIwMjTU68YTIhPeCGnj1BUiE94IH0NJUS5DTlRYLklRX01BUktFVENBUC4zLzI4LzIwMjQBAAAAIJlRGAIAAAAJMjIuMDMzMTUzAQYAAAAFAAAAATEBAAAACy0yMDA1MzgwNjY0AwAAAAMxNjACAAAABjEwMDA1NAQAAAABMAcAAAAJMy8yOC8yMDI07Tv/EyIT3ghp</t>
  </si>
  <si>
    <t>49QVIhPeCBxDSVEuRVEuSVFfTUFSS0VUQ0FQLjQvMS8yMDI0AQAAAAO7TiICAAAACTc0LjM4NzUyNwEGAAAABQAAAAExAQAAAAstMjAwNDg3NjAyNgMAAAADMTYwAgAAAAYxMDAwNTQEAAAAATAHAAAACDQvMS8yMDI0cXbGEyIT3ghp49QVIhPeCB5DSVEuR1JUUy5JUV9NQVJLRVRDQVAuNC8xLzIwMjQFAAAAAAAAAAgAAAAUKEludmFsaWQgSWRlbnRpZmllcim6xMYTIhPeCGnj1BUiE94IHkNJUS5OVkNSLklRX01BUktFVENBUC40LzEvMjAyNAEAAADofB8EAgAAAAsxNjU4Ljg3NzI2MgEGAAAABQAAAAExAQAAAAstMjAwOTA4MzI1NQMAAAADMTYwAgAAAAYxMDAwNTQEAAAAATAHAAAACDQvMS8yMDI0cXbGEyIT3ghp49QVIhPeCB5DSVEuTFFEQS5JUV9NQVJLRVRDQVAuNC8xLzIwMjQBAAAAi1BbAQIAAAALMTEzNC4zMzQ0MTgBBgAAAAUAAAABMQEAAAALLTIwMDYyNjUyNTMDAAAAAzE2MAIAAAAGMTAwMDU0BAAAAAEwBwAAAAg0LzEvMjAyNO8PxxMiE94IaePUFSIT3ggdQ0lRLkFaTi5JUV9NQVJLRVRDQVAuNC8xLzIwMjQBAAAAhiMFAAIAAAANMTY1NTMwLjk0NTIxMgEGAAAABQAAAAExAQAAAAstMjAwOTUxNzE0MAMAAAACNTUCAAAABjEwMDA1NAQAAAABMAcAAAAINC8xLzIwMjRxdsYTIhPeCGnj1BUiE94IJ0NJUS5BWk4uSVFfUFJJQ0VfVk9MX0hJU1RfNk1USC40LzEvMjAyNAEAAACGIwUAAgAAAAcy</t>
  </si>
  <si>
    <t>My42ODg2AF0qFRQiE94IaePUFSIT3ggeQ0lRLkFYU00uSVFfTUFSS0VUQ0FQLjQvMS8yMDI0AQAAAGs3aw4CAAAACzM2NDcuMzUzMTMxAQYAAAAFAAAAATEBAAAACy0yMDA5MDA1MDIyAwAAAAMxNjACAAAABjEwMDA1NAQAAAABMAcAAAAINC8xLzIwMjTU68YTIhPeCGnj1BUiE94IH0NJUS5BWFNNLklRX0xBU1RTQUxFUFJJQ0UuNDUzODABAAAAazdrDgIAAAAENzkuOABdKhUUIhPeCGnj1BUiE94IIkNJUS5BWFNNLklRX0xBU1RTQUxFUFJJQ0UuNC8xLzIwMjQBAAAAazdrDgIAAAAFNzYuOTkA7Tv/EyIT3ghp49QVIhPeCB5DSVEuVlJUWC5JUV9NQVJLRVRDQVAuNC8xLzIwMjQBAAAAi40AAAIAAAANMTA4NjEzLjI3MDQ3MgEGAAAABQAAAAExAQAAAAstMjAxMDA3Nzc2NgMAAAADMTYwAgAAAAYxMDAwNTQEAAAAATAHAAAACDQvMS8yMDI0cXbGEyIT3ghp49QVIhPeCB5DSVEuSVJPTi5JUV9NQVJLRVRDQVAuNC8xLzIwMjQBAAAATt85JgIAAAAKODQ0LjMzNzk2OAEGAAAABQAAAAExAQAAAAstMjAwNTM2NTY4NwMAAAADMTYwAgAAAAYxMDAwNTQEAAAAATAHAAAACDQvMS8yMDI07w/HEyIT3ghp49QVIhPeCB5DSVEuVlRHTi5JUV9NQVJLRVRDQVAuNC8xLzIwMjQBAAAAC151AAIAAAAKMTQ1LjkzNjEyOQEGAAAABQAAAAExAQAAAAstMjAxMDY1NTI4NAMAAAADMTYwAgAAAAYxMDAwNTQEAAAAATAHAAAACDQv</t>
  </si>
  <si>
    <t>MS8yMDI07Tv/EyIT3ghp49QVIhPeCB5DSVEuU1JaTi5JUV9NQVJLRVRDQVAuNC8xLzIwMjQBAAAAFz71FwIAAAAJMjAuNTg3MjA0AQYAAAAFAAAAATEBAAAACy0yMDIwNDY5MzExAwAAAAMxNjACAAAABjEwMDA1NAQAAAABMAcAAAAINC8xLzIwMjTtO/8TIhPeCGnj1BUiE94IHkNJUS5BVE5NLklRX01BUktFVENBUC40LzEvMjAyNAEAAACbt3cAAgAAAAoyNTEuNjMzMjc4AQYAAAAFAAAAATEBAAAACy0yMDAzOTMxOTI5AwAAAAMxNjACAAAABjEwMDA1NAQAAAABMAcAAAAINC8xLzIwMjTvD8cTIhPeCGnj1BUiE94IHkNJUS5DT1JULklRX01BUktFVENBUC40LzEvMjAyNAEAAADSuRUAAgAAAAsyNjY0LjUzNzU2NwEGAAAABQAAAAExAQAAAAstMjAxMDE3ODAzNwMAAAADMTYwAgAAAAYxMDAwNTQEAAAAATAHAAAACDQvMS8yMDI0vZ3GEyIT3ghp49QVIhPeCB5DSVEuQk1FQS5JUV9NQVJLRVRDQVAuNC8yLzIwMjQBAAAAx5hxKQIAAAAKNDU5LjM4MzgwOAEGAAAABQAAAAExAQAAAAstMjAwNDA2MDUxNwMAAAADMTYwAgAAAAYxMDAwNTQEAAAAATAHAAAACDQvMi8yMDI07Tv/EyIT3ghp49QVIhPeCB1DSVEuTExZLklRX01BUktFVENBUC40LzIvMjAyNAEAAAAbWwQAAgAAAA02ODgxNDkuMjY5NzU2AQYAAAAFAAAAATEBAAAACy0yMDA5NDAzNTUyAwAAAAMxNjACAAAABjEwMDA1NAQAAAABMAcAAAAINC8yLzIw</t>
  </si>
  <si>
    <t>MjS9ncYTIhPeCGnj1BUiE94IIUNJUS5MTFkuSVFfTEFTVFNBTEVQUklDRS40LzIvMjAyNAEAAAAbWwQAAgAAAAY3NjMuOTYA7Tv/EyIT3ghp49QVIhPeCB5DSVEuVkVSVi5JUV9NQVJLRVRDQVAuNC8yLzIwMjQBAAAALlsNAAIAAAAMMjM3ODAuNjAzNzA3AQYAAAAFAAAAATEBAAAACy0yMDA2MTQ3MzgxAwAAAAI1MAIAAAAGMTAwMDU0BAAAAAEwBwAAAAg0LzIvMjAyNNTrxhMiE94IaHHSFSIT3ggfQ0lRLlpMRFBGLklRX01BUktFVENBUC40LzIvMjAyNAEAAAAiWxMAAgAAAAw0MDg4My40NTY3NTEBBgAAAAUAAAABMQEAAAALLTIwMDg1NzY5ODgDAAAAAjQyAgAAAAYxMDAwNTQEAAAAATAHAAAACDQvMi8yMDI07w/HEyIT3ghocdIVIhPeCB5DSVEuUk9JVi5JUV9NQVJLRVRDQVAuNC8yLzIwMjQBAAAAOTjPEAIAAAALODc5OS44MzgzODYBBgAAAAUAAAABMQEAAAALLTIwMTA3NjI2MDADAAAAAzE2MAIAAAAGMTAwMDU0BAAAAAEwBwAAAAg0LzIvMjAyNO07/xMiE94IaHHSFSIT3ggeQ0lRLkdOUFguSVFfTUFSS0VUQ0FQLjQvMi8yMDI0AQAAAKq8cQ0CAAAACDUuNDI1NTM2AQYAAAAFAAAAATEBAAAACy0yMDAzNDE1ODM4AwAAAAMxNjACAAAABjEwMDA1NAQAAAABMAcAAAAINC8yLzIwMjS9ncYTIhPeCGhx0hUiE94IIkNJUS5HTlBYLklRX0xBU1RTQUxFUFJJQ0UuNC8yLzIwMjQBAAAAqrxxDQIAAAADMTQy</t>
  </si>
  <si>
    <t>AF0qFRQiE94IaHHSFSIT3ggeQ0lRLktOU0EuSVFfTUFSS0VUQ0FQLjQvMi8yMDI0AQAAALWiRSECAAAACzEzMjIuNjE5MzYyAQYAAAAFAAAAATEBAAAACy0yMDA4MDk3NDMxAwAAAAMxNjACAAAABjEwMDA1NAQAAAABMAcAAAAINC8yLzIwMjRxdsYTIhPeCGhx0hUiE94IHkNJUS5LUkJQLklRX01BUktFVENBUC40LzIvMjAyNAEAAABAuX8nAgAAAAczLjY3MTQ3AQYAAAAFAAAAATEBAAAACy0yMDA1NjY4MDg4AwAAAAMxNjACAAAABjEwMDA1NAQAAAABMAcAAAAINC8yLzIwMjS6xMYTIhPeCGhx0hUiE94IHkNJUS5DUkJQLklRX01BUktFVENBUC40LzIvMjAyNAEAAAAkbyQPAgAAAAozOTMuNjAxMDk4AQYAAAAFAAAAATEBAAAACy0yMDA2MzkyMDIyAwAAAAMxNjACAAAABjEwMDA1NAQAAAABMAcAAAAINC8yLzIwMjS9ncYTIhPeCGhx0hUiE94IHkNJUS5TR0hULklRX01BUktFVENBUC40LzIvMjAyNAEAAABrYGgIAgAAAAoyNjkuNTcwMzM4AQYAAAAFAAAAATEBAAAACy0yMDA2MzYzMTc3AwAAAAMxNjACAAAABjEwMDA1NAQAAAABMAcAAAAINC8yLzIwMjS6xMYTIhPeCGhx0hUiE94IKENJUS5TR0hULklRX1BSSUNFX1ZPTF9ISVNUXzZNVEguNC8yLzIwMjQBAAAAa2BoCAIAAAAIMTgzLjAzNDIA7Tv/EyIT3ghocdIVIhPeCB9DSVEuU0dIVC5JUV9MQVNUU0FMRVBSSUNFLjQ1MzgzAQAAAGtgaAgCAAAABDUu</t>
  </si>
  <si>
    <t>MzEA7Tv/EyIT3ghocdIVIhPeCCJDSVEuU0dIVC5JUV9MQVNUU0FMRVBSSUNFLjQvMi8yMDI0AQAAAGtgaAgCAAAABDUuNDQAXSoVFCIT3ghocdIVIhPeCB5DSVEuVk5EQS5JUV9NQVJLRVRDQVAuNC8yLzIwMjQBAAAAI4d2AQIAAAAKMjI0Ljk3MTYyMQEGAAAABQAAAAExAQAAAAstMjAxMTMwOTEyNgMAAAADMTYwAgAAAAYxMDAwNTQEAAAAATAHAAAACDQvMi8yMDI0usTGEyIT3ghocdIVIhPeCB9DSVEuVk5EQS5JUV9MQVNUU0FMRVBSSUNFLjQ1MzgzAQAAACOHdgECAAAABDQuMTIAXSoVFCIT3ghocdIVIhPeCB9DSVEuVk5EQS5JUV9MQVNUU0FMRVBSSUNFLjQ1MzkxAQAAACOHdgECAAAABDQuMzYAXSoVFCIT3ghocdIVIhPeCB5DSVEuRkdFTi5JUV9NQVJLRVRDQVAuNC8zLzIwMjQBAAAARG8AAAIAAAAKMTQ1LjE5MzcwMQEGAAAABQAAAAExAQAAAAstMjAwODY2MDY1NgMAAAADMTYwAgAAAAYxMDAwNTQEAAAAATAHAAAACDQvMy8yMDI0vZ3GEyIT3ghocdIVIhPeCB5DSVEuTEVOWi5JUV9NQVJLRVRDQVAuNC8zLzIwMjQBAAAAlMMPFgIAAAAJNTQxLjgyMTU3AQYAAAAFAAAAATEBAAAACy0yMDA0OTUyMDU4AwAAAAMxNjACAAAABjEwMDA1NAQAAAABMAcAAAAINC8zLzIwMjRhS8YTIhPeCGhx0hUiE94IHUNJUS5NUksuSVFfTUFSS0VUQ0FQLjQvMy8yMDI0AQAAAPZmBAACAAAADTMyODk5MC40Mzg5NzMB</t>
  </si>
  <si>
    <t>BgAAAAUAAAABMQEAAAALLTIwMDg1NTc0MTgDAAAAAzE2MAIAAAAGMTAwMDU0BAAAAAEwBwAAAAg0LzMvMjAyNO8PxxMiE94IaHHSFSIT3ggnQ0lRLk1SSy5JUV9QUklDRV9WT0xfSElTVF82TVRILjQvMy8yMDI0AQAAAPZmBAACAAAABzE3LjIwMTIA7Tv/EyIT3ghocdIVIhPeCB9DSVEuRFNOS1kuSVFfTUFSS0VUQ0FQLjQvMy8yMDI0AQAAADmZaQECAAAADTg5NjYwMDYuNDQwNDQBBgAAAAUAAAABMQEAAAALLTIwMTE0MzczMjEDAAAAAjc5AgAAAAYxMDAwNTQEAAAAATAHAAAACDQvMy8yMDI0vZ3GEyIT3ghocdIVIhPeCB5DSVEuUFJGWC5JUV9NQVJLRVRDQVAuNC8zLzIwMjQBAAAAJUA7AwIAAAAIMy4wNTkxNTQBBgAAAAUAAAABMQEAAAALLTIwMDc4MTg1MjkDAAAAAzE2MAIAAAAGMTAwMDU0BAAAAAEwBwAAAAg0LzMvMjAyNNTrxhMiE94IaHHSFSIT3ggeQ0lRLk5CVFguSVFfTUFSS0VUQ0FQLjQvMy8yMDI0AQAAALuuPwECAAAACjI3NC4xODcyNDIBBgAAAAUAAAABMQEAAAALLTIwMjU4MDE0MjcDAAAAAjUwAgAAAAYxMDAwNTQEAAAAATAHAAAACDQvMy8yMDI0usTGEyIT3ghocdIVIhPeCCJDSVEuTkJUWC5JUV9MQVNUU0FMRVBSSUNFLjQvMy8yMDI0AQAAALuuPwECAAAABDYuMTMA7Tv/EyIT3ghocdIVIhPeCB5DSVEuU1BSWS5JUV9NQVJLRVRDQVAuNC8zLzIwMjQBAAAAB6bhIgIAAAAKOTA3LjEx</t>
  </si>
  <si>
    <t>NDYwOAEGAAAABQAAAAExAQAAAAstMjAwNTI3NjI5NQMAAAADMTYwAgAAAAYxMDAwNTQEAAAAATAHAAAACDQvMy8yMDI07Tv/EyIT3ghocdIVIhPeCChDSVEuU1BSWS5JUV9QUklDRV9WT0xfSElTVF82TVRILjQvMy8yMDI0AQAAAAem4SICAAAABzU1LjExMDYAXSoVFCIT3ghocdIVIhPeCB9DSVEuU1BSWS5JUV9MQVNUU0FMRVBSSUNFLjQ1Mzg0AQAAAAem4SICAAAABDkuMjgAXSoVFCIT3ghocdIVIhPeCCJDSVEuU1BSWS5JUV9MQVNUU0FMRVBSSUNFLjQvMy8yMDI0AQAAAAem4SICAAAAAzkuNABdKhUUIhPeCGhx0hUiE94IH0NJUS5TUFJZLklRX0xBU1RTQUxFUFJJQ0UuNDUzOTIBAAAAB6bhIgIAAAAEOS4yNwBdKhUUIhPeCGhx0hUiE94IHkNJUS5NUk5BLklRX01BUktFVENBUC40LzMvMjAyNAEAAAD8g6sHAgAAAAwzODc1MS4yNDU1MzEBBgAAAAUAAAABMQEAAAALLTIwMDg4NDU2ODQDAAAAAzE2MAIAAAAGMTAwMDU0BAAAAAEwBwAAAAg0LzMvMjAyNNTrxhMiE94IaHHSFSIT3ggeQ0lRLk1HTlguSVFfTUFSS0VUQ0FQLjQvMy8yMDI0AQAAAE8rCQACAAAACjg1My40NDU2MTgBBgAAAAUAAAABMQEAAAALLTIwMDcwMjQ1NDIDAAAAAzE2MAIAAAAGMTAwMDU0BAAAAAEwBwAAAAg0LzMvMjAyNNTrxhMiE94IaHHSFSIT3ggeQ0lRLkFDSEwuSVFfTUFSS0VUQ0FQLjQvNC8yMDI0AQAAAISXYAECAAAACTU0</t>
  </si>
  <si>
    <t>LjgzMzk0NwEGAAAABQAAAAExAQAAAAstMjAwMzIzMzAyMQMAAAACNjQCAAAABjEwMDA1NAQAAAABMAcAAAAINC80LzIwMjTU68YTIhPeCGhx0hUiE94IHkNJUS5DVkFDLklRX01BUktFVENBUC40LzQvMjAyNAEAAAB+Kz0BAgAAAAo2NjIuODE0MTc2AQYAAAAFAAAAATEBAAAACy0yMDE5MjU1ODIxAwAAAAMxNjACAAAABjEwMDA1NAQAAAABMAcAAAAINC80LzIwMjS9ncYTIhPeCH4H0BUiE94IHUNJUS5HU0suSVFfTUFSS0VUQ0FQLjQvNC8yMDI0AQAAAPIzBAACAAAADDY2OTA5LjI3NzUxNQEGAAAABQAAAAExAQAAAAstMjAwNzcxMDQ3MQMAAAACNTUCAAAABjEwMDA1NAQAAAABMAcAAAAINC80LzIwMjTtO/8TIhPeCH4H0BUiE94IHkNJUS5HU0suSVFfTEFTVFNBTEVQUklDRS40NTM4NQEAAADyMwQAAgAAAAUxNi41NABdKhUUIhPeCH4H0BUiE94IIUNJUS5HU0suSVFfTEFTVFNBTEVQUklDRS40LzQvMjAyNAEAAADyMwQAAgAAAAYxNi4zNzUAXSoVFCIT3gh+B9AVIhPeCB5DSVEuQURDVC5JUV9NQVJLRVRDQVAuNC80LzIwMjQBAAAAmqPpCgIAAAAKMzg4LjcxNDE3NgEGAAAABQAAAAExAQAAAAstMjAwNjMyODAyMgMAAAADMTYwAgAAAAYxMDAwNTQEAAAAATAHAAAACDQvNC8yMDI07Tv/EyIT3gh+B9AVIhPeCChDSVEuQURDVC5JUV9QUklDRV9WT0xfSElTVF82TVRILjQvNC8yMDI0AQAAAJqj6QoCAAAA</t>
  </si>
  <si>
    <t>CDEzOS40NTE3AO07/xMiE94IfgfQFSIT3ggeQ0lRLkFNTFguSVFfTUFSS0VUQ0FQLjQvNC8yMDI0AQAAAAag5xICAAAACjE3Ni45MTEzODMBBgAAAAUAAAABMQEAAAALLTIwMDkyOTE1MzMDAAAAAzE2MAIAAAAGMTAwMDU0BAAAAAEwBwAAAAg0LzQvMjAyNO07/xMiE94IfgfQFSIT3ggeQ0lRLkNBREwuSVFfTUFSS0VUQ0FQLjQvNC8yMDI0AQAAAKtaOgICAAAACjE4Ny44MjM3OTUBBgAAAAUAAAABMQEAAAALLTIwMDQzMTc5NjkDAAAAAzE2MAIAAAAGMTAwMDU0BAAAAAEwBwAAAAg0LzQvMjAyNL2dxhMiE94IfgfQFSIT3ggeQ0lRLkVGVFIuSVFfTUFSS0VUQ0FQLjQvNC8yMDI0AQAAAP8dVw4CAAAACTEwLjkxNDQzNQEGAAAABQAAAAExAQAAAAstMjAwNDA2MDUzNAMAAAADMTYwAgAAAAYxMDAwNTQEAAAAATAHAAAACDQvNC8yMDI07Tv/EyIT3gh+B9AVIhPeCB5DSVEuR09WWC5JUV9NQVJLRVRDQVAuNC80LzIwMjQBAAAAr/i3AAIAAAAINC4zNjYyNjcBBgAAAAUAAAABMQEAAAALLTIwMDcxNzE0MjYDAAAAAzE2MAIAAAAGMTAwMDU0BAAAAAEwBwAAAAg0LzQvMjAyNL2dxhMiE94IfgfQFSIT3ggeQ0lRLkRUSUwuSVFfTUFSS0VUQ0FQLjQvNC8yMDI0AQAAAOjlcQICAAAACTk5LjE3ODg2NwEGAAAABQAAAAExAQAAAAstMjAwNDU4Mzg1MwMAAAADMTYwAgAAAAYxMDAwNTQEAAAAATAHAAAACDQvNC8yMDI0</t>
  </si>
  <si>
    <t>YUvGEyIT3gh+B9AVIhPeCB9DSVEuRFRJTC5JUV9MQVNUU0FMRVBSSUNFLjQ1Mzg1AQAAAOjlcQICAAAABTE1LjQ0AO07/xMiE94IfgfQFSIT3ggfQ0lRLkRUSUwuSVFfTEFTVFNBTEVQUklDRS40NTM5MwEAAADo5XECAgAAAAUxNC40NQBdKhUUIhPeCH4H0BUiE94IHkNJUS5DUkJVLklRX01BUktFVENBUC40LzQvMjAyNAEAAAAvRzkQAgAAAAo0MTAuMDI3ODM1AQYAAAAFAAAAATEBAAAACy0yMDA2NjQzMDMxAwAAAAMxNjACAAAABjEwMDA1NAQAAAABMAcAAAAINC80LzIwMjS9ncYTIhPeCH4H0BUiE94IKENJUS5DUkJVLklRX1BSSUNFX1ZPTF9ISVNUXzZNVEguNC80LzIwMjQBAAAAL0c5EAIAAAAHOTIuMTE1NgDtO/8TIhPeCH4H0BUiE94IH0NJUS5DUkJVLklRX0xBU1RTQUxFUFJJQ0UuNDUzODUBAAAAL0c5EAIAAAAENC42OADtO/8TIhPeCH4H0BUiE94IHUNJUS5IQ00uSVFfTUFSS0VUQ0FQLjQvNS8yMDI0AQAAALuvlgECAAAACzIyMjcuNDAwODE4AQYAAAAFAAAAATEBAAAACy0yMDA3NjM4OTk0AwAAAAI1NQIAAAAGMTAwMDU0BAAAAAEwBwAAAAg0LzUvMjAyNO07/xMiE94IfgfQFSIT3ggdQ0lRLkFaTi5JUV9NQVJLRVRDQVAuNC81LzIwMjQBAAAAhiMFAAIAAAANMTY0NjMzLjUwMDc4NgEGAAAABQAAAAExAQAAAAstMjAwOTUxNzE0MAMAAAACNTUCAAAABjEwMDA1NAQAAAABMAcAAAAINC81LzIw</t>
  </si>
  <si>
    <t>MjTU68YTIhPeCH4H0BUiE94IHkNJUS5DWVRLLklRX01BUktFVENBUC40LzUvMjAyNAEAAACzagAAAgAAAAs3NDg5LjQ3MjQ2NAEGAAAABQAAAAExAQAAAAstMjAwNzYzODUxNQMAAAADMTYwAgAAAAYxMDAwNTQEAAAAATAHAAAACDQvNS8yMDI07w/HEyIT3gh+B9AVIhPeCCJDSVEuQ1lUSy5JUV9MQVNUU0FMRVBSSUNFLjQvNS8yMDI0AQAAALNqAAACAAAABTcyLjcxAO07/xMiE94IfgfQFSIT3ggfQ0lRLkNZVEsuSVFfTEFTVFNBTEVQUklDRS40NTM5NAEAAACzagAAAgAAAAU3MS41NgDtO/8TIhPeCH4H0BUiE94IHkNJUS5PQ0dOLklRX01BUktFVENBUC40LzUvMjAyNAEAAAC3wBwSAgAAAAo0NjkuMzk5NDU0AQYAAAAFAAAAATEBAAAACy0yMDIwMzkyMzY1AwAAAAMxNjACAAAABjEwMDA1NAQAAAABMAcAAAAINC81LzIwMjRxdsYTIhPeCH4H0BUiE94IH0NJUS5PQ0dOLklRX0xBU1RTQUxFUFJJQ0UuNDUzODYBAAAAt8AcEgIAAAAEMS41MQDtO/8TIhPeCH4H0BUiE94IIkNJUS5PQ0dOLklRX0xBU1RTQUxFUFJJQ0UuNC81LzIwMjQBAAAAt8AcEgIAAAAEMS44MwDtO/8TIhPeCH4H0BUiE94IH0NJUS5PQ0dOLklRX0xBU1RTQUxFUFJJQ0UuNDUzOTQBAAAAt8AcEgIAAAAEMS43MQBdKhUUIhPeCH4H0BUiE94IHkNJUS5JR1hULklRX01BUktFVENBUC40LzUvMjAyNAEAAAAEqMsBAgAAAAkyOS41MTcyMTgB</t>
  </si>
  <si>
    <t>BgAAAAUAAAABMQEAAAALLTIwMDUyOTY1NjQDAAAAAzE2MAIAAAAGMTAwMDU0BAAAAAEwBwAAAAg0LzUvMjAyNNTrxhMiE94IfgfQFSIT3ggeQ0lRLlRBUkEuSVFfTUFSS0VUQ0FQLjQvNS8yMDI0AQAAAPihiSACAAAACTQxLjUwNDgyOAEGAAAABQAAAAExAQAAAAstMjAwNjQwODY0MwMAAAADMTYwAgAAAAYxMDAwNTQEAAAAATAHAAAACDQvNS8yMDI0vZ3GEyIT3gh+B9AVIhPeCB5DSVEuVFNWVC5JUV9NQVJLRVRDQVAuNC81LzIwMjQFAAAAAAAAAAgAAAAUKEludmFsaWQgSWRlbnRpZmllcintO/8TIhPeCH4H0BUiE94IIkNJUS5UU1ZULklRX0xBU1RTQUxFUFJJQ0UuNC81LzIwMjQFAAAAAAAAAAgAAAAUKEludmFsaWQgSWRlbnRpZmllcildKhUUIhPeCH4H0BUiE94IHUNJUS5CTVkuSVFfTUFSS0VUQ0FQLjQvNS8yMDI0AQAAAMZkAAACAAAADTEwNDAxMy4yNTcyNTQBBgAAAAUAAAABMQEAAAALLTIwMTA0ODA5MjADAAAAAzE2MAIAAAAGMTAwMDU0BAAAAAEwBwAAAAg0LzUvMjAyNNTrxhMiE94IfgfQFSIT3ggeQ0lRLkNEVFguSVFfTUFSS0VUQ0FQLjQvNS8yMDI0AQAAAOjf3g8CAAAACjEwNS4xMTgwODYBBgAAAAUAAAABMQEAAAALLTIwMjE1NDQyMzUDAAAAAzE2MAIAAAAGMTAwMDU0BAAAAAEwBwAAAAg0LzUvMjAyNLrExhMiE94IfgfQFSIT3ggeQ0lRLkhPV0wuSVFfTUFSS0VUQ0FQLjQvNS8yMDI0</t>
  </si>
  <si>
    <t>AQAAAOElbCECAAAACjI1My4wMDQxNzEBBgAAAAUAAAABMQEAAAALLTIwMDcwNzc4MTkDAAAAAzE2MAIAAAAGMTAwMDU0BAAAAAEwBwAAAAg0LzUvMjAyNO07/xMiE94IfgfQFSIT3ggoQ0lRLkhPV0wuSVFfUFJJQ0VfVk9MX0hJU1RfNk1USC40LzUvMjAyNAEAAADhJWwhAgAAAAgxMTkuMjY4NQDtO/8TIhPeCH4H0BUiE94IHUNJUS5KTkouSVFfTUFSS0VUQ0FQLjQvNS8yMDI0AQAAAJ0hAgACAAAADTM2NzIyNi44Mzk1OTkBBgAAAAUAAAABMQEAAAALLTIwMDk4ODk5ODMDAAAAAzE2MAIAAAAGMTAwMDU0BAAAAAEwBwAAAAg0LzUvMjAyNHF2xhMiE94IfgfQFSIT3gghQ0lRLkpOSi5JUV9MQVNUU0FMRVBSSUNFLjQvNS8yMDI0AQAAAJ0hAgACAAAABjE1Mi4zOQBdKhUUIhPeCH4H0BUiE94IHkNJUS5MRUdOLklRX01BUktFVENBUC40LzUvMjAyNAEAAABsI/MgAgAAAAs5OTkyLjM3MzA5OAEGAAAABQAAAAExAQAAAAstMjAwNTU5ODEyMwMAAAADMTYwAgAAAAYxMDAwNTQEAAAAATAHAAAACDQvNS8yMDI07Tv/EyIT3gj+cs8VIhPeCB5DSVEuQU1STi5JUV9NQVJLRVRDQVAuNC82LzIwMjQBAAAANzkGAAIAAAAJNDMxLjIwNTM5AQYAAAAFAAAAATEBAAAACy0yMDA4MDYzMTI2AwAAAAMxNjACAAAABjEwMDA1NAQAAAABMAcAAAAINC82LzIwMjS9ncYTIhPeCP5yzxUiE94IH0NJUS5BTVJOLklRX0xBU1RTQUxF</t>
  </si>
  <si>
    <t>UFJJQ0UuNDUzOTQBAAAANzkGAAIAAAAFMTkuMTQA7Tv/EyIT3gj+cs8VIhPeCB1DSVEuWExPLklRX01BUktFVENBUC40LzcvMjAyNAEAAAA8jMYVAgAAAAk0MS4zNjE0NDMBBgAAAAUAAAABMQEAAAALLTIwMDI2NjAzNzADAAAAAzE2MAIAAAAGMTAwMDU0BAAAAAEwBwAAAAg0LzcvMjAyNLrExhMiE94I/nLPFSIT3ggnQ0lRLlhMTy5JUV9QUklDRV9WT0xfSElTVF82TVRILjQvNy8yMDI0AQAAADyMxhUCAAAACDEzOC44MDE5AO07/xMiE94I/nLPFSIT3ggeQ0lRLlhMTy5JUV9MQVNUU0FMRVBSSUNFLjQ1Mzg3AQAAADyMxhUCAAAAAzEuMgBdKhUUIhPeCP5yzxUiE94IHkNJUS5YTE8uSVFfTEFTVFNBTEVQUklDRS40NTM5NAEAAAA8jMYVAgAAAAQxLjE4AO07/xMiE94I/nLPFSIT3ggfQ0lRLktSQlAuSVFfTUFSS0VUQ0FQLjMvMTkvMjAyNAEAAABAuX8nAgAAAAgzLjY0NTcwNQEGAAAABQAAAAExAQAAAAstMjAwNTY2ODA4OAMAAAADMTYwAgAAAAYxMDAwNTQEAAAAATAHAAAACTMvMTkvMjAyNL2dxhMiE94I4MDeFSIT3ggfQ0lRLlNFRUwuSVFfTUFSS0VUQ0FQLjMvMTkvMjAyNAEAAADsNP0XAgAAAAg4Ljg5MjMzMwEGAAAABQAAAAExAQAAAAstMjAwNzE3MzY3NgMAAAADMTYwAgAAAAYxMDAwNTQEAAAAATAHAAAACTMvMTkvMjAyNO07/xMiE94I4MDeFSIT3ggfQ0lRLkhPVEguSVFfTUFSS0VUQ0FQLjMv</t>
  </si>
  <si>
    <t>MTkvMjAyNAEAAABQYusZAgAAAAg1Ljg2NzY5MQEGAAAABQAAAAExAQAAAAstMjAxOTQwMDk2NQMAAAADMTYwAgAAAAYxMDAwNTQEAAAAATAHAAAACTMvMTkvMjAyNNTrxhMiE94I4MDeFSIT3ggpQ0lRLkhPVEguSVFfUFJJQ0VfVk9MX0hJU1RfNk1USC4zLzE5LzIwMjQBAAAAUGLrGQIAAAAHNjguOTcyNADtO/8TIhPeCODA3hUiE94IH0NJUS5KU1BSLklRX01BUktFVENBUC4zLzE5LzIwMjQBAAAAXpKVJgIAAAAKMzk1LjI3NjYzMQEGAAAABQAAAAExAQAAAAstMjAwNjgyNTIwMAMAAAADMTYwAgAAAAYxMDAwNTQEAAAAATAHAAAACTMvMTkvMjAyNO07/xMiE94I4MDeFSIT3ggjQ0lRLkpTUFIuSVFfTEFTVFNBTEVQUklDRS4zLzE5LzIwMjQBAAAAXpKVJgIAAAAFMjYuMjQA7Tv/EyIT3gjgwN4VIhPeCB9DSVEuQUxJTS5JUV9NQVJLRVRDQVAuMy8xOS8yMDI0AQAAADvlnQACAAAACjIxMi4wMzU1MjMBBgAAAAUAAAABMQEAAAALLTIwMDY3ODUzNTMDAAAAAzE2MAIAAAAGMTAwMDU0BAAAAAEwBwAAAAkzLzE5LzIwMjRhS8YTIhPeCODA3hUiE94IH0NJUS5MR05ELklRX01BUktFVENBUC4zLzE5LzIwMjQBAAAAZHgAAAIAAAALMTI3OC40OTg3NzQBBgAAAAUAAAABMQEAAAALLTIwMDc3MzI3NDgDAAAAAzE2MAIAAAAGMTAwMDU0BAAAAAEwBwAAAAkzLzE5LzIwMjTU68YTIhPeCODA3hUiE94IH0NJUS5MR05E</t>
  </si>
  <si>
    <t>LklRX0xBU1RTQUxFUFJJQ0UuNDUzNzcBAAAAZHgAAAIAAAAFNjguNjQA7Tv/EyIT3gjgwN4VIhPeCB5DSVEuTVJLLklRX01BUktFVENBUC4zLzE5LzIwMjQBAAAA9mYEAAIAAAANMzA5NDg5LjA4MTE1OAEGAAAABQAAAAExAQAAAAstMjAwODU1NzQxOAMAAAADMTYwAgAAAAYxMDAwNTQEAAAAATAHAAAACTMvMTkvMjAyNO8PxxMiE94IVFLeFSIT3ggiQ0lRLk1SSy5JUV9MQVNUU0FMRVBSSUNFLjMvMTkvMjAyNAEAAAD2ZgQAAgAAAAUxMjIuMgBdKhUUIhPeCFRS3hUiE94IHkNJUS5DVk0uSVFfTUFSS0VUQ0FQLjMvMTkvMjAyNAEAAAC68gMAAgAAAAoxMDkuNTc3NzkxAQYAAAAFAAAAATEBAAAACy0yMDEwMzY3NzEzAwAAAAMxNjACAAAABjEwMDA1NAQAAAABMAcAAAAJMy8xOS8yMDI0cXbGEyIT3ghUUt4VIhPeCB5DSVEuVEFLLklRX01BUktFVENBUC4zLzE5LzIwMjQBAAAALFgNAAIAAAAONjg2ODcwOS42NTU0NzgBBgAAAAUAAAABMQEAAAALLTIwMTE3ODUyMzMDAAAAAjc5AgAAAAYxMDAwNTQEAAAAATAHAAAACTMvMTkvMjAyNO07/xMiE94IVFLeFSIT3ggfQ0lRLlRTSEEuSVFfTUFSS0VUQ0FQLjMvMTkvMjAyNAEAAACjkbEnAgAAAAo0MjAuNzkxMTE5AQYAAAAFAAAAATEBAAAACy0yMDA1NTc1MTA4AwAAAAMxNjACAAAABjEwMDA1NAQAAAABMAcAAAAJMy8xOS8yMDI07w/HEyIT3ghUUt4VIhPeCB9D</t>
  </si>
  <si>
    <t>SVEuQUVPTi5JUV9NQVJLRVRDQVAuMy8xOS8yMDI0AQAAAAb/xQ4CAAAACjUzNS4wOTc2MjEBBgAAAAUAAAABMQEAAAALLTIwMTgxNzIxNzgDAAAAAzE2MAIAAAAGMTAwMDU0BAAAAAEwBwAAAAkzLzE5LzIwMjRhS8YTIhPeCFRS3hUiE94IHkNJUS5CTVkuSVFfTUFSS0VUQ0FQLjMvMjAvMjAyNAEAAADGZAAAAgAAAA0xMDUxNDguMjQyMTM0AQYAAAAFAAAAATEBAAAACy0yMDEwNDgwOTIwAwAAAAMxNjACAAAABjEwMDA1NAQAAAABMAcAAAAJMy8yMC8yMDI07w/HEyIT3ggbK94VIhPeCB9DSVEuQUxNUy5JUV9NQVJLRVRDQVAuMy8yMC8yMDI0AQAAAF97DyoDAAAAAABxdsYTIhPeCCoE3hUiE94IH0NJUS5FTlRYLklRX01BUktFVENBUC4zLzIwLzIwMjQBAAAALqZgBgIAAAAJNTMuOTMxNjM4AQYAAAAFAAAAATEBAAAACy0yMDA2ODgzODM4AwAAAAMxNjACAAAABjEwMDA1NAQAAAABMAcAAAAJMy8yMC8yMDI0YUvGEyIT3ggqBN4VIhPeCB5DSVEuT1BLLklRX01BUktFVENBUC4zLzIwLzIwMjQBAAAAj7n9AQIAAAAKNjIwLjMyMjU5MwEGAAAABQAAAAExAQAAAAstMjAwNzYzNzQ1MAMAAAADMTYwAgAAAAYxMDAwNTQEAAAAATAHAAAACTMvMjAvMjAyNLrExhMiE94IIt3dFSIT3ggfQ0lRLlRGRlAuSVFfTUFSS0VUQ0FQLjMvMjAvMjAyNAEAAADqNAsAAgAAAAc5MjMuNTY4AQYAAAAFAAAAATEBAAAACy0yMDEy</t>
  </si>
  <si>
    <t>MjE4MzI4AwAAAAI1MAIAAAAGMTAwMDU0BAAAAAEwBwAAAAkzLzIwLzIwMjTtO/8TIhPeCPW13RUiE94IH0NJUS5CTk9YLklRX01BUktFVENBUC4zLzIxLzIwMjQFAAAAAAAAAAgAAAAUKEludmFsaWQgSWRlbnRpZmllcilxdsYTIhPeCOGO3RUiE94IHkNJUS5NUksuSVFfTUFSS0VUQ0FQLjMvMjEvMjAyNAEAAAD2ZgQAAgAAAA0zMTMwODUuNDM1NDU3AQYAAAAFAAAAATEBAAAACy0yMDA4NTU3NDE4AwAAAAMxNjACAAAABjEwMDA1NAQAAAABMAcAAAAJMy8yMS8yMDI07Tv/EyIT3gjhjt0VIhPeCB9DSVEuUEhJTy5JUV9NQVJLRVRDQVAuMy8yMS8yMDI0AQAAADkGZwgCAAAACDIuMDUyNDk1AQYAAAAFAAAAATEBAAAACy0yMDIwMDI5MTI2AwAAAAMxNjACAAAABjEwMDA1NAQAAAABMAcAAAAJMy8yMS8yMDI01OvGEyIT3ggXaN0VIhPeCCNDSVEuUEhJTy5JUV9MQVNUU0FMRVBSSUNFLjMvMjEvMjAyNAEAAAA5BmcIAgAAAAQ3LjU2AO07/xMiE94IF2jdFSIT3ggfQ0lRLlZSVFguSVFfTUFSS0VUQ0FQLjMvMjEvMjAyNAEAAACLjQAAAgAAAA0xMDczODEuMTQyMTg5AQYAAAAFAAAAATEBAAAACy0yMDEwMDc3NzY2AwAAAAMxNjACAAAABjEwMDA1NAQAAAABMAcAAAAJMy8yMS8yMDI07w/HEyIT3gjDQN0VIhPeCCNDSVEuVlJUWC5JUV9MQVNUU0FMRVBSSUNFLjMvMjEvMjAyNAEAAACLjQAAAgAAAAY0MTUuNzEA</t>
  </si>
  <si>
    <t>7Tv/EyIT3gjDQN0VIhPeCB9DSVEuQUxQTi5JUV9NQVJLRVRDQVAuMy8yMS8yMDI0AQAAANmQZgACAAAACDY3LjA2NjIzAQYAAAAFAAAAATEBAAAACy0yMDI2NDI3ODg1AwAAAAIyOQIAAAAGMTAwMDU0BAAAAAEwBwAAAAkzLzIxLzIwMjRhS8YTIhPeCMNA3RUiE94IH0NJUS5BTFBOLklRX0xBU1RTQUxFUFJJQ0UuNDUzNzkBAAAA2ZBmAAIAAAADNy43AF0qFRQiE94Iw0DdFSIT3ggfQ0lRLk5LVFguSVFfTUFSS0VUQ0FQLjMvMjEvMjAyNAEAAACN5HQgAgAAAAo2NDEuNDIyMDk0AQYAAAAFAAAAATEBAAAACy0yMDA1MjA0NDgwAwAAAAMxNjACAAAABjEwMDA1NAQAAAABMAcAAAAJMy8yMS8yMDI01OvGEyIT3gi2Gd0VIhPeCClDSVEuTktUWC5JUV9QUklDRV9WT0xfSElTVF82TVRILjMvMjEvMjAyNAEAAACN5HQgAgAAAAgxNzQuNzgwNwDtO/8TIhPeCLYZ3RUiE94II0NJUS5OS1RYLklRX0xBU1RTQUxFUFJJQ0UuMy8yMS8yMDI0AQAAAI3kdCACAAAABTEyLjk4AF0qFRQiE94IthndFSIT3ggfQ0lRLkFCQlYuSVFfTUFSS0VUQ0FQLjMvMjIvMjAyNAEAAAAKAXUIAgAAAA0zMTU5NzEuOTU0MTE2AQYAAAAFAAAAATEBAAAACy0yMDA5NTI5OTY3AwAAAAMxNjACAAAABjEwMDA1NAQAAAABMAcAAAAJMy8yMi8yMDI0vZ3GEyIT3gi68twVIhPeCB9DSVEuT0tZTy5JUV9NQVJLRVRDQVAuMy8yMi8yMDI0AQAAAEvP</t>
  </si>
  <si>
    <t>tgICAAAACTUxLjAxNzMzNwEGAAAABQAAAAExAQAAAAstMjAzMjUwNDY3MAMAAAADMTYwAgAAAAYxMDAwNTQEAAAAATAHAAAACTMvMjIvMjAyNL2dxhMiE94IuvLcFSIT3ggfQ0lRLlNNTVQuSVFfTUFSS0VUQ0FQLjMvMjIvMjAyNAEAAADDLbEAAgAAAAsyMzY0Ljc0MDMzMwEGAAAABQAAAAExAQAAAAstMjAwOTYxMDA5MQMAAAADMTYwAgAAAAYxMDAwNTQEAAAAATAHAAAACTMvMjIvMjAyNO07/xMiE94I3svcFSIT3ggfQ0lRLklWVkQuSVFfTUFSS0VUQ0FQLjMvMjIvMjAyNAEAAACCg14oAgAAAAo1MTguMTY5OTk0AQYAAAAFAAAAATEBAAAACy0yMDIwMDc4MjQwAwAAAAMxNjACAAAABjEwMDA1NAQAAAABMAcAAAAJMy8yMi8yMDI07Tv/EyIT3gh3fdwVIhPeCB9DSVEuRVNQUi5JUV9NQVJLRVRDQVAuMy8yMi8yMDI0AQAAAExuAAACAAAACjQyMy43NzA2OTQBBgAAAAUAAAABMQEAAAALLTIwMDgyMTY5MTMDAAAAAzE2MAIAAAAGMTAwMDU0BAAAAAEwBwAAAAkzLzIyLzIwMjRxdsYTIhPeCDtS3BUiE94IH0NJUS5URUxPLklRX01BUktFVENBUC4zLzIyLzIwMjQBAAAAxOMsbQIAAAAKMTkyLjE2NzY5MwEGAAAABQAAAAExAQAAAAstMjAxODU4NjM2NgMAAAADMTYwAgAAAAYxMDAwNTQEAAAAATAHAAAACTMvMjIvMjAyNLrExhMiE94IO1LcFSIT3ggfQ0lRLlNMUlguSVFfTUFSS0VUQ0FQLjMvMjIvMjAyNAEA</t>
  </si>
  <si>
    <t>AADQ36sTAgAAAAgyLjY3NDkwMgEGAAAABQAAAAExAQAAAAstMjAwNTEwODQyNAMAAAADMTYwAgAAAAYxMDAwNTQEAAAAATAHAAAACTMvMjIvMjAyNO8PxxMiE94I5hvcFSIT3ggfQ0lRLlNMUlguSVFfTEFTVFNBTEVQUklDRS40NTM3MgEAAADQ36sTAgAAAAk3MC4yMTIwODQA7Tv/EyIT3gjmG9wVIhPeCB9DSVEuWkxBQi5JUV9NQVJLRVRDQVAuMy8yMi8yMDI0AQAAAHcCKRACAAAACzE1OTcuMjQ5NTIyAQYAAAAFAAAAATEBAAAACy0yMDA4NDMwMjUwAwAAAAMxNjACAAAABjEwMDA1NAQAAAABMAcAAAAJMy8yMi8yMDI0vZ3GEyIT3gjmG9wVIhPeCB9DSVEuQVhTTS5JUV9NQVJLRVRDQVAuMy8yNS8yMDI0AQAAAGs3aw4CAAAACzM2NjQuNDA3OTA2AQYAAAAFAAAAATEBAAAACy0yMDA5MDA1MDIyAwAAAAMxNjACAAAABjEwMDA1NAQAAAABMAcAAAAJMy8yNS8yMDI0YUvGEyIT3gjWs9kVIhPeCCNDSVEuQVhTTS5JUV9MQVNUU0FMRVBSSUNFLjMvMjUvMjAyNAEAAABrN2sOAgAAAAU3Ny4zNQBdKhUUIhPeCNaz2RUiE94IHkNJUS5BWk4uSVFfTUFSS0VUQ0FQLjMvMjUvMjAyNAEAAACGIwUAAgAAAA0xNjExMjguMzYxNTQxAQYAAAAFAAAAATEBAAAACy0yMDA5NTE3MTQwAwAAAAI1NQIAAAAGMTAwMDU0BAAAAAEwBwAAAAkzLzI1LzIwMjTtO/8TIhPeCNaz2RUiE94IH0NJUS5BVFhTLklRX01BUktFVENBUC4z</t>
  </si>
  <si>
    <t>LzI1LzIwMjQBAAAACCECBgIAAAAJODA5LjgyMDE1AQYAAAAFAAAAATEBAAAACy0yMDA3NDQ1NTIyAwAAAAMxNjACAAAABjEwMDA1NAQAAAABMAcAAAAJMy8yNS8yMDI0cXbGEyIT3gjWs9kVIhPeCB9DSVEuQVBHRS5JUV9NQVJLRVRDQVAuMy8yNS8yMDI0AQAAAJX7RmwCAAAACzM1OTQuMDc4NzM1AQYAAAAFAAAAATEBAAAACy0yMDA3Mzg2MDE0AwAAAAMxNjACAAAABjEwMDA1NAQAAAABMAcAAAAJMy8yNS8yMDI0usTGEyIT3gjWs9kVIhPeCB9DSVEuTUJSWC5JUV9NQVJLRVRDQVAuMy8yNS8yMDI0AQAAAIZsFBMCAAAACTExLjY5NDQ1OQEGAAAABQAAAAExAQAAAAstMjAwNTEwODkwMQMAAAADMTYwAgAAAAYxMDAwNTQEAAAAATAHAAAACTMvMjUvMjAyNO07/xMiE94I1rPZFSIT3ggfQ0lRLlJFR04uSVFfTUFSS0VUQ0FQLjMvMjUvMjAyNAEAAACzgwAAAgAAAA0xMDMyODAuNTUzNjI3AQYAAAAFAAAAATEBAAAACy0yMDExNzE0NTYxAwAAAAMxNjACAAAABjEwMDA1NAQAAAABMAcAAAAJMy8yNS8yMDI07w/HEyIT3gjWs9kVIhPeCB9DSVEuWkxBQi5JUV9NQVJLRVRDQVAuMy8yNS8yMDI0AQAAAHcCKRACAAAACzE2MDQuMTU5NzQ5AQYAAAAFAAAAATEBAAAACy0yMDA4NDMwMjUwAwAAAAMxNjACAAAABjEwMDA1NAQAAAABMAcAAAAJMy8yNS8yMDI07Tv/EyIT3gjWs9kVIhPeCB9DSVEuQVJXUi5JUV9NQVJL</t>
  </si>
  <si>
    <t>RVRDQVAuMy8yNS8yMDI0AQAAAIYZAwACAAAACzM0NTUuNDg0OTMxAQYAAAAFAAAAATEBAAAACy0yMDExNTYzNDIzAwAAAAMxNjACAAAABjEwMDA1NAQAAAABMAcAAAAJMy8yNS8yMDI07w/HEyIT3gjWs9kVIhPeCB9DSVEuUllUTS5JUV9NQVJLRVRDQVAuMy8yNS8yMDI0AQAAABjJbRICAAAACzIzODQuNTcwNjI3AQYAAAAFAAAAATEBAAAACy0yMDA3NzMyNjk4AwAAAAMxNjACAAAABjEwMDA1NAQAAAABMAcAAAAJMy8yNS8yMDI0vZ3GEyIT3gjWs9kVIhPeCB5DSVEuTVJLLklRX01BUktFVENBUC4zLzI1LzIwMjQBAAAA9mYEAAIAAAALMzE3MzY1LjYwMzYBBgAAAAUAAAABMQEAAAALLTIwMDg1NTc0MTgDAAAAAzE2MAIAAAAGMTAwMDU0BAAAAAEwBwAAAAkzLzI1LzIwMjTtO/8TIhPeCNaz2RUiE94IH0NJUS5CWVNJLklRX01BUktFVENBUC4zLzI1LzIwMjQBAAAAR89sGAIAAAAKMTM1LjM4MzcwMgEGAAAABQAAAAExAQAAAAstMjAxMTgzNTU1MwMAAAADMTYwAgAAAAYxMDAwNTQEAAAAATAHAAAACTMvMjUvMjAyNO07/xMiE94I1rPZFSIT3ggfQ0lRLlNZUlMuSVFfTUFSS0VUQ0FQLjMvMjUvMjAyNAEAAACehRUOAgAAAAoxNjYuNDQyNjM3AQYAAAAFAAAAATEBAAAACy0yMDE5MjM2Njc4AwAAAAMxNjACAAAABjEwMDA1NAQAAAABMAcAAAAJMy8yNS8yMDI0vZ3GEyIT3gjWs9kVIhPeCCNDSVEuU1lSUy5J</t>
  </si>
  <si>
    <t>UV9MQVNUU0FMRVBSSUNFLjMvMjUvMjAyNAEAAACehRUOAgAAAAM2LjQAXSoVFCIT3gjWs9kVIhPeCB9DSVEuTVROQi5JUV9NQVJLRVRDQVAuMy8yNS8yMDI0AQAAANrShQ4CAAAACTYzLjA1MDE1OAEGAAAABQAAAAExAQAAAAstMjAyMDQ4Mjc2MQMAAAADMTYwAgAAAAYxMDAwNTQEAAAAATAHAAAACTMvMjUvMjAyNNTrxhMiE94I1rPZFSIT3ggpQ0lRLk1UTkIuSVFfUFJJQ0VfVk9MX0hJU1RfNk1USC4zLzI1LzIwMjQBAAAA2tKFDgIAAAAIMjY3LjQzNTQA7Tv/EyIT3gjWs9kVIhPeCB9DSVEuTVROQi5JUV9MQVNUU0FMRVBSSUNFLjQ1MzczAQAAANrShQ4CAAAABDEzLjkA7Tv/EyIT3gjWs9kVIhPeCB9DSVEuU1RPSy5JUV9NQVJLRVRDQVAuMy8yNS8yMDI0AQAAAB6IAQ8CAAAACTMwMC45NzQzMwEGAAAABQAAAAExAQAAAAstMjAwNDg3OTk1NwMAAAADMTYwAgAAAAYxMDAwNTQEAAAAATAHAAAACTMvMjUvMjAyNLrExhMiE94I1rPZFSIT3ggfQ0lRLk5LR04uSVFfTUFSS0VUQ0FQLjMvMjUvMjAyNAEAAAA8VH8jAgAAAAk0Ny4yODAxODgBBgAAAAUAAAABMQEAAAALLTIwMTgwMzczMzkDAAAAAzE2MAIAAAAGMTAwMDU0BAAAAAEwBwAAAAkzLzI1LzIwMjTtO/8TIhPeCNaz2RUiE94II0NJUS5OS0dOLklRX0xBU1RTQUxFUFJJQ0UuMy8yNS8yMDI0AQAAADxUfyMCAAAABDIuMTYAXSoVFCIT3gjWs9kVIhPe</t>
  </si>
  <si>
    <t>CB9DSVEuQU1SWC5JUV9NQVJLRVRDQVAuMy8yNS8yMDI0AQAAAFecSgICAAAACzE4MjMuNTU1NDg3AQYAAAAFAAAAATEBAAAACy0yMDA2MDE4MjQ5AwAAAAMxNjACAAAABjEwMDA1NAQAAAABMAcAAAAJMy8yNS8yMDI01OvGEyIT3gjWs9kVIhPeCB9DSVEuUFJBWC5JUV9NQVJLRVRDQVAuMy8yNi8yMDI0AQAAACx0ZBgCAAAACjgyMy4xNjA1NDEBBgAAAAUAAAABMQEAAAALLTIwMDczNzU0NjkDAAAAAzE2MAIAAAAGMTAwMDU0BAAAAAEwBwAAAAkzLzI2LzIwMjTU68YTIhPeCNaz2RUiE94IHkNJUS5TTFMuSVFfTUFSS0VUQ0FQLjMvMjYvMjAyNAEAAAAqV6EPAgAAAAk1OC40NTQ5MDgBBgAAAAUAAAABMQEAAAALLTIwMjAwNzgyNTEDAAAAAzE2MAIAAAAGMTAwMDU0BAAAAAEwBwAAAAkzLzI2LzIwMjS6xMYTIhPeCNaz2RUiE94IH0NJUS5URUNYLklRX01BUktFVENBUC4zLzI2LzIwMjQBAAAArbhnKgMAAAAAAO07/xMiE94I1rPZFSIT3ggfQ0lRLlZLVFguSVFfTUFSS0VUQ0FQLjMvMjYvMjAyNAEAAADyvLUOAgAAAAs4ODM5LjI2OTA4MgEGAAAABQAAAAExAQAAAAstMjAxMTQ0NDIyNgMAAAADMTYwAgAAAAYxMDAwNTQEAAAAATAHAAAACTMvMjYvMjAyNO07/xMiE94I1rPZFSIT3ggfQ0lRLkNFUlMuSVFfTUFSS0VUQ0FQLjMvMjYvMjAyNAEAAADeZgAAAgAAAAozMTUuNDMxOTQyAQYAAAAFAAAAATEBAAAA</t>
  </si>
  <si>
    <t>Cy0yMDA3MTI4MzYxAwAAAAMxNjACAAAABjEwMDA1NAQAAAABMAcAAAAJMy8yNi8yMDI07Tv/EyIT3gjWs9kVIhPeCB9DSVEuTElUUy5JUV9NQVJLRVRDQVAuMy8yNi8yMDI0AQAAAD3JIQACAAAACTI1LjcxODYyOAEGAAAABQAAAAExAQAAAAstMjAxMDYzMzQzOAMAAAADMTYwAgAAAAYxMDAwNTQEAAAAATAHAAAACTMvMjYvMjAyNLrExhMiE94I1rPZFSIT3ggfQ0lRLk1FSVAuSVFfTUFSS0VUQ0FQLjMvMjYvMjAyNAEAAAA9ySEAAgAAAAkyNS43MTg2MjgBBgAAAAUAAAABMQEAAAALLTIwMTA2MzM0MzgDAAAAAzE2MAIAAAAGMTAwMDU0BAAAAAEwBwAAAAkzLzI2LzIwMjTtO/8TIhPeCNaz2RUiE94IH0NJUS5TVE9LLklRX01BUktFVENBUC4zLzI2LzIwMjQBAAAAHogBDwIAAAAKNDc2LjQ2NTUxNQEGAAAABQAAAAExAQAAAAstMjAwNDg3OTk1NwMAAAADMTYwAgAAAAYxMDAwNTQEAAAAATAHAAAACTMvMjYvMjAyNLrExhMiE94IMUzXFSIT3ggpQ0lRLlNUT0suSVFfUFJJQ0VfVk9MX0hJU1RfNk1USC4zLzI2LzIwMjQBAAAAHogBDwIAAAAIMTA5LjQ4NDQA7Tv/EyIT3ggxTNcVIhPeCCNDSVEuU1RPSy5JUV9MQVNUU0FMRVBSSUNFLjMvMjYvMjAyNAEAAAAeiAEPAgAAAAUxMC4yOQDtO/8TIhPeCDFM1xUiE94IH0NJUS5BVE5NLklRX01BUktFVENBUC4zLzI2LzIwMjQBAAAAm7d3AAIAAAAKMjI1LjQ0NTU3</t>
  </si>
  <si>
    <t>MgEGAAAABQAAAAExAQAAAAstMjAyMTY1MDIyNQMAAAADMTYwAgAAAAYxMDAwNTQEAAAAATAHAAAACTMvMjYvMjAyNO8PxxMiE94IMUzXFSIT3ggjQ0lRLkFUTk0uSVFfTEFTVFNBTEVQUklDRS4zLzI2LzIwMjQBAAAAm7d3AAIAAAAEOC4xMgDtO/8TIhPeCDFM1xUiE94IH0NJUS5aVlJBLklRX01BUktFVENBUC4zLzI2LzIwMjQBAAAAjrvgAwIAAAAKMjM3LjI5NjU2MgEGAAAABQAAAAExAQAAAAstMjAyMDc0NzA1MAMAAAADMTYwAgAAAAYxMDAwNTQEAAAAATAHAAAACTMvMjYvMjAyNO8PxxMiE94IMUzXFSIT3ggpQ0lRLlpWUkEuSVFfUFJJQ0VfVk9MX0hJU1RfNk1USC4zLzI2LzIwMjQBAAAAjrvgAwIAAAAHNTQuOTA5OABdKhUUIhPeCDFM1xUiE94IHkNJUS5NUksuSVFfTUFSS0VUQ0FQLjMvMjYvMjAyNAEAAAD2ZgQAAgAAAA0zMTc4OTcuNDU4ODEzAQYAAAAFAAAAATEBAAAACy0yMDA4NTU3NDE4AwAAAAMxNjACAAAABjEwMDA1NAQAAAABMAcAAAAJMy8yNi8yMDI07w/HEyIT3ggxTNcVIhPeCB9DSVEuQVJHWC5JUV9NQVJLRVRDQVAuMy8yNy8yMDI0AQAAAL3iswMCAAAADDIxODY2LjEyNDc2NAEGAAAABQAAAAExAQAAAAstMjAwNTI0ODAwMgMAAAACNTACAAAABjEwMDA1NAQAAAABMAcAAAAJMy8yNy8yMDI07w/HEyIT3ggxTNcVIhPeCB9DSVEuTVJOQS5JUV9NQVJLRVRDQVAuMy8yNy8yMDI0AQAA</t>
  </si>
  <si>
    <t>APyDqwcCAAAADDQyMzQyLjY1NjI5MQEGAAAABQAAAAExAQAAAAstMjAwODg0NTY4NAMAAAADMTYwAgAAAAYxMDAwNTQEAAAAATAHAAAACTMvMjcvMjAyNHF2xhMiE94IMUzXFSIT3ggfQ0lRLk5WQ1IuSVFfTUFSS0VUQ0FQLjMvMjcvMjAyNAEAAADofB8EAgAAAAsxNTY3Ljg0Nzg0NAEGAAAABQAAAAExAQAAAAstMjAwOTA4MzI1NQMAAAADMTYwAgAAAAYxMDAwNTQEAAAAATAHAAAACTMvMjcvMjAyNLrExhMiE94IMUzXFSIT3ggfQ0lRLlpMQUIuSVFfTUFSS0VUQ0FQLjMvMjcvMjAyNAEAAAB3AikQAgAAAAsxNTk4LjIzNjY5NwEGAAAABQAAAAExAQAAAAstMjAwODQzMDI1MAMAAAADMTYwAgAAAAYxMDAwNTQEAAAAATAHAAAACTMvMjcvMjAyNLrExhMiE94IMUzXFSIT3ggfQ0lRLkFUQUkuSVFfTUFSS0VUQ0FQLjMvMjcvMjAyNAEAAADtN1cqAgAAAAoyOTcuMTU4NzUyAQYAAAAFAAAAATEBAAAACy0yMDE4MTcyMjUyAwAAAAMxNjACAAAABjEwMDA1NAQAAAABMAcAAAAJMy8yNy8yMDI01OvGEyIT3ggxTNcVIhPeCB5DSVEuQUxULklRX01BUktFVENBUC4zLzI3LzIwMjQBAAAA90JKAAIAAAAKNjMwLjI1OTA5MwEGAAAABQAAAAExAQAAAAstMjAwNDM1OTQ5OAMAAAADMTYwAgAAAAYxMDAwNTQEAAAAATAHAAAACTMvMjcvMjAyNLrExhMiE94IMUzXFSIT3ggfQ0lRLkFWVFguSVFfTUFSS0VUQ0FQLjMvMjcv</t>
  </si>
  <si>
    <t>MjAyNAEAAAAITakIAgAAAAgzLjgwNzU5NQEGAAAABQAAAAExAQAAAAstMjAyMDI2NjI2MwMAAAADMTYwAgAAAAYxMDAwNTQEAAAAATAHAAAACTMvMjcvMjAyNO07/xMiE94IMUzXFSIT3ggpQ0lRLkFWVFguSVFfUFJJQ0VfVk9MX0hJU1RfNk1USC4zLzI3LzIwMjQBAAAACE2pCAIAAAAIMTU0LjYwMzgAXSoVFCIT3ggxTNcVIhPeCB9DSVEuVEZGUC5JUV9NQVJLRVRDQVAuMy8yNy8yMDI0AQAAAOo0CwACAAAABzkzNi41NzYBBgAAAAUAAAABMQEAAAALLTIwMTIyMTgzMjgDAAAAAjUwAgAAAAYxMDAwNTQEAAAAATAHAAAACTMvMjcvMjAyNO07/xMiE94IMUzXFSIT3ggfQ0lRLkdNREEuSVFfTUFSS0VUQ0FQLjMvMjcvMjAyNAEAAABAfQgAAgAAAAg5LjExOTgxNgEGAAAABQAAAAExAQAAAAstMjAwNDU3NjYzOAMAAAADMTYwAgAAAAYxMDAwNTQEAAAAATAHAAAACTMvMjcvMjAyNO07/xMiE94IMUzXFSIT3ggfQ0lRLlJFR04uSVFfTUFSS0VUQ0FQLjMvMjcvMjAyNAEAAACzgwAAAgAAAA0xMDM4NDAuNDMwMTA1AQYAAAAFAAAAATEBAAAACy0yMDExNzE0NTYxAwAAAAMxNjACAAAABjEwMDA1NAQAAAABMAcAAAAJMy8yNy8yMDI07Tv/EyIT3ggxTNcVIhPeCB9DSVEuUkFSRS5JUV9NQVJLRVRDQVAuMy8yNy8yMDI0AQAAAPF6AAcCAAAACzM4NTQuOTU2ODY1AQYAAAAFAAAAATEBAAAACy0yMDA5MzMxNTE3AwAA</t>
  </si>
  <si>
    <t>AAMxNjACAAAABjEwMDA1NAQAAAABMAcAAAAJMy8yNy8yMDI0vZ3GEyIT3ggxTNcVIhPeCB9DSVEuTVJFTy5JUV9NQVJLRVRDQVAuMy8yNy8yMDI0AQAAAKpBWxICAAAACjQyMC4wMjk4NTMBBgAAAAUAAAABMQEAAAALLTIwMDQ0MTQzNTADAAAAAzE2MAIAAAAGMTAwMDU0BAAAAAEwBwAAAAkzLzI3LzIwMjTtO/8TIhPeCDFM1xUiE94IH0NJUS5BS0JBLklRX01BUktFVENBUC4zLzI3LzIwMjQBAAAAdygvAgIAAAAKNDY4Ljk5Mzg5NgEGAAAABQAAAAExAQAAAAstMjAwNjE2MjkzMAMAAAADMTYwAgAAAAYxMDAwNTQEAAAAATAHAAAACTMvMjcvMjAyNGFLxhMiE94IMUzXFSIT3gggQ0lRLkNTTExZLklRX01BUktFVENBUC4zLzI3LzIwMjQBAAAAX3MNAAIAAAANMTM4Mzc5LjQxODk0OQEGAAAABQAAAAExAQAAAAstMjAxMDg1MTc5MQMAAAABOQIAAAAGMTAwMDU0BAAAAAEwBwAAAAkzLzI3LzIwMjTtO/8TIhPeCDFM1xUiE94IH0NJUS5SVlBILklRX01BUktFVENBUC4zLzI3LzIwMjQBAAAAlISQBwIAAAAKMTA4Ljg4MjM4NAEGAAAABQAAAAExAQAAAAstMjAxODk0NzgzMwMAAAADMTYwAgAAAAYxMDAwNTQEAAAAATAHAAAACTMvMjcvMjAyNO07/xMiE94IMUzXFSIT3ggfQ0lRLlBUSVguSVFfTUFSS0VUQ0FQLjMvMjcvMjAyNAEAAABzr21wAwAAAAAA7w/HEyIT3ggxTNcVIhPeCClDSVEuUFRJWC5JUV9QUklD</t>
  </si>
  <si>
    <t>RV9WT0xfSElTVF82TVRILjMvMjcvMjAyNAEAAABzr21wAwAAAAAAXSoVFCIT3ggxTNcVIhPeCB9DSVEuUFRJWC5JUV9MQVNUU0FMRVBSSUNFLjQ1Mzc3AQAAAHOvbXADAAAAAADtO/8TIhPeCDFM1xUiE94IH0NJUS5NSVNULklRX01BUktFVENBUC4zLzI4LzIwMjQBAAAAM+0nAgIAAAAKMTA2LjkxMTM5MwEGAAAABQAAAAExAQAAAAstMjAwNTAxMTQ4OQMAAAADMTYwAgAAAAYxMDAwNTQEAAAAATAHAAAACTMvMjgvMjAyNO8PxxMiE94IMUzXFSIT3ggjQ0lRLk1JU1QuSVFfTEFTVFNBTEVQUklDRS4zLzI4LzIwMjQBAAAAM+0nAgIAAAAEMS43OQBdKhUUIhPeCDFM1xUiE94IH0NJUS5JUldELklRX01BUktFVENBUC4zLzI4LzIwMjQBAAAACnsAAAIAAAALMTM2My4zNjQ1MjQBBgAAAAUAAAABMQEAAAALLTIwMTAwMTA4NTEDAAAAAzE2MAIAAAAGMTAwMDU0BAAAAAEwBwAAAAkzLzI4LzIwMjTU68YTIhPeCDFM1xUiE94IHkNJUS5LWVRYLklRX01BUktFVENBUC4zLzgvMjAyNAEAAABhrcomAgAAAAoxMjIxLjc5Mjc1AQYAAAAFAAAAATEBAAAACy0yMDEyOTA5MTg1AwAAAAMxNjACAAAABjEwMDA1NAQAAAABMAcAAAAIMy84LzIwMjTU68YTIhPeCK+R5RUiE94IHUNJUS5OVk8uSVFfTUFSS0VUQ0FQLjMvOC8yMDI0AQAAAHzvBAACAAAADjQwMzg2ODQuNDg3NjY1AQYAAAAFAAAAATEBAAAACy0yMDExOTczODc1</t>
  </si>
  <si>
    <t>AwAAAAI0MgIAAAAGMTAwMDU0BAAAAAEwBwAAAAgzLzgvMjAyNGFLxhMiE94Ir5HlFSIT3ggeQ0lRLkFCT1MuSVFfTUFSS0VUQ0FQLjMvOC8yMDI0AQAAAIFNggACAAAACjI1My4wNjg3MTUBBgAAAAUAAAABMQEAAAALLTIwMTgwODI1NzMDAAAAAzE2MAIAAAAGMTAwMDU0BAAAAAEwBwAAAAgzLzgvMjAyNO07/xMiE94Ir5HlFSIT3ggeQ0lRLk1OS0QuSVFfTUFSS0VUQ0FQLjMvOC8yMDI0AQAAAGaljQACAAAACzE0MjUuMTAzOTkzAQYAAAAFAAAAATEBAAAACy0yMDA3NjM3NzUxAwAAAAMxNjACAAAABjEwMDA1NAQAAAABMAcAAAAIMy84LzIwMjS6xMYTIhPeCK+R5RUiE94IHkNJUS5UTFNBLklRX01BUktFVENBUC4zLzgvMjAyNAEAAAAVHpIPAgAAAAk0OC44NDk5MDcBBgAAAAUAAAABMQEAAAALLTIwMTQxMjAyNjMDAAAAAzE2MAIAAAAGMTAwMDU0BAAAAAEwBwAAAAgzLzgvMjAyNO07/xMiE94Ir5HlFSIT3ggeQ0lRLkFSUVQuSVFfTUFSS0VUQ0FQLjMvOS8yMDI0AQAAAChhuSACAAAACzEyODEuOTI5NTI3AQYAAAAFAAAAATEBAAAACy0yMDA4NDc0MDk3AwAAAAMxNjACAAAABjEwMDA1NAQAAAABMAcAAAAIMy85LzIwMjS9ncYTIhPeCK+R5RUiE94IH0NJUS5NTFRYLklRX01BUktFVENBUC4zLzEwLzIwMjQBAAAANPaJKgIAAAALMjg2Ny43MTIxOTQBBgAAAAUAAAABMQEAAAALLTIwMDc4NTIzOTgDAAAA</t>
  </si>
  <si>
    <t>AzE2MAIAAAAGMTAwMDU0BAAAAAEwBwAAAAkzLzEwLzIwMjRhS8YTIhPeCK+R5RUiE94IH0NJUS5BUlFULklRX01BUktFVENBUC4zLzEwLzIwMjQBAAAAKGG5IAIAAAALMTI4MS45Mjk1MjcBBgAAAAUAAAABMQEAAAALLTIwMDg0NzQwOTcDAAAAAzE2MAIAAAAGMTAwMDU0BAAAAAEwBwAAAAkzLzEwLzIwMjRxdsYTIhPeCK+R5RUiE94IKUNJUS5BUlFULklRX1BSSUNFX1ZPTF9ISVNUXzZNVEguMy8xMC8yMDI0AQAAAChhuSACAAAACDEwOS40NDAxAO07/xMiE94Ir5HlFSIT3ggfQ0lRLkxYUlguSVFfTUFSS0VUQ0FQLjMvMTEvMjAyNAEAAAA9eAAAAgAAAAo2ODUuNzA5MzkzAQYAAAAFAAAAATEBAAAACy0yMDA2NzAyOTAyAwAAAAMxNjACAAAABjEwMDA1NAQAAAABMAcAAAAJMy8xMS8yMDI0YUvGEyIT3givkeUVIhPeCB9DSVEuQU1HTi5JUV9NQVJLRVRDQVAuMy8xMS8yMDI0AQAAAPBgAAACAAAADTE0NzU3MC42Mjg1NzkBBgAAAAUAAAABMQEAAAALLTIwMTAyNzkzNzIDAAAAAzE2MAIAAAAGMTAwMDU0BAAAAAEwBwAAAAkzLzExLzIwMjS6xMYTIhPeCK+R5RUiE94IH0NJUS5JTkNZLklRX01BUktFVENBUC4zLzExLzIwMjQBAAAAmhQFAAIAAAAMMTM2NDguOTQzMzIxAQYAAAAFAAAAATEBAAAACy0yMDEwNTI5MjE0AwAAAAMxNjACAAAABjEwMDA1NAQAAAABMAcAAAAJMy8xMS8yMDI0usTGEyIT3givkeUV</t>
  </si>
  <si>
    <t>IhPeCB9DSVEuQVNMTi5JUV9NQVJLRVRDQVAuMy8xMS8yMDI0BQAAAAAAAAAIAAAAFChJbnZhbGlkIElkZW50aWZpZXIp7Tv/EyIT3givkeUVIhPeCClDSVEuQVNMTi5JUV9QUklDRV9WT0xfSElTVF82TVRILjMvMTEvMjAyNAUAAAAAAAAACAAAABQoSW52YWxpZCBJZGVudGlmaWVyKV0qFRQiE94Ir5HlFSIT3ggfQ0lRLk5SSVguSVFfTUFSS0VUQ0FQLjMvMTEvMjAyNAEAAABMKlUMAgAAAAo2OTAuODczNDA3AQYAAAAFAAAAATEBAAAACy0yMDEwMTg5MTk2AwAAAAMxNjACAAAABjEwMDA1NAQAAAABMAcAAAAJMy8xMS8yMDI0usTGEyIT3givkeUVIhPeCB9DSVEuU09OTi5JUV9NQVJLRVRDQVAuMy8xMS8yMDI0AQAAAJrfdRgCAAAABzYuMzUzODkBBgAAAAUAAAABMQEAAAALLTIwMTAyMzkwOTMDAAAAAzE2MAIAAAAGMTAwMDU0BAAAAAEwBwAAAAkzLzExLzIwMjTtO/8TIhPeCK+R5RUiE94IH0NJUS5BUFJFLklRX01BUktFVENBUC4zLzExLzIwMjQBAAAAq9OoEwIAAAAJMjUuMjk3Mjc2AQYAAAAFAAAAATEBAAAACy0yMDIwMDc2MzI2AwAAAAMxNjACAAAABjEwMDA1NAQAAAABMAcAAAAJMy8xMS8yMDI07Tv/EyIT3gjKKOMVIhPeCB5DSVEuTExZLklRX01BUktFVENBUC4zLzExLzIwMjQBAAAAG1sEAAIAAAANNjYxMDUzLjc2ODYxNQEGAAAABQAAAAExAQAAAAstMjAwOTQwMzU1MgMAAAADMTYwAgAAAAYx</t>
  </si>
  <si>
    <t>MDAwNTQEAAAAATAHAAAACTMvMTEvMjAyNGFLxhMiE94IyijjFSIT3ggoQ0lRLkxMWS5JUV9QUklDRV9WT0xfSElTVF82TVRILjMvMTEvMjAyNAEAAAAbWwQAAgAAAAYyOS4xNzIA7Tv/EyIT3gjKKOMVIhPeCB9DSVEuVlRZWC5JUV9NQVJLRVRDQVAuMy8xMS8yMDI0AQAAAAQUFigCAAAACjQ3Ni4yODI0NjkBBgAAAAUAAAABMQEAAAALLTIwMDg0MjQ4MjcDAAAAAzE2MAIAAAAGMTAwMDU0BAAAAAEwBwAAAAkzLzExLzIwMjTtO/8TIhPeCMoo4xUiE94IH0NJUS5OVkNSLklRX01BUktFVENBUC4zLzExLzIwMjQBAAAA6HwfBAIAAAALMTcxMi40MjM5NzgBBgAAAAUAAAABMQEAAAALLTIwMDkwODMyNTUDAAAAAzE2MAIAAAAGMTAwMDU0BAAAAAEwBwAAAAkzLzExLzIwMjS9ncYTIhPeCMoo4xUiE94IH0NJUS5UVlRYLklRX01BUktFVENBUC4zLzExLzIwMjQBAAAAQdT1BwIAAAAKNjA4LjAyNjg5NQEGAAAABQAAAAExAQAAAAstMjAwOTQ5MzgyOQMAAAADMTYwAgAAAAYxMDAwNTQEAAAAATAHAAAACTMvMTEvMjAyNO07/xMiE94IyijjFSIT3ggfQ0lRLkxHTkQuSVFfTUFSS0VUQ0FQLjMvMTEvMjAyNAEAAABkeAAAAgAAAAsxMjc5LjIwNjk4NgEGAAAABQAAAAExAQAAAAstMjAwNzczMjc0OAMAAAADMTYwAgAAAAYxMDAwNTQEAAAAATAHAAAACTMvMTEvMjAyNGFLxhMiE94IyijjFSIT3ggeQ0lRLkpOSi5JUV9N</t>
  </si>
  <si>
    <t>QVJLRVRDQVAuMy8xMS8yMDI0AQAAAJ0hAgACAAAADDM4ODM2NS41NDAxNwEGAAAABQAAAAExAQAAAAstMjAwOTg4OTk4MwMAAAADMTYwAgAAAAYxMDAwNTQEAAAAATAHAAAACTMvMTEvMjAyNLrExhMiE94IyijjFSIT3ggfQ0lRLlBUR1guSVFfTUFSS0VUQ0FQLjMvMTEvMjAyNAEAAADcZrQHAgAAAAoxNzU1LjI0Mjk0AQYAAAAFAAAAATEBAAAACy0yMDA4NDI0ODIzAwAAAAMxNjACAAAABjEwMDA1NAQAAAABMAcAAAAJMy8xMS8yMDI0usTGEyIT3gjKKOMVIhPeCB9DSVEuQUxNUy5JUV9NQVJLRVRDQVAuMy8xMS8yMDI0AQAAAF97DyoDAAAAAADtO/8TIhPeCMoo4xUiE94IH0NJUS5WVFJTLklRX01BUktFVENBUC4zLzExLzIwMjQBAAAAm20EAAIAAAAMMTQyMTUuMjAyNzE0AQYAAAAFAAAAATEBAAAACy0yMDA3ODMyNDc4AwAAAAMxNjACAAAABjEwMDA1NAQAAAABMAcAAAAJMy8xMS8yMDI0usTGEyIT3gjKKOMVIhPeCB9DSVEuQUNBRC5JUV9NQVJLRVRDQVAuMy8xMS8yMDI0AQAAAMFuCgACAAAACzM5NzUuOTM2ODAyAQYAAAAFAAAAATEBAAAACy0yMDA4MjAwNTQ1AwAAAAMxNjACAAAABjEwMDA1NAQAAAABMAcAAAAJMy8xMS8yMDI07Tv/EyIT3gjKKOMVIhPeCB9DSVEuVEVSTi5JUV9NQVJLRVRDQVAuMy8xMS8yMDI0AQAAAJbkRiECAAAACjQ1OS4xMzMyOTgBBgAAAAUAAAABMQEAAAALLTIwMTkxMzU4</t>
  </si>
  <si>
    <t>NTcDAAAAAzE2MAIAAAAGMTAwMDU0BAAAAAEwBwAAAAkzLzExLzIwMjTtO/8TIhPeCMoo4xUiE94IH0NJUS5MUk1SLklRX01BUktFVENBUC4zLzExLzIwMjQBAAAAF2AdIgIAAAAKNTQ5LjIzNjg4OQEGAAAABQAAAAExAQAAAAstMjAxODg1NjAyOAMAAAADMTYwAgAAAAYxMDAwNTQEAAAAATAHAAAACTMvMTEvMjAyNL2dxhMiE94IyijjFSIT3ggfQ0lRLlBTVFYuSVFfTUFSS0VUQ0FQLjMvMTEvMjAyNAEAAAABCAQAAgAAAAg2Ljg4NDQ5MgEGAAAABQAAAAExAQAAAAstMjAwNzMyNzM5OQMAAAADMTYwAgAAAAYxMDAwNTQEAAAAATAHAAAACTMvMTEvMjAyNO8PxxMiE94IyijjFSIT3ggpQ0lRLlBTVFYuSVFfUFJJQ0VfVk9MX0hJU1RfNk1USC4zLzExLzIwMjQBAAAAAQgEAAIAAAAIMTAzLjI1NDcAXSoVFCIT3gjKKOMVIhPeCB5DSVEuTlZTLklRX01BUktFVENBUC4zLzEyLzIwMjQBAAAAqbXoDwIAAAALMTI1MC40MzE0MTQBBgAAAAUAAAABMQEAAAALLTIwMTg4OTI3OTQDAAAAAzE3NAIAAAAGMTAwMDU0BAAAAAEwBwAAAAkzLzEyLzIwMjTtO/8TIhPeCMoo4xUiE94IHkNJUS5OVlMuSVFfTEFTVFNBTEVQUklDRS40NTM3MAEAAACptegPAgAAAAQ0LjAyAF0qFRQiE94IyijjFSIT3ggeQ0lRLlBGRS5JUV9NQVJLRVRDQVAuMy8xMi8yMDI0AQAAAN55AgACAAAADTE1ODE2Ni4yNjM2ODQBBgAAAAUAAAABMQEA</t>
  </si>
  <si>
    <t>AAALLTIwMDkwODMzNjIDAAAAAzE2MAIAAAAGMTAwMDU0BAAAAAEwBwAAAAkzLzEyLzIwMjTtO/8TIhPeCMoo4xUiE94IH0NJUS5LQU5ULklRX01BUktFVENBUC4zLzEyLzIwMjQFAAAAAAAAAAgAAAAUKEludmFsaWQgSWRlbnRpZmllcilxdsYTIhPeCMoo4xUiE94IH0NJUS5DUk5YLklRX01BUktFVENBUC4zLzEyLzIwMjQBAAAA/1+5EAIAAAALMzE3NS42Mjg1OTIBBgAAAAUAAAABMQEAAAALLTIwMDc3Mjk0MzUDAAAAAzE2MAIAAAAGMTAwMDU0BAAAAAEwBwAAAAkzLzEyLzIwMjRhS8YTIhPeCMoo4xUiE94IKUNJUS5DUk5YLklRX1BSSUNFX1ZPTF9ISVNUXzZNVEguMy8xMi8yMDI0AQAAAP9fuRACAAAABzUyLjkyMDcAXSoVFCIT3gjKKOMVIhPeCB9DSVEuQ1lCTi5JUV9NQVJLRVRDQVAuMy8xMy8yMDI0AQAAAP7LvicCAAAACjE3Mi43MzgzMDgBBgAAAAUAAAABMQEAAAALLTIwMTA0ODg1MzEDAAAAAzE2MAIAAAAGMTAwMDU0BAAAAAEwBwAAAAkzLzEzLzIwMjRxdsYTIhPeCMoo4xUiE94IKUNJUS5DWUJOLklRX1BSSUNFX1ZPTF9ISVNUXzZNVEguMy8xMy8yMDI0AQAAAP7LvicCAAAACDEwMC4zOTI4AO07/xMiE94IyijjFSIT3ggfQ0lRLkNZQk4uSVFfTEFTVFNBTEVQUklDRS40NTM2MwEAAAD+y74nAgAAAAkxNi43MTk5OTMAXSoVFCIT3gjKKOMVIhPeCB5DSVEuU0xOLklRX01BUktFVENBUC4zLzEz</t>
  </si>
  <si>
    <t>LzIwMjQBAAAA8MsCAAIAAAALMTE5MC45MjMxODYBBgAAAAUAAAABMQEAAAALLTIwMDYwMDU5NjQDAAAAAzE2MAIAAAAGMTAwMDU0BAAAAAEwBwAAAAkzLzEzLzIwMjRxdsYTIhPeCMoo4xUiE94IH0NJUS5QUlRDLklRX01BUktFVENBUC4zLzEzLzIwMjQBAAAAFgCNAAIAAAAKNTI4LjUyOTAwMgEGAAAABQAAAAExAQAAAAstMjAyOTYwNTE1NwMAAAACNTUCAAAABjEwMDA1NAQAAAABMAcAAAAJMy8xMy8yMDI0cXbGEyIT3gjKKOMVIhPeCB9DSVEuU0dNTy5JUV9NQVJLRVRDQVAuMy8xMy8yMDI0AQAAAAJMBgACAAAACjE0MC40NTkzNzUBBgAAAAUAAAABMQEAAAALLTIwMDY0MDk5OTIDAAAAAzE2MAIAAAAGMTAwMDU0BAAAAAEwBwAAAAkzLzEzLzIwMjTU68YTIhPeCATB4BUiE94IHkNJUS5MTFkuSVFfTUFSS0VUQ0FQLjMvMTMvMjAyNAEAAAAbWwQAAgAAAA02ODIxODAuNjI4MzA0AQYAAAAFAAAAATEBAAAACy0yMDA5NDAzNTUyAwAAAAMxNjACAAAABjEwMDA1NAQAAAABMAcAAAAJMy8xMy8yMDI0usTGEyIT3ggEweAVIhPeCB9DSVEuWE9NQS5JUV9NQVJLRVRDQVAuMy8xMy8yMDI0AQAAAKGPAAACAAAACjI5Ny43Mzc0MDQBBgAAAAUAAAABMQEAAAALLTIwMDY5NDgyMzADAAAAAzE2MAIAAAAGMTAwMDU0BAAAAAEwBwAAAAkzLzEzLzIwMjRxdsYTIhPeCATB4BUiE94IHkNJUS5UQUsuSVFfTUFSS0VUQ0FQ</t>
  </si>
  <si>
    <t>LjMvMTMvMjAyNAEAAAAsWA0AAgAAAA42NzA1NTQyLjUwMDU3NAEGAAAABQAAAAExAQAAAAstMjAxMTc4NTIzMwMAAAACNzkCAAAABjEwMDA1NAQAAAABMAcAAAAJMy8xMy8yMDI0YUvGEyIT3ggEweAVIhPeCB9DSVEuUEhJTy5JUV9NQVJLRVRDQVAuMy8xMy8yMDI0AQAAADkGZwgCAAAACDIuNDkyMzE1AQYAAAAFAAAAATEBAAAACy0yMDIwMDI5MTI2AwAAAAMxNjACAAAABjEwMDA1NAQAAAABMAcAAAAJMy8xMy8yMDI0usTGEyIT3ggEweAVIhPeCB9DSVEuU1BSQi5JUV9NQVJLRVRDQVAuMy8xMy8yMDI0AQAAAPES5hgCAAAACjIxMi45NDUxOTQBBgAAAAUAAAABMQEAAAALLTIwMDYzMzMxOTMDAAAAAzE2MAIAAAAGMTAwMDU0BAAAAAEwBwAAAAkzLzEzLzIwMjTtO/8TIhPeCATB4BUiE94IH0NJUS5NSVJNLklRX01BUktFVENBUC4zLzEzLzIwMjQBAAAA2mYzIwIAAAALMTI5NC40NzgzODkBBgAAAAUAAAABMQEAAAALLTIwMDgxODYxMDgDAAAAAzE2MAIAAAAGMTAwMDU0BAAAAAEwBwAAAAkzLzEzLzIwMjTtO/8TIhPeCATB4BUiE94IH0NJUS5DQUxDLklRX01BUktFVENBUC4zLzEzLzIwMjQBAAAABmMKAgIAAAAJNDYuNjEyMDk5AQYAAAAFAAAAATEBAAAACy0yMDE4ODExMDM2AwAAAAMxNjACAAAABjEwMDA1NAQAAAABMAcAAAAJMy8xMy8yMDI07w/HEyIT3ggEweAVIhPeCB9DSVEuSU1OTi5JUV9NQVJL</t>
  </si>
  <si>
    <t>RVRDQVAuMy8xMy8yMDI0AQAAAC75AwACAAAACDguMTg2Nzc0AQYAAAAFAAAAATEBAAAACy0yMDE4MDM4NDc1AwAAAAMxNjACAAAABjEwMDA1NAQAAAABMAcAAAAJMy8xMy8yMDI0usTGEyIT3ggEweAVIhPeCB9DSVEuSU9OUy5JUV9NQVJLRVRDQVAuMy8xMy8yMDI0AQAAAFx2AAACAAAACzYyOTAuNjQ3NTU5AQYAAAAFAAAAATEBAAAACy0yMDA5MzIzMTQzAwAAAAMxNjACAAAABjEwMDA1NAQAAAABMAcAAAAJMy8xMy8yMDI07Tv/EyIT3ggEweAVIhPeCB9DSVEuUENSWC5JUV9NQVJLRVRDQVAuMy8xMy8yMDI0AQAAAHRrAAACAAAACzE0MDguNTA4NTY2AQYAAAAFAAAAATEBAAAACy0yMDA3NjM3NjQ5AwAAAAMxNjACAAAABjEwMDA1NAQAAAABMAcAAAAJMy8xMy8yMDI07w/HEyIT3ggEweAVIhPeCB9DSVEuUENSWC5JUV9MQVNUU0FMRVBSSUNFLjQ1MzYzAQAAAHRrAAACAAAABTMwLjU2AF0qFRQiE94IBMHgFSIT3ggfQ0lRLk9DR04uSVFfTUFSS0VUQ0FQLjMvMTMvMjAyNAEAAAC3wBwSAgAAAAoyNjYuNzYyNTMxAQYAAAAFAAAAATEBAAAACy0yMDIwMzkyMzY1AwAAAAMxNjACAAAABjEwMDA1NAQAAAABMAcAAAAJMy8xMy8yMDI0cXbGEyIT3ggEweAVIhPeCB9DSVEuSU1SWC5JUV9NQVJLRVRDQVAuMy8xNC8yMDI0AQAAANUOYRICAAAACTg0LjkyMTQ4OQEGAAAABQAAAAExAQAAAAstMjAwNzc5NTI1NwMA</t>
  </si>
  <si>
    <t>AAADMTYwAgAAAAYxMDAwNTQEAAAAATAHAAAACTMvMTQvMjAyNNTrxhMiE94IBMHgFSIT3ggpQ0lRLklNUlguSVFfUFJJQ0VfVk9MX0hJU1RfNk1USC4zLzE0LzIwMjQBAAAA1Q5hEgIAAAAIMTM5LjA2NzUA7Tv/EyIT3ggEweAVIhPeCB9DSVEuSU1SWC5JUV9MQVNUU0FMRVBSSUNFLjQ1MzY0AQAAANUOYRICAAAABDUuODgAXSoVFCIT3ggEweAVIhPeCB9DSVEuTlZDVC5JUV9NQVJLRVRDQVAuMy8xNC8yMDI0AQAAAKKJGWQCAAAACTE2Mi41ODQ3NAEGAAAABQAAAAExAQAAAAstMjAwNzE1Mzg2OAMAAAADMTYwAgAAAAYxMDAwNTQEAAAAATAHAAAACTMvMTQvMjAyNL2dxhMiE94IBMHgFSIT3ggfQ0lRLk5WQ1QuSVFfTEFTVFNBTEVQUklDRS40NTM3MgEAAACiiRlkAgAAAAQ5LjA1AO07/xMiE94IBMHgFSIT3ggfQ0lRLkdFUk4uSVFfTUFSS0VUQ0FQLjMvMTQvMjAyNAEAAAA4SwMAAgAAAAo5NTUuNjAzNzkxAQYAAAAFAAAAATEBAAAACy0yMDA3ODY0NzU5AwAAAAMxNjACAAAABjEwMDA1NAQAAAABMAcAAAAJMy8xNC8yMDI01OvGEyIT3ggEweAVIhPeCB9DSVEuR0VSTi5JUV9MQVNUU0FMRVBSSUNFLjQ1MzcyAQAAADhLAwACAAAABDMuMzMAXSoVFCIT3ggEweAVIhPeCB9DSVEuTURHTC5JUV9NQVJLRVRDQVAuMy8xNC8yMDI0AQAAAEybowgCAAAACzQ4NDYuNDE1ODA3AQYAAAAFAAAAATEBAAAACy0yMDA4</t>
  </si>
  <si>
    <t>MjIzOTg2AwAAAAMxNjACAAAABjEwMDA1NAQAAAABMAcAAAAJMy8xNC8yMDI0cXbGEyIT3ggEweAVIhPeCB9DSVEuQkdORS5JUV9NQVJLRVRDQVAuMy8xNC8yMDI0AQAAAODk3QYCAAAADDE3NjM3Ljg0MzU5NwEGAAAABQAAAAExAQAAAAstMjAwODcxNzI0NQMAAAADMTYwAgAAAAYxMDAwNTQEAAAAATAHAAAACTMvMTQvMjAyNNTrxhMiE94IBMHgFSIT3ggeQ0lRLk9OQy5JUV9NQVJLRVRDQVAuMy8xNC8yMDI0AQAAAODk3QYCAAAADDE3NjM3Ljg0MzU5NwEGAAAABQAAAAExAQAAAAstMjAwODcxNzI0NQMAAAADMTYwAgAAAAYxMDAwNTQEAAAAATAHAAAACTMvMTQvMjAyNO8PxxMiE94IBMHgFSIT3ggeQ0lRLkJNWS5JUV9NQVJLRVRDQVAuMy8xNC8yMDI0AQAAAMZkAAACAAAADTEwNjE0NC45MzIxNDMBBgAAAAUAAAABMQEAAAALLTIwMTA0ODA5MjADAAAAAzE2MAIAAAAGMTAwMDU0BAAAAAEwBwAAAAkzLzE0LzIwMjRxdsYTIhPeCATB4BUiE94IH0NJUS5BUVNULklRX01BUktFVENBUC4zLzE1LzIwMjQBAAAAqD58AAIAAAAKNDQ2LjQwNDMxNAEGAAAABQAAAAExAQAAAAstMjAwNzMwODk0NwMAAAADMTYwAgAAAAYxMDAwNTQEAAAAATAHAAAACTMvMTUvMjAyNO07/xMiE94IBMHgFSIT3ggfQ0lRLkpTUFIuSVFfTUFSS0VUQ0FQLjMvMTUvMjAyNAEAAABekpUmAgAAAAozNzcuODAyNTEyAQYAAAAFAAAAATEB</t>
  </si>
  <si>
    <t>AAAACy0yMDA2ODI1MjAwAwAAAAMxNjACAAAABjEwMDA1NAQAAAABMAcAAAAJMy8xNS8yMDI0vZ3GEyIT3ggEweAVIhPeCB5DSVEuSk5KLklRX01BUktFVENBUC4zLzE1LzIwMjQBAAAAnSECAAIAAAANMzgxMTc5LjQ4MzQ4MgEGAAAABQAAAAExAQAAAAstMjAwOTg4OTk4MwMAAAADMTYwAgAAAAYxMDAwNTQEAAAAATAHAAAACTMvMTUvMjAyNO07/xMiE94IBMHgFSIT3ggfQ0lRLkxFR04uSVFfTUFSS0VUQ0FQLjMvMTUvMjAyNAEAAABsI/MgAgAAAAwxMTYzOC4xMjcwNDMBBgAAAAUAAAABMQEAAAALLTIwMDY3MDM1MDYDAAAAAzE2MAIAAAAGMTAwMDU0BAAAAAEwBwAAAAkzLzE1LzIwMjRhS8YTIhPeCATB4BUiE94IH0NJUS5PUFROLklRX01BUktFVENBUC4zLzE1LzIwMjQFAAAAAAAAAAgAAAAUKEludmFsaWQgSWRlbnRpZmllcim9ncYTIhPeCODA3hUiE94IH0NJUS5UU1ZULklRX01BUktFVENBUC4zLzE1LzIwMjQFAAAAAAAAAAgAAAAUKEludmFsaWQgSWRlbnRpZmllcintO/8TIhPeCODA3hUiE94IHkNJUS5CTVkuSVFfTUFSS0VUQ0FQLjMvMTUvMjAyNAEAAADGZAAAAgAAAA0xMDU4NDEuNjAzMTMyAQYAAAAFAAAAATEBAAAACy0yMDEwNDgwOTIwAwAAAAMxNjACAAAABjEwMDA1NAQAAAABMAcAAAAJMy8xNS8yMDI0cXbGEyIT3gjgwN4VIhPeCChDSVEuQk1ZLklRX1BSSUNFX1ZPTF9ISVNUXzZNVEgu</t>
  </si>
  <si>
    <t>My8xNS8yMDI0AQAAAMZkAAACAAAABzIxLjg4NjEA7Tv/EyIT3gjgwN4VIhPeCB9DSVEuUEhWUy5JUV9NQVJLRVRDQVAuMy8xNS8yMDI0AQAAAHCLBBgCAAAACzEyNTYuMDA3OTE4AQYAAAAFAAAAATEBAAAACy0yMDIxNTMwMzQ1AwAAAAMxNjACAAAABjEwMDA1NAQAAAABMAcAAAAJMy8xNS8yMDI07w/HEyIT3gjgwN4VIhPeCB9DSVEuV0hXSy5JUV9NQVJLRVRDQVAuMy8xOC8yMDI0AQAAAF+3pBkCAAAACTUyLjA1NDkxNQEGAAAABQAAAAExAQAAAAstMjAwNjI0NDE3MwMAAAADMTYwAgAAAAYxMDAwNTQEAAAAATAHAAAACTMvMTgvMjAyNO07/xMiE94I4MDeFSIT3ggfQ0lRLldIV0suSVFfTEFTVFNBTEVQUklDRS40NTM3NgEAAABft6QZAgAAAAQyLjE3AO07/xMiE94I4MDeFSIT3ggeQ0lRLkFaTi5JUV9NQVJLRVRDQVAuMy8xOC8yMDI0AQAAAIYjBQACAAAADTE1OTUxNi4xNDc4MDIBBgAAAAUAAAABMQEAAAALLTIwMDk1MTcxNDADAAAAAjU1AgAAAAYxMDAwNTQEAAAAATAHAAAACTMvMTgvMjAyNNTrxhMiE94I4MDeFSIT3ggeQ0lRLkFaTi5JUV9MQVNUU0FMRVBSSUNFLjQ1Mzc2AQAAAIYjBQACAAAABjEwMy45NADtO/8TIhPeCODA3hUiE94IH0NJUS5BTEdTLklRX01BUktFVENBUC4zLzE4LzIwMjQBAAAAM56oIgIAAAAINjkuNjE1MDIBBgAAAAUAAAABMQEAAAALLTIwMDY0ODQzODYDAAAAAzE2MAIA</t>
  </si>
  <si>
    <t>AAAGMTAwMDU0BAAAAAEwBwAAAAkzLzE4LzIwMjRxdsYTIhPeCODA3hUiE94IH0NJUS5BTEdTLklRX0xBU1RTQUxFUFJJQ0UuNDUzNjYBAAAAM56oIgIAAAAHMjMuMDM3NQDtO/8TIhPeCODA3hUiE94IHkNJUS5JVkEuSVFfTUFSS0VUQ0FQLjMvMTgvMjAyNAEAAACKh00QAgAAAAkxOTcuNjM2ODMBBgAAAAUAAAABMQEAAAALLTIwMjU1MTYyNDgDAAAAAjUwAgAAAAYxMDAwNTQEAAAAATAHAAAACTMvMTgvMjAyNHF2xhMiE94I4MDeFSIT3ggfQ0lRLlBNVlAuSVFfTUFSS0VUQ0FQLjMvMTgvMjAyNAEAAACX6n0PAgAAAAk4NS45MTA2MjUBBgAAAAUAAAABMQEAAAALLTIwMDc1MTAzOTUDAAAAAzE2MAIAAAAGMTAwMDU0BAAAAAEwBwAAAAkzLzE4LzIwMjTtO/8TIhPeCODA3hUiE94IHkNJUS5NUksuSVFfTUFSS0VUQ0FQLjMvMTgvMjAyNAEAAAD2ZgQAAgAAAA0zMDc1NjQuMjcxODE2AQYAAAAFAAAAATEBAAAACy0yMDA4NTU3NDE4AwAAAAMxNjACAAAABjEwMDA1NAQAAAABMAcAAAAJMy8xOC8yMDI07w/HEyIT3gjgwN4VIhPeCB5DSVEuUEJNLklRX01BUktFVENBUC4zLzE4LzIwMjQBAAAAPEWiKQIAAAAJMTYuNzM3NzkxAQYAAAAFAAAAATEBAAAACy0xOTgzNzIxMTcxAwAAAAMxNjACAAAABjEwMDA1NAQAAAABMAcAAAAJMy8xOC8yMDI0cXbGEyIT3gjgwN4VIhPeCB5DSVEuSk5KLklRX01BUktFVENBUC4z</t>
  </si>
  <si>
    <t>LzE5LzIwMjQBAAAAnSECAAIAAAANMzc2NDMyLjIxMDg2NQEGAAAABQAAAAExAQAAAAstMjAwOTg4OTk4MwMAAAADMTYwAgAAAAYxMDAwNTQEAAAAATAHAAAACTMvMTkvMjAyNHF2xhMiE94I4MDeFSIT3ggfQ0lRLkNSTlguSVFfTUFSS0VUQ0FQLjMvMTkvMjAyNAEAAAD/X7kQAgAAAAszNTIwLjg1NjQzNgEGAAAABQAAAAExAQAAAAstMjAwNzcyOTQzNQMAAAADMTYwAgAAAAYxMDAwNTQEAAAAATAHAAAACTMvMTkvMjAyNO07/xMiE94I4MDeFSIT3ggfQ0lRLkRUSUwuSVFfTUFSS0VUQ0FQLjMvMTkvMjAyNAEAAADo5XECAgAAAAk3OC43Njc0NzIBBgAAAAUAAAABMQEAAAALLTIwMjA4NjMyNTADAAAAAzE2MAIAAAAGMTAwMDU0BAAAAAEwBwAAAAkzLzE5LzIwMjTtO/8TIhPeCODA3hUiE94IH0NJUS5BWFNNLklRX01BUktFVENBUC4zLzE5LzIwMjQBAAAAazdrDgIAAAALMzY0MS42NjgyMDYBBgAAAAUAAAABMQEAAAALLTIwMDkwMDUwMjIDAAAAAzE2MAIAAAAGMTAwMDU0BAAAAAEwBwAAAAkzLzE5LzIwMjTtO/8TIhPeCODA3hUiE94IH0NJUS5DRVJTLklRX01BUktFVENBUC4zLzE5LzIwMjQBAAAA3mYAAAIAAAAKMzY5LjgxNjc1OQEGAAAABQAAAAExAQAAAAstMjAwNzEyODM2MQMAAAADMTYwAgAAAAYxMDAwNTQEAAAAATAHAAAACTMvMTkvMjAyNHF2xhMiE94I4MDeFSIT3ggfQ0lRLlJFR04uSVFfTUFS</t>
  </si>
  <si>
    <t>S0VUQ0FQLjIvMjgvMjAyNAEAAACzgwAAAgAAAA0xMDYxMzAuNDQzMTA5AQYAAAAFAAAAATEBAAAACy0yMDExNzE0NTYxAwAAAAMxNjACAAAABjEwMDA1NAQAAAABMAcAAAAJMi8yOC8yMDI0usTGEyIT3ggIsu4VIhPeCB9DSVEuVkFOSS5JUV9NQVJLRVRDQVAuMi8yOC8yMDI0AQAAAFJzjA8CAAAACjE5MC44MzM3MjQBBgAAAAUAAAABMQEAAAALLTIwMTkzNzk5MjkDAAAAAzE2MAIAAAAGMTAwMDU0BAAAAAEwBwAAAAkyLzI4LzIwMjRhS8YTIhPeCNWK7hUiE94IH0NJUS5BVklSLklRX01BUktFVENBUC4yLzI4LzIwMjQBAAAAWcoRDwIAAAAKMzY3Ljc5OTA2MgEGAAAABQAAAAExAQAAAAstMjAwODE3MDE1NAMAAAADMTYwAgAAAAYxMDAwNTQEAAAAATAHAAAACTIvMjgvMjAyNO07/xMiE94I1YruFSIT3ggfQ0lRLkJMUlguSVFfTUFSS0VUQ0FQLjIvMjgvMjAyNAEAAAAohkwAAgAAAAozNDIuMjc1NTg3AQYAAAAFAAAAATEBAAAACy0yMDE3NzYwMzc2AwAAAAI3MQIAAAAGMTAwMDU0BAAAAAEwBwAAAAkyLzI4LzIwMjTtO/8TIhPeCAZk7hUiE94IH0NJUS5LQU5ULklRX01BUktFVENBUC4yLzI5LzIwMjQFAAAAAAAAAAgAAAAUKEludmFsaWQgSWRlbnRpZmllcinvD8cTIhPeCNI87hUiE94IH0NJUS5JTVVYLklRX01BUktFVENBUC4yLzI5LzIwMjQBAAAAZX4FGAIAAAAKMTMxLjc0NjAwOAEGAAAABQAAAAEx</t>
  </si>
  <si>
    <t>AQAAAAstMjAwOTI5NjE4MQMAAAADMTYwAgAAAAYxMDAwNTQEAAAAATAHAAAACTIvMjkvMjAyNO07/xMiE94I0jzuFSIT3ggfQ0lRLklSV0QuSVFfTUFSS0VUQ0FQLjIvMjkvMjAyNAEAAAAKewAAAgAAAAsxNDc2LjA2NTE1MQEGAAAABQAAAAExAQAAAAstMjAxMDAxMDg1MQMAAAADMTYwAgAAAAYxMDAwNTQEAAAAATAHAAAACTIvMjkvMjAyNO8PxxMiE94IihHuFSIT3ggfQ0lRLkNMTk4uSVFfTUFSS0VUQ0FQLjIvMjkvMjAyNAEAAABkSTsUAgAAAAk1MS42NzQ0MzcBBgAAAAUAAAABMQEAAAALLTIwMjA4NjAyNjMDAAAAAzE2MAIAAAAGMTAwMDU0BAAAAAEwBwAAAAkyLzI5LzIwMjS6xMYTIhPeCOXS7RUiE94IH0NJUS5JTU5OLklRX01BUktFVENBUC4yLzI5LzIwMjQBAAAALvkDAAIAAAAJMTAuNzE1MTgxAQYAAAAFAAAAATEBAAAACy0yMDE4MDM4NDc1AwAAAAMxNjACAAAABjEwMDA1NAQAAAABMAcAAAAJMi8yOS8yMDI01OvGEyIT3gjl0u0VIhPeCB5DSVEuQ1VFLklRX01BUktFVENBUC4yLzI5LzIwMjQBAAAApmboGAIAAAAJOTMuNjMwODA4AQYAAAAFAAAAATEBAAAACy0yMDIxMzc0NjY5AwAAAAMxNjACAAAABjEwMDA1NAQAAAABMAcAAAAJMi8yOS8yMDI0cXbGEyIT3gjKq+0VIhPeCB9DSVEuQ1JERi5JUV9NQVJLRVRDQVAuMi8yOS8yMDI0AQAAALw6pwACAAAACTc4Ljg1NTIwMwEGAAAABQAAAAEx</t>
  </si>
  <si>
    <t>AQAAAAstMjAwNzc5NDMzMAMAAAADMTYwAgAAAAYxMDAwNTQEAAAAATAHAAAACTIvMjkvMjAyNO8PxxMiE94IyqvtFSIT3ggfQ0lRLlRHVFguSVFfTUFSS0VUQ0FQLjIvMjkvMjAyNAEAAABalI8IAgAAAAsyNDkzLjE0MDk0MwEGAAAABQAAAAExAQAAAAstMjAwNzc3NTE5MgMAAAADMTYwAgAAAAYxMDAwNTQEAAAAATAHAAAACTIvMjkvMjAyNHF2xhMiE94IpITtFSIT3ggfQ0lRLlJZVE0uSVFfTUFSS0VUQ0FQLjIvMjkvMjAyNAEAAAAYyW0SAgAAAAsyNjExLjMwMDI5MwEGAAAABQAAAAExAQAAAAstMjAwNzczMjY5OAMAAAADMTYwAgAAAAYxMDAwNTQEAAAAATAHAAAACTIvMjkvMjAyNNTrxhMiE94IpITtFSIT3ggfQ0lRLkFUUkEuSVFfTUFSS0VUQ0FQLjIvMjkvMjAyNAEAAADSLssOAgAAAAk3OS4yOTU1MTEBBgAAAAUAAAABMQEAAAALLTE5Nzc0MjY0OTADAAAAAzE2MAIAAAAGMTAwMDU0BAAAAAEwBwAAAAkyLzI5LzIwMjRxdsYTIhPeCAFe7RUiE94IHkNJUS5DR0VNLklRX01BUktFVENBUC4zLzEvMjAyNAEAAAB/eiYgAgAAAAk3OTEuODY5NzIBBgAAAAUAAAABMQEAAAALLTIwMjA2MjM5MzkDAAAAAzE2MAIAAAAGMTAwMDU0BAAAAAEwBwAAAAgzLzEvMjAyNO8PxxMiE94IyjbtFSIT3ggeQ0lRLkJJVkkuSVFfTUFSS0VUQ0FQLjMvMS8yMDI0AQAAAAOLcg4CAAAACTc1LjQxNDIxMwEGAAAABQAAAAEx</t>
  </si>
  <si>
    <t>AQAAAAstMjAxMDc2OTY0MwMAAAADMTYwAgAAAAYxMDAwNTQEAAAAATAHAAAACDMvMS8yMDI01OvGEyIT3gjKNu0VIhPeCB5DSVEuS1JCUC5JUV9NQVJLRVRDQVAuMy8xLzIwMjQBAAAAQLl/JwIAAAAIMy4wNDAyMzUBBgAAAAUAAAABMQEAAAALLTIwMTg5NDc4MzEDAAAAAzE2MAIAAAAGMTAwMDU0BAAAAAEwBwAAAAgzLzEvMjAyNO07/xMiE94ItA/tFSIT3ggeQ0lRLkxFWFguSVFfTUFSS0VUQ0FQLjMvMS8yMDI0AQAAACt7jwECAAAACTM1LjAzNjgzOAEGAAAABQAAAAExAQAAAAstMjAxMzI2NzI0MAMAAAADMTYwAgAAAAYxMDAwNTQEAAAAATAHAAAACDMvMS8yMDI07Tv/EyIT3gjf6OwVIhPeCB1DSVEuU0xTLklRX01BUktFVENBUC4zLzEvMjAyNAEAAAAqV6EPAgAAAAg0Mi4yNjI4OQEGAAAABQAAAAExAQAAAAstMjAyMDA3ODI1MQMAAAADMTYwAgAAAAYxMDAwNTQEAAAAATAHAAAACDMvMS8yMDI01OvGEyIT3gjWwewVIhPeCB1DSVEuSk5KLklRX01BUktFVENBUC4zLzEvMjAyNAEAAACdIQIAAgAAAA0zOTA1MDkuMzQzMDAzAQYAAAAFAAAAATEBAAAACy0yMDA5ODg5OTgzAwAAAAMxNjACAAAABjEwMDA1NAQAAAABMAcAAAAIMy8xLzIwMjS9ncYTIhPeCNbB7BUiE94IHkNJUS5XSFdLLklRX01BUktFVENBUC4zLzEvMjAyNAEAAABft6QZAgAAAAk0Ny4wODk2NTEBBgAAAAUAAAABMQEAAAALLTIwMjA1</t>
  </si>
  <si>
    <t>MDQ3OTIDAAAAAzE2MAIAAAAGMTAwMDU0BAAAAAEwBwAAAAgzLzEvMjAyNGFLxhMiE94IiJrsFSIT3ggdQ0lRLlJOQS5JUV9NQVJLRVRDQVAuMy80LzIwMjQBAAAAHstSDwIAAAALMTUwNS43ODIyNjgBBgAAAAUAAAABMQEAAAALLTIwMDgxNzIyNzcDAAAAAzE2MAIAAAAGMTAwMDU0BAAAAAEwBwAAAAgzLzQvMjAyNO8PxxMiE94IiJrsFSIT3ggdQ0lRLk5WTy5JUV9NQVJLRVRDQVAuMy80LzIwMjQBAAAAfO8EAAIAAAANMzkxNDYyMy4yNDA0MgEGAAAABQAAAAExAQAAAAstMjAxMTk3Mzg3NQMAAAACNDICAAAABjEwMDA1NAQAAAABMAcAAAAIMy80LzIwMjS6xMYTIhPeCFNz7BUiE94IHkNJUS5BS1JPLklRX01BUktFVENBUC4zLzQvMjAyNAEAAAA4ShUiAgAAAAsxNzQ5LjE2NDE5NQEGAAAABQAAAAExAQAAAAstMjAwODA1MDk2MgMAAAADMTYwAgAAAAYxMDAwNTQEAAAAATAHAAAACDMvNC8yMDI01OvGEyIT3ghETOwVIhPeCB5DSVEuQ0xSQi5JUV9NQVJLRVRDQVAuMy80LzIwMjQBAAAA8+49AgIAAAAKMTI5LjExNjY1MQEGAAAABQAAAAExAQAAAAstMjAxOTU5MzIyMgMAAAADMTYwAgAAAAYxMDAwNTQEAAAAATAHAAAACDMvNC8yMDI0cXbGEyIT3ghETOwVIhPeCB1DSVEuTlZTLklRX01BUktFVENBUC4zLzQvMjAyNAEAAACptegPAgAAAAsxMzAzLjE3OTE0MgEGAAAABQAAAAExAQAAAAstMjAxODg5Mjc5</t>
  </si>
  <si>
    <t>NAMAAAADMTc0AgAAAAYxMDAwNTQEAAAAATAHAAAACDMvNC8yMDI0cXbGEyIT3ghHJewVIhPeCB5DSVEuSU5EUC5JUV9NQVJLRVRDQVAuMy80LzIwMjQBAAAA/UyVEAIAAAAJMTkuODI2NDM3AQYAAAAFAAAAATEBAAAACy0yMDIwOTE2MzE2AwAAAAMxNjACAAAABjEwMDA1NAQAAAABMAcAAAAIMy80LzIwMjRxdsYTIhPeCEcl7BUiE94IHkNJUS5CQ0RBLklRX01BUktFVENBUC4zLzQvMjAyNAEAAABnLpUAAgAAAAkxMS43OTMyMjkBBgAAAAUAAAABMQEAAAALLTIwMjA0NjkyNjUDAAAAAzE2MAIAAAAGMTAwMDU0BAAAAAEwBwAAAAgzLzQvMjAyNO8PxxMiE94IQ/7rFSIT3ggeQ0lRLlZUVlQuSVFfTUFSS0VUQ0FQLjMvNC8yMDI0AQAAAB2jHxICAAAACTM1LjA0NTU1MwEGAAAABQAAAAExAQAAAAstMjAyMDAyOTE3NwMAAAADMTYwAgAAAAYxMDAwNTQEAAAAATAHAAAACDMvNC8yMDI07w/HEyIT3gg21+sVIhPeCB5DSVEuTE5USC5JUV9NQVJLRVRDQVAuMy80LzIwMjQBAAAAeGt+AAIAAAAKNDQ3OC44MzAzNAEGAAAABQAAAAExAQAAAAstMjAwOTE2OTQ1MAMAAAADMTYwAgAAAAYxMDAwNTQEAAAAATAHAAAACDMvNC8yMDI01OvGEyIT3gg21+sVIhPeCB5DSVEuTVRFTS5JUV9NQVJLRVRDQVAuMy80LzIwMjQBAAAAmZupAQIAAAAJMjAuNjkwOTMyAQYAAAAFAAAAATEBAAAACy0yMDE5NDUzODUxAwAAAAMxNjAC</t>
  </si>
  <si>
    <t>AAAABjEwMDA1NAQAAAABMAcAAAAIMy80LzIwMjS9ncYTIhPeCNSr6xUiE94IHkNJUS5OUlhQLklRX01BUktFVENBUC4zLzQvMjAyNAEAAAAVegkTAgAAAAk0Ny4zMjQ2MzgBBgAAAAUAAAABMQEAAAALLTIwMTg5NzAzOTMDAAAAAzE2MAIAAAAGMTAwMDU0BAAAAAEwBwAAAAgzLzQvMjAyNO8PxxMiE94I1KvrFSIT3ggeQ0lRLlBDVlguSVFfTUFSS0VUQ0FQLjMvNC8yMDI0AQAAAPoTVBICAAAACzc3NTYuNTczMDgyAQYAAAAFAAAAATEBAAAACy0yMDA4NDI0ODE0AwAAAAMxNjACAAAABjEwMDA1NAQAAAABMAcAAAAIMy80LzIwMjTtO/8TIhPeCF+E6xUiE94IHUNJUS5HU0suSVFfTUFSS0VUQ0FQLjMvNC8yMDI0AQAAAPIzBAACAAAADDY3NjgyLjkzMDQ2NwEGAAAABQAAAAExAQAAAAstMjAwNzcxMDQ3MQMAAAACNTUCAAAABjEwMDA1NAQAAAABMAcAAAAIMy80LzIwMjS6xMYTIhPeCFld6xUiE94IHUNJUS5QRkUuSVFfTUFSS0VUQ0FQLjMvNC8yMDI0AQAAAN55AgACAAAADTE0NjE5NS4wOTM0MjMBBgAAAAUAAAABMQEAAAALLTIwMDkwODMzNjIDAAAAAzE2MAIAAAAGMTAwMDU0BAAAAAEwBwAAAAgzLzQvMjAyNL2dxhMiE94IbTbrFSIT3ggnQ0lRLlBGRS5JUV9QUklDRV9WT0xfSElTVF82TVRILjMvNC8yMDI0AQAAAN55AgACAAAABzI2LjQ1NTYA7Tv/EyIT3ghtNusVIhPeCB5DSVEuUEZFLklRX0xBU1RT</t>
  </si>
  <si>
    <t>QUxFUFJJQ0UuNDUzNTIBAAAA3nkCAAIAAAAFMjYuNTkA7Tv/EyIT3ghtNusVIhPeCB5DSVEuQVBHRS5JUV9NQVJLRVRDQVAuMy81LzIwMjQBAAAAlftGbAIAAAALMjg3Ny4xOTYwMzIBBgAAAAUAAAABMQEAAAALLTIwMDczODYwMTQDAAAAAzE2MAIAAAAGMTAwMDU0BAAAAAEwBwAAAAgzLzUvMjAyNHF2xhMiE94IbTbrFSIT3ggdQ0lRLkdTSy5JUV9NQVJLRVRDQVAuMy81LzIwMjQBAAAA8jMEAAIAAAAMNjgzMTYuMDEyMjAxAQYAAAAFAAAAATEBAAAACy0yMDA3NzEwNDcxAwAAAAI1NQIAAAAGMTAwMDU0BAAAAAEwBwAAAAgzLzUvMjAyNNTrxhMiE94IUA/rFSIT3ggdQ0lRLk5WTy5JUV9NQVJLRVRDQVAuMy81LzIwMjQBAAAAfO8EAAIAAAAOMzgxNTU1Mi43NDgwMTUBBgAAAAUAAAABMQEAAAALLTIwMTE5NzM4NzUDAAAAAjQyAgAAAAYxMDAwNTQEAAAAATAHAAAACDMvNS8yMDI0vZ3GEyIT3ghq6OoVIhPeCB5DSVEuQ0FTSS5JUV9NQVJLRVRDQVAuMy81LzIwMjQBAAAAJWoFAAIAAAAINzUuMzk5NzMBBgAAAAUAAAABMQEAAAALLTIwMTkxNDc1MjgDAAAAAzE2MAIAAAAGMTAwMDU0BAAAAAEwBwAAAAgzLzUvMjAyNHF2xhMiE94IaujqFSIT3ggfQ0lRLkNBU0kuSVFfTEFTVFNBTEVQUklDRS40NTM2MwEAAAAlagUAAgAAAAM0LjEA7Tv/EyIT3ghq6OoVIhPeCB5DSVEuTU5QUi5JUV9NQVJLRVRDQVAuMy81</t>
  </si>
  <si>
    <t>LzIwMjQBAAAAS6YkEgIAAAAJMTUuNzU4Mzg0AQYAAAAFAAAAATEBAAAACy0yMDIwMjY2OTk3AwAAAAMxNjACAAAABjEwMDA1NAQAAAABMAcAAAAIMy81LzIwMjRxdsYTIhPeCEfB6hUiE94IH0NJUS5NTlBSLklRX0xBU1RTQUxFUFJJQ0UuNDUzNjMBAAAAS6YkEgIAAAAENC4xMwBdKhUUIhPeCEfB6hUiE94IHkNJUS5BTE5ZLklRX01BUktFVENBUC4zLzUvMjAyNAEAAABzrCoAAgAAAAwxODg1MS41NjYyOTYBBgAAAAUAAAABMQEAAAALLTIwMTAwNzc3MTUDAAAAAzE2MAIAAAAGMTAwMDU0BAAAAAEwBwAAAAgzLzUvMjAyNLrExhMiE94IRJrqFSIT3ggeQ0lRLlJHTlguSVFfTUFSS0VUQ0FQLjMvNS8yMDI0AQAAAFRvyQcCAAAACzEwOTMuMzYyMTI5AQYAAAAFAAAAATEBAAAACy0yMDA4NDI4NjM5AwAAAAMxNjACAAAABjEwMDA1NAQAAAABMAcAAAAIMy81LzIwMjRxdsYTIhPeCESa6hUiE94IHkNJUS5DUlZPLklRX01BUktFVENBUC4zLzUvMjAyNAEAAAD1krkQAgAAAAk4MC4yMTYyMjcBBgAAAAUAAAABMQEAAAALLTIwMTk2MjI2OTEDAAAAAzE2MAIAAAAGMTAwMDU0BAAAAAEwBwAAAAgzLzUvMjAyNO8PxxMiE94I/G7qFSIT3ggeQ0lRLkdBTlguSVFfTUFSS0VUQ0FQLjMvNS8yMDI0AQAAANvQDCECAAAACTc1LjQ4OTA1NQEGAAAABQAAAAExAQAAAAstMjAxODk5MjUwMgMAAAADMTYwAgAAAAYxMDAwNTQE</t>
  </si>
  <si>
    <t>AAAAATAHAAAACDMvNS8yMDI07w/HEyIT3gj8buoVIhPeCB5DSVEuSU1NUC5JUV9NQVJLRVRDQVAuMy81LzIwMjQBAAAAFUJmAAIAAAAKNDUxLjc1NzEzMgEGAAAABQAAAAExAQAAAAstMjAwODQxNTc1MAMAAAABOQIAAAAGMTAwMDU0BAAAAAEwBwAAAAgzLzUvMjAyNNTrxhMiE94Ij/nnFSIT3ggdQ0lRLkxMWS5JUV9NQVJLRVRDQVAuMy81LzIwMjQBAAAAG1sEAAIAAAANNjk5OTU4Ljg3NjIzMQEGAAAABQAAAAExAQAAAAstMjAwOTQwMzU1MgMAAAADMTYwAgAAAAYxMDAwNTQEAAAAATAHAAAACDMvNS8yMDI0YUvGEyIT3giP+ecVIhPeCB5DSVEuTktUUi5JUV9NQVJLRVRDQVAuMy81LzIwMjQBAAAA6XQAAAIAAAAKMTYyLjMzNjQ5NQEGAAAABQAAAAExAQAAAAstMjAwNjcwMTkwNAMAAAADMTYwAgAAAAYxMDAwNTQEAAAAATAHAAAACDMvNS8yMDI07w/HEyIT3giP+ecVIhPeCB5DSVEuT05DWS5JUV9NQVJLRVRDQVAuMy81LzIwMjQBAAAAV3UUAAIAAAAHNzcuNjU4OQEGAAAABQAAAAExAQAAAAstMjAyMTM4MDc1MwMAAAADMTYwAgAAAAYxMDAwNTQEAAAAATAHAAAACDMvNS8yMDI0usTGEyIT3giP+ecVIhPeCB5DSVEuTElQTy5JUV9NQVJLRVRDQVAuMy81LzIwMjQBAAAAh+YjAgIAAAAINS4wNDg3NzYBBgAAAAUAAAABMQEAAAALLTIwMDg0MDQ4NTYDAAAAAzE2MAIAAAAGMTAwMDU0BAAAAAEwBwAAAAgz</t>
  </si>
  <si>
    <t>LzUvMjAyNO07/xMiE94Ij/nnFSIT3ggeQ0lRLklCUlguSVFfTUFSS0VUQ0FQLjMvNS8yMDI0AQAAAAfCDxICAAAACzMyMzAuOTk1ODQ5AQYAAAAFAAAAATEBAAAACy0yMDIwMzk0NTk0AwAAAAMxNjACAAAABjEwMDA1NAQAAAABMAcAAAAIMy81LzIwMjS6xMYTIhPeCI/55xUiE94IHUNJUS5PUEsuSVFfTUFSS0VUQ0FQLjMvNS8yMDI0AQAAAI+5/QECAAAACjY1MS42MTc1MTkBBgAAAAUAAAABMQEAAAALLTIwMDc2Mzc0NTADAAAAAzE2MAIAAAAGMTAwMDU0BAAAAAEwBwAAAAgzLzUvMjAyNO07/xMiE94Ij/nnFSIT3ggeQ0lRLkdJTEQuSVFfTUFSS0VUQ0FQLjMvNS8yMDI0AQAAAEpxAAACAAAADDkwOTI5LjA4OTIyMgEGAAAABQAAAAExAQAAAAstMjAwODc4Njc0MgMAAAADMTYwAgAAAAYxMDAwNTQEAAAAATAHAAAACDMvNS8yMDI07Tv/EyIT3giP+ecVIhPeCB1DSVEuTlZTLklRX01BUktFVENBUC4zLzUvMjAyNAEAAACptegPAgAAAAsxMzAzLjE3OTE0MgEGAAAABQAAAAExAQAAAAstMjAxODg5Mjc5NAMAAAADMTc0AgAAAAYxMDAwNTQEAAAAATAHAAAACDMvNS8yMDI0usTGEyIT3giP+ecVIhPeCB5DSVEuQlRBSS5JUV9NQVJLRVRDQVAuMy82LzIwMjQBAAAADS9mIAIAAAAJODkuOTMwNDM2AQYAAAAFAAAAATEBAAAACy0yMDE5MzgwMTMwAwAAAAMxNjACAAAABjEwMDA1NAQAAAABMAcAAAAIMy82LzIw</t>
  </si>
  <si>
    <t>MjRhS8YTIhPeCI/55xUiE94IHkNJUS5WTkRBLklRX01BUktFVENBUC4zLzYvMjAyNAEAAAAjh3YBAgAAAAoyMjQuOTcxNjIxAQYAAAAFAAAAATEBAAAACy0yMDExMzA5MTI2AwAAAAMxNjACAAAABjEwMDA1NAQAAAABMAcAAAAIMy82LzIwMjRhS8YTIhPeCI/55xUiE94IHkNJUS5CTUVBLklRX01BUktFVENBUC4zLzYvMjAyNAEAAADHmHEpAgAAAAo1NjQuMTUxNDE5AQYAAAAFAAAAATEBAAAACy0yMDIyMzYwNzU5AwAAAAMxNjACAAAABjEwMDA1NAQAAAABMAcAAAAIMy82LzIwMjS9ncYTIhPeCI/55xUiE94IHkNJUS5YT01BLklRX01BUktFVENBUC4zLzYvMjAyNAEAAAChjwAAAgAAAAgyODcuMTk1MgEGAAAABQAAAAExAQAAAAstMjAyMDg2MTc4MwMAAAADMTYwAgAAAAYxMDAwNTQEAAAAATAHAAAACDMvNi8yMDI0usTGEyIT3giP+ecVIhPeCB5DSVEuUlpMVC5JUV9NQVJLRVRDQVAuMy82LzIwMjQBAAAAIQmbCgIAAAAJNzEuMTI3MzYxAQYAAAAFAAAAATEBAAAACy0yMDEwNjMwMzUzAwAAAAMxNjACAAAABjEwMDA1NAQAAAABMAcAAAAIMy82LzIwMjS9ncYTIhPeCI/55xUiE94IHkNJUS5LVVJBLklRX01BUktFVENBUC4zLzYvMjAyNAEAAAC4y9oQAgAAAAoxNzI4LjMwOTA2AQYAAAAFAAAAATEBAAAACy0yMDA4NDI0ODMwAwAAAAMxNjACAAAABjEwMDA1NAQAAAABMAcAAAAIMy82LzIwMjTvD8cTIhPe</t>
  </si>
  <si>
    <t>CI/55xUiE94IHUNJUS5CTVkuSVFfTUFSS0VUQ0FQLjMvNi8yMDI0AQAAAMZkAAACAAAADTEwNzk0NC42ODQyNzkBBgAAAAUAAAABMQEAAAALLTIwMTA0ODA5MjADAAAAAzE2MAIAAAAGMTAwMDU0BAAAAAEwBwAAAAgzLzYvMjAyNO07/xMiE94Ij/nnFSIT3ggeQ0lRLkFTTE4uSVFfTUFSS0VUQ0FQLjMvNi8yMDI0BQAAAAAAAAAIAAAAFChJbnZhbGlkIElkZW50aWZpZXIpusTGEyIT3giP+ecVIhPeCB9DSVEuQVNMTi5JUV9MQVNUU0FMRVBSSUNFLjQ1MzY0BQAAAAAAAAAIAAAAFChJbnZhbGlkIElkZW50aWZpZXIp7Tv/EyIT3giP+ecVIhPeCB5DSVEuQ09ZQS5JUV9NQVJLRVRDQVAuMy82LzIwMjQBAAAAq8q8KQIAAAAKMTM5LjI5OTQ5MwEGAAAABQAAAAExAQAAAAstMjAyMDU2NDgzNwMAAAADMTYwAgAAAAYxMDAwNTQEAAAAATAHAAAACDMvNi8yMDI0cXbGEyIT3giP+ecVIhPeCChDSVEuQ09ZQS5JUV9QUklDRV9WT0xfSElTVF82TVRILjMvNi8yMDI0AQAAAKvKvCkCAAAABzgxLjYwNzMA7Tv/EyIT3giP+ecVIhPeCB1DSVEuQkhDLklRX01BUktFVENBUC4zLzYvMjAyNAEAAACzRgUAAgAAAAszMzcyLjc1MjMyNgEGAAAABQAAAAExAQAAAAstMjAwODc4Mjg0NQMAAAADMTYwAgAAAAYxMDAwNTQEAAAAATAHAAAACDMvNi8yMDI01OvGEyIT3giP+ecVIhPeCB5DSVEuUkVHTi5JUV9NQVJLRVRDQVAuMy82</t>
  </si>
  <si>
    <t>LzIwMjQBAAAAs4MAAAIAAAANMTA0NDYzLjcwOTEwMgEGAAAABQAAAAExAQAAAAstMjAxMTcxNDU2MQMAAAADMTYwAgAAAAYxMDAwNTQEAAAAATAHAAAACDMvNi8yMDI07Tv/EyIT3giP+ecVIhPeCB5DSVEuTUFJQS5JUV9NQVJLRVRDQVAuMy82LzIwMjQBAAAAdfKfJQIAAAAJMjQuOTY5NzkzAQYAAAAFAAAAATEBAAAACy0yMDIwODQ4Nzg0AwAAAAMxNjACAAAABjEwMDA1NAQAAAABMAcAAAAIMy82LzIwMjTtO/8TIhPeCI/55xUiE94IHkNJUS5HSUxELklRX01BUktFVENBUC4zLzYvMjAyNAEAAABKcQAAAgAAAAs5MDQ4MC42MTAzNgEGAAAABQAAAAExAQAAAAstMjAwODc4Njc0MgMAAAADMTYwAgAAAAYxMDAwNTQEAAAAATAHAAAACDMvNi8yMDI0usTGEyIT3giP+ecVIhPeCB1DSVEuTVJLLklRX01BUktFVENBUC4zLzYvMjAyNAEAAAD2ZgQAAgAAAAwzMTM0MTQuNjc5MTYBBgAAAAUAAAABMQEAAAALLTIwMDg1NTc0MTgDAAAAAzE2MAIAAAAGMTAwMDU0BAAAAAEwBwAAAAgzLzYvMjAyNO07/xMiE94Ij/nnFSIT3ggeQ0lRLk1SSy5JUV9MQVNUU0FMRVBSSUNFLjQ1MzY0AQAAAPZmBAACAAAABjEyMi4xNgBdKhUUIhPeCI/55xUiE94IHUNJUS5HU0suSVFfTUFSS0VUQ0FQLjMvNi8yMDI0AQAAAPIzBAACAAAADDY3OTAyLjA3NDE0NAEGAAAABQAAAAExAQAAAAstMjAwNzcxMDQ3MQMAAAACNTUCAAAABjEw</t>
  </si>
  <si>
    <t>MDA1NAQAAAABMAcAAAAIMy82LzIwMjTtO/8TIhPeCI/55xUiE94IJ0NJUS5HU0suSVFfUFJJQ0VfVk9MX0hJU1RfNk1USC4zLzYvMjAyNAEAAADyMwQAAgAAAAcxNy44NzY0AO07/xMiE94Ij/nnFSIT3ggeQ0lRLlpMQUIuSVFfTUFSS0VUQ0FQLjMvNi8yMDI0AQAAAHcCKRACAAAACzE5NTQuNjA2OTU1AQYAAAAFAAAAATEBAAAACy0yMDA4NDMwMjUwAwAAAAMxNjACAAAABjEwMDA1NAQAAAABMAcAAAAIMy82LzIwMjTtO/8TIhPeCI/55xUiE94IHUNJUS5EWU4uSVFfTUFSS0VUQ0FQLjMvNi8yMDI0AQAAAAIGSCQCAAAACzIxOTQuODM3MDYxAQYAAAAFAAAAATEBAAAACy0yMDA3Mzc1NDY2AwAAAAMxNjACAAAABjEwMDA1NAQAAAABMAcAAAAIMy82LzIwMjTvD8cTIhPeCK+R5RUiE94IHUNJUS5CTVkuSVFfTUFSS0VUQ0FQLjMvNy8yMDI0AQAAAMZkAAACAAAADTEwNzc0Mi40NjQ5MzgBBgAAAAUAAAABMQEAAAALLTIwMTA0ODA5MjADAAAAAzE2MAIAAAAGMTAwMDU0BAAAAAEwBwAAAAgzLzcvMjAyNO07/xMiE94Ir5HlFSIT3ggeQ0lRLk1OTUQuSVFfTUFSS0VUQ0FQLjMvNy8yMDI0AQAAAKL8nCUCAAAACjM3Mi4wMDg3NjMBBgAAAAUAAAABMQEAAAALLTIwMDc1Nzc1NjIDAAAAAzE2MAIAAAAGMTAwMDU0BAAAAAEwBwAAAAgzLzcvMjAyNNTrxhMiE94Ir5HlFSIT3ggeQ0lRLkZCSU8uSVFfTUFSS0VUQ0FQ</t>
  </si>
  <si>
    <t>LjMvNy8yMDI0AQAAAAnyrQMCAAAACTM4LjAzOTg3MwEGAAAABQAAAAExAQAAAAstMjAxODM4OTA2MwMAAAADMTYwAgAAAAYxMDAwNTQEAAAAATAHAAAACDMvNy8yMDI07Tv/EyIT3givkeUVIhPeCB5DSVEuTUJJTy5JUV9NQVJLRVRDQVAuMy83LzIwMjQBAAAAMNl3EwIAAAAJNzAuMzAxMTI3AQYAAAAFAAAAATEBAAAACy0yMDE4OTcwMjgyAwAAAAMxNjACAAAABjEwMDA1NAQAAAABMAcAAAAIMy83LzIwMjS6xMYTIhPeCK+R5RUiE94IHUNJUS5HU0suSVFfTUFSS0VUQ0FQLjMvNy8yMDI0AQAAAPIzBAACAAAADDY5NDQ0LjE5NjMxNgEGAAAABQAAAAExAQAAAAstMjAwNzcxMDQ3MQMAAAACNTUCAAAABjEwMDA1NAQAAAABMAcAAAAIMy83LzIwMjTU68YTIhPeCK+R5RUiE94IHkNJUS5JTVJOLklRX01BUktFVENBUC4zLzcvMjAyNAEAAADzTHUAAgAAAAkyOC40NzQ3OTMBBgAAAAUAAAABMQEAAAALLTIwMDg0MDg1ODQDAAAAATkCAAAABjEwMDA1NAQAAAABMAcAAAAIMy83LzIwMjS6xMYTIhPeCK+R5RUiE94IHkNJUS5URUxPLklRX01BUktFVENBUC4zLzcvMjAyNAEAAADE4yxtAgAAAAoyNTcuNjA1MzgyAQYAAAAFAAAAATEBAAAACy0yMDE4NTg2MzY2AwAAAAMxNjACAAAABjEwMDA1NAQAAAABMAcAAAAIMy83LzIwMjS9ncYTIhPeCK+R5RUiE94IHkNJUS5BUFZPLklRX01BUktFVENBUC4zLzcvMjAyNAEA</t>
  </si>
  <si>
    <t>AACU7r4TAgAAAAgzLjUxNjQ4NAEGAAAABQAAAAExAQAAAAstMjAwNzM2NTkzNwMAAAADMTYwAgAAAAYxMDAwNTQEAAAAATAHAAAACDMvNy8yMDI07w/HEyIT3givkeUVIhPeCB5DSVEuQVRIQS5JUV9NQVJLRVRDQVAuMy84LzIwMjQBAAAAHBHbDwIAAAAKMTM3LjIwOTQwNwEGAAAABQAAAAExAQAAAAstMjAwOTIwNTcyNwMAAAADMTYwAgAAAAYxMDAwNTQEAAAAATAHAAAACDMvOC8yMDI0vZ3GEyIT3givkeUVIhPeCB5DSVEuQU1MWC5JUV9NQVJLRVRDQVAuMy84LzIwMjQBAAAABqDnEgIAAAAKMjI3Ljc0Nzk4NwEGAAAABQAAAAExAQAAAAstMjAwOTI5MTUzMwMAAAADMTYwAgAAAAYxMDAwNTQEAAAAATAHAAAACDMvOC8yMDI07Tv/EyIT3givkeUVIhPeCB5DSVEuVEFLLklRX01BUktFVENBUC4yLzEzLzIwMjQBAAAALFgNAAIAAAANNjgyNDc4MC4wMzY4NQEGAAAABQAAAAExAQAAAAstMjAxMTc4NTIzMwMAAAACNzkCAAAABjEwMDA1NAQAAAABMAcAAAAJMi8xMy8yMDI0cXbGEyIT3ghdR/YVIhPeCB5DSVEuT1BULklRX01BUktFVENBUC4yLzE0LzIwMjQBAAAA2t8lAAIAAAAKMzc3LjgwMDkyMQEGAAAABQAAAAExAQAAAAstMjAyNTIwNzk2NwMAAAABOQIAAAAGMTAwMDU0BAAAAAEwBwAAAAkyLzE0LzIwMjRhS8YTIhPeCF1H9hUiE94IH0NJUS5LUkJQLklRX01BUktFVENBUC4yLzE0LzIwMjQBAAAAQLl/</t>
  </si>
  <si>
    <t>JwIAAAAIMy4yNjY3MDEBBgAAAAUAAAABMQEAAAALLTIwMTg5NDc4MzEDAAAAAzE2MAIAAAAGMTAwMDU0BAAAAAEwBwAAAAkyLzE0LzIwMjS9ncYTIhPeCNbX8xUiE94IH0NJUS5EVElMLklRX01BUktFVENBUC4yLzE0LzIwMjQBAAAA6OVxAgIAAAAJNDguNzI2ODMyAQYAAAAFAAAAATEBAAAACy0yMDIwODYzMjUwAwAAAAMxNjACAAAABjEwMDA1NAQAAAABMAcAAAAJMi8xNC8yMDI01OvGEyIT3gjW1/MVIhPeCB9DSVEuR0xTSS5JUV9NQVJLRVRDQVAuMi8xNC8yMDI0AQAAAEZQ8CYCAAAACjEzMS4wNTEyODMBBgAAAAUAAAABMQEAAAALLTIwMjM1OTYyNTEDAAAAAzE2MAIAAAAGMTAwMDU0BAAAAAEwBwAAAAkyLzE0LzIwMjRxdsYTIhPeCNbX8xUiE94IH0NJUS5BUlZOLklRX01BUktFVENBUC4yLzE0LzIwMjQBAAAAgIJ8DgIAAAALMzM1Ny4xMTA5NzYBBgAAAAUAAAABMQEAAAALLTIwMjA0NDc5NTQDAAAAAzE2MAIAAAAGMTAwMDU0BAAAAAEwBwAAAAkyLzE0LzIwMjRhS8YTIhPeCNbX8xUiE94IHkNJUS5BWk4uSVFfTUFSS0VUQ0FQLjIvMTQvMjAyNAEAAACGIwUAAgAAAA0xNTA3NDAuNDExMjI3AQYAAAAFAAAAATEBAAAACy0yMDA5NTg2MjYzAwAAAAI1NQIAAAAGMTAwMDU0BAAAAAEwBwAAAAkyLzE0LzIwMjTtO/8TIhPeCNbX8xUiE94IHkNJUS5BSU0uSVFfTUFSS0VUQ0FQLjIvMTQvMjAyNAEAAABz</t>
  </si>
  <si>
    <t>oK4oAgAAAAk1OS41MTIwMDMBBgAAAAUAAAABMQEAAAALLTIwMjgyNDg5NzYDAAAAATkCAAAABjEwMDA1NAQAAAABMAcAAAAJMi8xNC8yMDI07Tv/EyIT3gjW1/MVIhPeCB9DSVEuQVRSQS5JUV9NQVJLRVRDQVAuMi8xNC8yMDI0AQAAANIuyw4CAAAACTc4LjUwMDUxNwEGAAAABQAAAAExAQAAAAstMTk3NzQyNjQ5MAMAAAADMTYwAgAAAAYxMDAwNTQEAAAAATAHAAAACTIvMTQvMjAyNLrExhMiE94I1tfzFSIT3ggfQ0lRLkFOVlMuSVFfTUFSS0VUQ0FQLjIvMTQvMjAyNAEAAAAv0R0lAgAAAAoxMDkuNzEzOTA1AQYAAAAFAAAAATEBAAAACy0yMDIwNDc3NDMyAwAAAAMxNjACAAAABjEwMDA1NAQAAAABMAcAAAAJMi8xNC8yMDI0vZ3GEyIT3gjW1/MVIhPeCB9DSVEuU0lMTy5JUV9NQVJLRVRDQVAuMi8xNC8yMDI0AQAAABovtAcCAAAACDQuODc3MzQyAQYAAAAFAAAAATEBAAAACy0yMDE5MzgwMDE3AwAAAAMxNjACAAAABjEwMDA1NAQAAAABMAcAAAAJMi8xNC8yMDI07w/HEyIT3gjW1/MVIhPeCB9DSVEuSU5LVC5JUV9NQVJLRVRDQVAuMi8xNC8yMDI0AQAAAMTRFmQCAAAACTM0LjUwNTczMgEGAAAABQAAAAExAQAAAAstMjAxNzczODc1OAMAAAADMTYwAgAAAAYxMDAwNTQEAAAAATAHAAAACTIvMTQvMjAyNO8PxxMiE94I1tfzFSIT3ggfQ0lRLkFNUEUuSVFfTUFSS0VUQ0FQLjIvMTQvMjAyNAEAAAD5qQsF</t>
  </si>
  <si>
    <t>AgAAAAgxLjUxNDI3OAEGAAAABQAAAAExAQAAAAstMjAxODk4NjEyNwMAAAADMTYwAgAAAAYxMDAwNTQEAAAAATAHAAAACTIvMTQvMjAyNO8PxxMiE94I1tfzFSIT3ggfQ0lRLk1FU08uSVFfTUFSS0VUQ0FQLjIvMTQvMjAyNAEAAABGnjYBAgAAAAoyNzkuMDY5ODE3AQYAAAAFAAAAATEBAAAACy0yMDI4ODc0NzgxAwAAAAE5AgAAAAYxMDAwNTQEAAAAATAHAAAACTIvMTQvMjAyNNTrxhMiE94I1tfzFSIT3ggfQ0lRLlJQVFguSVFfTUFSS0VUQ0FQLjIvMTUvMjAyNAEAAADnv/AZAgAAAAoyOTIuODAxMDc0AQYAAAAFAAAAATEBAAAACy0yMDIwMzc4Njg5AwAAAAMxNjACAAAABjEwMDA1NAQAAAABMAcAAAAJMi8xNS8yMDI0YUvGEyIT3gjW1/MVIhPeCB9DSVEuQVBMVC5JUV9NQVJLRVRDQVAuMi8xNS8yMDI0AQAAAHuMVCECAAAACjI4OS42MDk1MjYBBgAAAAUAAAABMQEAAAALLTIwMjAyNjY3OTUDAAAAAzE2MAIAAAAGMTAwMDU0BAAAAAEwBwAAAAkyLzE1LzIwMjTvD8cTIhPeCNbX8xUiE94IH0NJUS5JT05TLklRX01BUktFVENBUC4yLzE1LzIwMjQBAAAAXHYAAAIAAAALNjQ5Ni40MTc1NDgBBgAAAAUAAAABMQEAAAALLTIwMjEyNjM0NTIDAAAAAzE2MAIAAAAGMTAwMDU0BAAAAAEwBwAAAAkyLzE1LzIwMjS9ncYTIhPeCNbX8xUiE94IH0NJUS5DUkRMLklRX01BUktFVENBUC4yLzE1LzIwMjQBAAAAXXN8</t>
  </si>
  <si>
    <t>IQIAAAAIOC45NzY5ODgBBgAAAAUAAAABMQEAAAALLTIwMTI4MjY4MDIDAAAAAjU1AgAAAAYxMDAwNTQEAAAAATAHAAAACTIvMTUvMjAyNHF2xhMiE94I1tfzFSIT3ggfQ0lRLk9OQ1kuSVFfTUFSS0VUQ0FQLjIvMTUvMjAyNAEAAABXdRQAAgAAAAk4Ni4zMzE3OTQBBgAAAAUAAAABMQEAAAALLTIwMjEzODA3NTMDAAAAAzE2MAIAAAAGMTAwMDU0BAAAAAEwBwAAAAkyLzE1LzIwMjTtO/8TIhPeCNbX8xUiE94IH0NJUS5NTktELklRX01BUktFVENBUC4yLzE1LzIwMjQBAAAAZqWNAAIAAAALMTAwMC4xMjE5NjYBBgAAAAUAAAABMQEAAAALLTIwMjA3NDMwNzMDAAAAAzE2MAIAAAAGMTAwMDU0BAAAAAEwBwAAAAkyLzE1LzIwMjTtO/8TIhPeCNbX8xUiE94IH0NJUS5BVVBILklRX01BUktFVENBUC4yLzE1LzIwMjQBAAAA7XcNAAIAAAAKODcwLjU5ODkyNwEGAAAABQAAAAExAQAAAAstMjAxMDI5NzE0MAMAAAADMTYwAgAAAAYxMDAwNTQEAAAAATAHAAAACTIvMTUvMjAyNL2dxhMiE94I1tfzFSIT3ggfQ0lRLkVOU0MuSVFfTUFSS0VUQ0FQLjIvMTUvMjAyNAEAAAA/RhYDAgAAAAg2LjAwNTU0OAEGAAAABQAAAAExAQAAAAstMjAyMDAxMzY4MgMAAAADMTYwAgAAAAYxMDAwNTQEAAAAATAHAAAACTIvMTUvMjAyNL2dxhMiE94I1tfzFSIT3ggfQ0lRLkZCSU8uSVFfTUFSS0VUQ0FQLjIvMTYvMjAyNAEAAAAJ8q0D</t>
  </si>
  <si>
    <t>AgAAAAkzNC4xODA3NTUBBgAAAAUAAAABMQEAAAALLTIwMTgzODkwNjMDAAAAAzE2MAIAAAAGMTAwMDU0BAAAAAEwBwAAAAkyLzE2LzIwMjRhS8YTIhPeCNbX8xUiE94IH0NJUS5DQVNJLklRX01BUktFVENBUC4yLzE2LzIwMjQBAAAAJWoFAAIAAAAJNzcuMjY0NzQxAQYAAAAFAAAAATEBAAAACy0yMDE5MTQ3NTI4AwAAAAMxNjACAAAABjEwMDA1NAQAAAABMAcAAAAJMi8xNi8yMDI0usTGEyIT3gjW1/MVIhPeCCBDSVEuUkhIQlkuSVFfTUFSS0VUQ0FQLjIvMTYvMjAyNAEAAAAkfAoAAgAAAA0xODMzNjAuMjcxMjQ5AQYAAAAFAAAAATEBAAAACy0yMDExNTc3Mzc0AwAAAAIyOQIAAAAGMTAwMDU0BAAAAAEwBwAAAAkyLzE2LzIwMjRhS8YTIhPeCNbX8xUiE94IH0NJUS5JT1ZBLklRX01BUktFVENBUC4yLzE2LzIwMjQBAAAABNVoAgIAAAALMjM0MS42NTM3OTkBBgAAAAUAAAABMQEAAAALLTIwMjA3NDcwOTIDAAAAAzE2MAIAAAAGMTAwMDU0BAAAAAEwBwAAAAkyLzE2LzIwMjTtO/8TIhPeCNbX8xUiE94IHkNJUS5BWk4uSVFfTUFSS0VUQ0FQLjIvMTcvMjAyNAEAAACGIwUAAgAAAA0xNTY0NzYuMTExNzc4AQYAAAAFAAAAATEBAAAACy0yMDA5NTg2MjYzAwAAAAI1NQIAAAAGMTAwMDU0BAAAAAEwBwAAAAkyLzE3LzIwMjTtO/8TIhPeCNbX8xUiE94IHkNJUS5BWk4uSVFfTEFTVFNBTEVQUklDRS40NTM0NQEA</t>
  </si>
  <si>
    <t>AACGIwUAAgAAAAUxMDIuMgBdKhUUIhPeCNbX8xUiE94IHkNJUS5BWk4uSVFfTUFSS0VUQ0FQLjIvMTkvMjAyNAEAAACGIwUAAgAAAA0xNjE0OTguNzI1MjMzAQYAAAAFAAAAATEBAAAACy0yMDA5NTg2MjYzAwAAAAI1NQIAAAAGMTAwMDU0BAAAAAEwBwAAAAkyLzE5LzIwMjTtO/8TIhPeCI+w8xUiE94IKENJUS5BWk4uSVFfUFJJQ0VfVk9MX0hJU1RfNk1USC4yLzE5LzIwMjQBAAAAhiMFAAIAAAAGMjQuMDA4AF0qFRQiE94I1tfzFSIT3ggfQ0lRLlJBUFQuSVFfTUFSS0VUQ0FQLjIvMjAvMjAyNAEAAADQIFYQAgAAAAoyMzYuMzAxOTQ5AQYAAAAFAAAAATEBAAAACy0yMDE5NjA3NjE2AwAAAAMxNjACAAAABjEwMDA1NAQAAAABMAcAAAAJMi8yMC8yMDI0usTGEyIT3giPsPMVIhPeCB9DSVEuSU1SWC5JUV9NQVJLRVRDQVAuMi8yMC8yMDI0AQAAANUOYRICAAAACjE5Ny44NTkyNTgBBgAAAAUAAAABMQEAAAALLTIwMjAyNDU1MzQDAAAAAzE2MAIAAAAGMTAwMDU0BAAAAAEwBwAAAAkyLzIwLzIwMjTvD8cTIhPeCLeJ8xUiE94IH0NJUS5JUk9OLklRX01BUktFVENBUC4yLzIwLzIwMjQBAAAATt85JgIAAAALMTYwMy40MDcyMjgBBgAAAAUAAAABMQEAAAALLTIwMjAzNjQ2ODUDAAAAAzE2MAIAAAAGMTAwMDU0BAAAAAEwBwAAAAkyLzIwLzIwMjTtO/8TIhPeCMti8xUiE94IHkNJUS5TTlkuSVFfTUFSS0VUQ0FQ</t>
  </si>
  <si>
    <t>LjIvMjAvMjAyNAEAAAAafAoAAgAAAA0xMDkyNTIuNTk0NjE2AQYAAAAFAAAAATEBAAAACy0yMDEyMDE1MjIzAwAAAAI1MAIAAAAGMTAwMDU0BAAAAAEwBwAAAAkyLzIwLzIwMjS9ncYTIhPeCEM78xUiE94IH0NJUS5URVZBLklRX01BUktFVENBUC4yLzIwLzIwMjQBAAAAT7MEAAIAAAAMMTQ2NTEuMzcwNjI5AQYAAAAFAAAAATEBAAAACy0yMDEwODc2NTUxAwAAAAMxNjACAAAABjEwMDA1NAQAAAABMAcAAAAJMi8yMC8yMDI07Tv/EyIT3ghDO/MVIhPeCB9DSVEuVEVWQS5JUV9MQVNUU0FMRVBSSUNFLjQ1MzQxAQAAAE+zBAACAAAABTEzLjAyAF0qFRQiE94IQzvzFSIT3ggfQ0lRLkFSVk4uSVFfTUFSS0VUQ0FQLjIvMjAvMjAyNAEAAACAgnwOAgAAAAszNDQwLjc0OTc1NAEGAAAABQAAAAExAQAAAAstMjAyMDQ0Nzk1NAMAAAADMTYwAgAAAAYxMDAwNTQEAAAAATAHAAAACTIvMjAvMjAyNNTrxhMiE94INhTzFSIT3ggfQ0lRLkFSVk4uSVFfTEFTVFNBTEVQUklDRS40NTM0MQEAAACAgnwOAgAAAAU1Mi4zMQDtO/8TIhPeCDYU8xUiE94IH0NJUS5TUFJZLklRX01BUktFVENBUC4yLzIwLzIwMjQBAAAAB6bhIgIAAAAKNzIxLjg5OTMzNQEGAAAABQAAAAExAQAAAAstMjAyMDIzMTkzMgMAAAADMTYwAgAAAAYxMDAwNTQEAAAAATAHAAAACTIvMjAvMjAyNL2dxhMiE94INhTzFSIT3ggeQ0lRLkpOSi5JUV9NQVJL</t>
  </si>
  <si>
    <t>RVRDQVAuMi8yMC8yMDI0AQAAAJ0hAgACAAAADTM4MDI0Ny45OTQ2MTIBBgAAAAUAAAABMQEAAAALLTIwMDk4ODk5ODMDAAAAAzE2MAIAAAAGMTAwMDU0BAAAAAEwBwAAAAkyLzIwLzIwMjTvD8cTIhPeCDvt8hUiE94IHkNJUS5HU0suSVFfTUFSS0VUQ0FQLjIvMjEvMjAyNAEAAADyMwQAAgAAAAw2NzQwMS4zMzA3NTgBBgAAAAUAAAABMQEAAAALLTIwMTIxMTY2NzMDAAAAAjU1AgAAAAYxMDAwNTQEAAAAATAHAAAACTIvMjEvMjAyNO07/xMiE94IFMbyFSIT3ggfQ0lRLktaSUEuSVFfTUFSS0VUQ0FQLjIvMjEvMjAyNAEAAABtIQYAAgAAAAg4LjMwNjUwOQEGAAAABQAAAAExAQAAAAstMjAyODYyNTQ1MAMAAAADMTYwAgAAAAYxMDAwNTQEAAAAATAHAAAACTIvMjEvMjAyNHF2xhMiE94IFMbyFSIT3ggfQ0lRLkVOTFYuSVFfTUFSS0VUQ0FQLjIvMjEvMjAyNAEAAAA76AEFAgAAAAk1OS44ODczNDcBBgAAAAUAAAABMQEAAAALLTIwMTk5OTQyMDIDAAAAAzE2MAIAAAAGMTAwMDU0BAAAAAEwBwAAAAkyLzIxLzIwMjS6xMYTIhPeCFif8hUiE94IH0NJUS5OUlNOLklRX01BUktFVENBUC4yLzIxLzIwMjQBAAAAamXlIAIAAAAJMTcuMDgyNTUzAQYAAAAFAAAAATEBAAAACy0yMDE2NTU5NjEzAwAAAAMxNjACAAAABjEwMDA1NAQAAAABMAcAAAAJMi8yMS8yMDI0vZ3GEyIT3ghYn/IVIhPeCB9DSVEuTU5QUi5JUV9N</t>
  </si>
  <si>
    <t>QVJLRVRDQVAuMi8yMi8yMDI0AQAAAEumJBICAAAACTE2LjY1MDM2OAEGAAAABQAAAAExAQAAAAstMjAyMDI2Njk5NwMAAAADMTYwAgAAAAYxMDAwNTQEAAAAATAHAAAACTIvMjIvMjAyNO07/xMiE94INnjyFSIT3ggfQ0lRLkVMRVYuSVFfTUFSS0VUQ0FQLjIvMjIvMjAyNAEAAABM2+8CAwAAAAAAvZ3GEyIT3gj+UPIVIhPeCB9DSVEuVEFSUy5JUV9NQVJLRVRDQVAuMi8yMi8yMDI0AQAAADERxCYCAAAACzEwNDQuMTE5NDYyAQYAAAAFAAAAATEBAAAACy0yMDIwMjY3MDAwAwAAAAMxNjACAAAABjEwMDA1NAQAAAABMAcAAAAJMi8yMi8yMDI07w/HEyIT3gj+UPIVIhPeCB9DSVEuQVRYSS5JUV9NQVJLRVRDQVAuMi8yMi8yMDI0AQAAANKqhhICAAAACDUuMzA0ODE2AQYAAAAFAAAAATEBAAAACy0yMDE3NTI4ODk0AwAAAAMxNjACAAAABjEwMDA1NAQAAAABMAcAAAAJMi8yMi8yMDI0usTGEyIT3gjKKfIVIhPeCB9DSVEuUEhWUy5JUV9NQVJLRVRDQVAuMi8yMi8yMDI0AQAAAHCLBBgCAAAACzE0NDcuNTc4OTkyAQYAAAAFAAAAATEBAAAACy0yMDIxNTMwMzQ1AwAAAAMxNjACAAAABjEwMDA1NAQAAAABMAcAAAAJMi8yMi8yMDI01OvGEyIT3gjKKfIVIhPeCB9DSVEuQVROTS5JUV9NQVJLRVRDQVAuMi8yMi8yMDI0AQAAAJu3dwACAAAACTE4Ny4xMzA5MwEGAAAABQAAAAExAQAAAAstMjAyMTY1MDIyNQMAAAAD</t>
  </si>
  <si>
    <t>MTYwAgAAAAYxMDAwNTQEAAAAATAHAAAACTIvMjIvMjAyNLrExhMiE94IuwLyFSIT3ggfQ0lRLkdNREEuSVFfTUFSS0VUQ0FQLjIvMjIvMjAyNAEAAABAfQgAAgAAAAk0Ny41NTA5MDcBBgAAAAUAAAABMQEAAAALLTIwMTg3NTUyNzQDAAAAAzE2MAIAAAAGMTAwMDU0BAAAAAEwBwAAAAkyLzIyLzIwMjRhS8YTIhPeCNfb8RUiE94IH0NJUS5WVFlYLklRX01BUktFVENBUC4yLzIyLzIwMjQBAAAABBQWKAIAAAAKMzQwLjU4NTM5MgEGAAAABQAAAAExAQAAAAstMjAyMDIzMjAwMQMAAAADMTYwAgAAAAYxMDAwNTQEAAAAATAHAAAACTIvMjIvMjAyNO07/xMiE94I19vxFSIT3ggfQ0lRLlJFR04uSVFfTUFSS0VUQ0FQLjIvMjMvMjAyNAEAAACzgwAAAgAAAA0xMDU0NDEuNjEyMzU1AQYAAAAFAAAAATEBAAAACy0yMDExNzE0NTYxAwAAAAMxNjACAAAABjEwMDA1NAQAAAABMAcAAAAJMi8yMy8yMDI0YUvGEyIT3gjBtPEVIhPeCB9DSVEuQkRSWC5JUV9NQVJLRVRDQVAuMi8yMy8yMDI0AQAAAM5/lhACAAAACDMuOTAzMDU1AQYAAAAFAAAAATEBAAAACy0yMDI1MzIwMDY3AwAAAAMxNjACAAAABjEwMDA1NAQAAAABMAcAAAAJMi8yMy8yMDI01OvGEyIT3gjBtPEVIhPeCB9DSVEuQ09HVC5JUV9NQVJLRVRDQVAuMi8yMy8yMDI0AQAAAGnURCgCAAAACTc3Mi41ODYzMQEGAAAABQAAAAExAQAAAAstMjAyMDgwMjE4NwMA</t>
  </si>
  <si>
    <t>AAADMTYwAgAAAAYxMDAwNTQEAAAAATAHAAAACTIvMjMvMjAyNO07/xMiE94Ik43xFSIT3ggfQ0lRLkNNTkQuSVFfTUFSS0VUQ0FQLjIvMjMvMjAyNAEAAAA/9o8gAgAAAAg1Ljk1ODc5MgEGAAAABQAAAAExAQAAAAstMjAxMjMxMTk0MAMAAAADMTYwAgAAAAYxMDAwNTQEAAAAATAHAAAACTIvMjMvMjAyNO8PxxMiE94InVnxFSIT3ggfQ0lRLlRFVkEuSVFfTUFSS0VUQ0FQLjIvMjMvMjAyNAEAAABPswQAAgAAAAwxNDQ0OS41OTE5OTcBBgAAAAUAAAABMQEAAAALLTIwMTA4NzY1NTEDAAAAAzE2MAIAAAAGMTAwMDU0BAAAAAEwBwAAAAkyLzIzLzIwMjTvD8cTIhPeCEIy8RUiE94IH0NJUS5BTFZPLklRX01BUktFVENBUC4yLzIzLzIwMjQBAAAAPYlRKQIAAAALNDI1Ni40NDE0NDQBBgAAAAUAAAABMQEAAAALLTIwMTY1MjM5NTEDAAAAAzE2MAIAAAAGMTAwMDU0BAAAAAEwBwAAAAkyLzIzLzIwMjTU68YTIhPeCEIy8RUiE94IH0NJUS5DTERYLklRX01BUktFVENBUC4yLzI0LzIwMjQBAAAAVcySAAIAAAALMjA2NC41MTcxODcBBgAAAAUAAAABMQEAAAALLTIwMjExNzMzMjIDAAAAAzE2MAIAAAAGMTAwMDU0BAAAAAEwBwAAAAkyLzI0LzIwMjS9ncYTIhPeCHsL8RUiE94IH0NJUS5LQUxWLklRX01BUktFVENBUC4yLzI1LzIwMjQBAAAAEI4lCAIAAAAKNTIzLjAxMzc2NAEGAAAABQAAAAExAQAAAAstMjAxNTQz</t>
  </si>
  <si>
    <t>NTEwNwMAAAADMTYwAgAAAAYxMDAwNTQEAAAAATAHAAAACTIvMjUvMjAyNO07/xMiE94IewvxFSIT3ggeQ0lRLkdTSy5JUV9NQVJLRVRDQVAuMi8yNi8yMDI0AQAAAPIzBAACAAAADDY3OTUzLjIwMTk3OQEGAAAABQAAAAExAQAAAAstMjAxMjExNjY3MwMAAAACNTUCAAAABjEwMDA1NAQAAAABMAcAAAAJMi8yNi8yMDI0vZ3GEyIT3ggm5PAVIhPeCB9DSVEuQUxMSy5JUV9NQVJLRVRDQVAuMi8yNi8yMDI0AQAAADn+bQ0CAAAACjEyNy43MTU0NTMBBgAAAAUAAAABMQEAAAALLTIwMTkyNDcxOTMDAAAAAzE2MAIAAAAGMTAwMDU0BAAAAAEwBwAAAAkyLzI2LzIwMjTvD8cTIhPeCA698BUiE94IH0NJUS5LUllTLklRX01BUktFVENBUC4yLzI2LzIwMjQBAAAAKCfVHwIAAAALNDQ0MS45NDA3MTIBBgAAAAUAAAABMQEAAAALLTIwMDg3MzE2MzcDAAAAAzE2MAIAAAAGMTAwMDU0BAAAAAEwBwAAAAkyLzI2LzIwMjS6xMYTIhPeCA698BUiE94IH0NJUS5UTllBLklRX01BUktFVENBUC4yLzI2LzIwMjQBAAAAFsNiGAIAAAAKNDM4LjEyOTQ4MgEGAAAABQAAAAExAQAAAAstMjAyMDUwNTIzOAMAAAADMTYwAgAAAAYxMDAwNTQEAAAAATAHAAAACTIvMjYvMjAyNNTrxhMiE94IBJbwFSIT3ggfQ0lRLkJHTkUuSVFfTUFSS0VUQ0FQLjIvMjYvMjAyNAEAAADg5N0GAgAAAAwxNjc1OS42NjA2NjQBBgAAAAUAAAABMQEAAAAL</t>
  </si>
  <si>
    <t>LTIwMDg3MTcyNDUDAAAAAzE2MAIAAAAGMTAwMDU0BAAAAAEwBwAAAAkyLzI2LzIwMjS6xMYTIhPeCASW8BUiE94IHkNJUS5PTkMuSVFfTUFSS0VUQ0FQLjIvMjYvMjAyNAEAAADg5N0GAgAAAAwxNjc1OS42NjA2NjQBBgAAAAUAAAABMQEAAAALLTIwMDg3MTcyNDUDAAAAAzE2MAIAAAAGMTAwMDU0BAAAAAEwBwAAAAkyLzI2LzIwMjRhS8YTIhPeCCVv8BUiE94IH0NJUS5UQ1JYLklRX01BUktFVENBUC4yLzI2LzIwMjQBAAAAqsDAIgIAAAAKMzI0LjcyOTU3NwEGAAAABQAAAAExAQAAAAstMjAyMDI5NDczNgMAAAADMTYwAgAAAAYxMDAwNTQEAAAAATAHAAAACTIvMjYvMjAyNO07/xMiE94I6kfwFSIT3ggfQ0lRLk1UTkIuSVFfTUFSS0VUQ0FQLjIvMjYvMjAyNAEAAADa0oUOAgAAAAk1OC40NDQxNTEBBgAAAAUAAAABMQEAAAALLTIwMjA0ODI3NjEDAAAAAzE2MAIAAAAGMTAwMDU0BAAAAAEwBwAAAAkyLzI2LzIwMjRxdsYTIhPeCOpH8BUiE94IH0NJUS5KQU5YLklRX01BUktFVENBUC4yLzI2LzIwMjQBAAAAjatZKAIAAAAKNjk2Ljg4NjU0OAEGAAAABQAAAAExAQAAAAstMjAyMDc0Nzc0MgMAAAADMTYwAgAAAAYxMDAwNTQEAAAAATAHAAAACTIvMjYvMjAyNO07/xMiE94IwyDwFSIT3ggfQ0lRLkdJTEQuSVFfTUFSS0VUQ0FQLjIvMjYvMjAyNAEAAABKcQAAAgAAAAw5MDg3OS4yNTgyMzcBBgAAAAUAAAAB</t>
  </si>
  <si>
    <t>MQEAAAALLTIwMDg3ODY3NDIDAAAAAzE2MAIAAAAGMTAwMDU0BAAAAAEwBwAAAAkyLzI2LzIwMjTtO/8TIhPeCEH67xUiE94IH0NJUS5ORVJWLklRX01BUktFVENBUC4yLzI3LzIwMjQBAAAACZOQDwIAAAAJMTkuNTgxNTM3AQYAAAAFAAAAATEBAAAACy0yMDA5MTk5NzMyAwAAAAMxNjACAAAABjEwMDA1NAQAAAABMAcAAAAJMi8yNy8yMDI07Tv/EyIT3giv0u8VIhPeCB9DSVEuVktUWC5JUV9NQVJLRVRDQVAuMi8yNy8yMDI0AQAAAPK8tQ4CAAAACzg2NjcuODQwMzAyAQYAAAAFAAAAATEBAAAACy0yMDExNDQ0MjI2AwAAAAMxNjACAAAABjEwMDA1NAQAAAABMAcAAAAJMi8yNy8yMDI07w/HEyIT3giv0u8VIhPeCB9DSVEuVEFSUy5JUV9NQVJLRVRDQVAuMi8yNy8yMDI0AQAAADERxCYCAAAACzEzNDIuMDY0NzA5AQYAAAAFAAAAATEBAAAACy0yMDA4MjE2NjY3AwAAAAMxNjACAAAABjEwMDA1NAQAAAABMAcAAAAJMi8yNy8yMDI0cXbGEyIT3giZq+8VIhPeCB9DSVEuQUNYUC5JUV9NQVJLRVRDQVAuMi8yNy8yMDI0AQAAAM7MQiECAAAACTQzLjA5MzcxNQEGAAAABQAAAAExAQAAAAstMjAxOTQxMzcxMQMAAAADMTYwAgAAAAYxMDAwNTQEAAAAATAHAAAACTIvMjcvMjAyNO07/xMiE94IooTvFSIT3ggfQ0lRLkNHT04uSVFfTUFSS0VUQ0FQLjIvMjcvMjAyNAEAAADEiOgGAgAAAAszMDgxLjQ2NDM4NQEGAAAA</t>
  </si>
  <si>
    <t>BQAAAAExAQAAAAstMjAxMzY4Nzg4NwMAAAADMTYwAgAAAAYxMDAwNTQEAAAAATAHAAAACTIvMjcvMjAyNNTrxhMiE94IooTvFSIT3ggfQ0lRLlBQQlQuSVFfTUFSS0VUQ0FQLjIvMjcvMjAyNAEAAAAtojYBAgAAAAk3MC42MzMwODQBBgAAAAUAAAABMQEAAAALLTIwMTc0NzU1MDkDAAAAAjcxAgAAAAYxMDAwNTQEAAAAATAHAAAACTIvMjcvMjAyNL2dxhMiE94I2F3vFSIT3ggpQ0lRLlBQQlQuSVFfUFJJQ0VfVk9MX0hJU1RfNk1USC4yLzI3LzIwMjQBAAAALaI2AQIAAAAHNzQuNTAzMwBdKhUUIhPeCNhd7xUiE94IH0NJUS5QUEJULklRX0xBU1RTQUxFUFJJQ0UuNDUzNDgBAAAALaI2AQIAAAAFMC4yNzMA7Tv/EyIT3gjYXe8VIhPeCB9DSVEuR0FOWC5JUV9NQVJLRVRDQVAuMi8yNy8yMDI0AQAAANvQDCECAAAACTc1LjAwMzA3NAEGAAAABQAAAAExAQAAAAstMjAxODk5MjUwMgMAAAADMTYwAgAAAAYxMDAwNTQEAAAAATAHAAAACTIvMjcvMjAyNHF2xhMiE94I2F3vFSIT3ggeQ0lRLlBUTi5JUV9NQVJLRVRDQVAuMi8yOC8yMDI0AQAAAAgv3AwCAAAACTcwLjY4OTAzMwEGAAAABQAAAAExAQAAAAstMjAyNjI4NTM2NQMAAAABOQIAAAAGMTAwMDU0BAAAAAEwBwAAAAkyLzI4LzIwMjTU68YTIhPeCGwn7xUiE94IH0NJUS5JWEhMLklRX01BUktFVENBUC4yLzI4LzIwMjQBAAAAO6RhEwIAAAAJOTkuNTI0NDE5</t>
  </si>
  <si>
    <t>AQYAAAAFAAAAATEBAAAACy0yMDEwMzY3MjEzAwAAAAMxNjACAAAABjEwMDA1NAQAAAABMAcAAAAJMi8yOC8yMDI01OvGEyIT3ghsJ+8VIhPeCB9DSVEuQ01QWC5JUV9NQVJLRVRDQVAuMi8yOC8yMDI0AQAAAPxh3Q8CAAAACjIyMS43NzIyNjcBBgAAAAUAAAABMQEAAAALLTIwMjAzNjk5ODUDAAAAAzE2MAIAAAAGMTAwMDU0BAAAAAEwBwAAAAkyLzI4LzIwMjTU68YTIhPeCBkA7xUiE94IH0NJUS5TSUxPLklRX01BUktFVENBUC4yLzI4LzIwMjQBAAAAGi+0BwIAAAAINC42NzUzMjIBBgAAAAUAAAABMQEAAAALLTIwMTkzODAwMTcDAAAAAzE2MAIAAAAGMTAwMDU0BAAAAAEwBwAAAAkyLzI4LzIwMjRxdsYTIhPeCBkA7xUiE94IHkNJUS5IQ00uSVFfTUFSS0VUQ0FQLjIvMjgvMjAyNAEAAAC7r5YBAgAAAAsyMDgyLjMyMTA3MQEGAAAABQAAAAExAQAAAAstMjAwNzYzODk5NAMAAAACNTUCAAAABjEwMDA1NAQAAAABMAcAAAAJMi8yOC8yMDI0YUvGEyIT3ggC2e4VIhPeCB5DSVEuSENNLklRX0xBU1RTQUxFUFJJQ0UuNDUzNDkBAAAAu6+WAQIAAAAFMi40ODUA7Tv/EyIT3ggC2e4VIhPeCB5DSVEuSENNLklRX0xBU1RTQUxFUFJJQ0UuNDUzNTcBAAAAu6+WAQIAAAAEMi4zNwBdKhUUIhPeCALZ7hUiE94IH0NJUS5TTlNFLklRX01BUktFVENBUC4yLzI4LzIwMjQBAAAA7SwLAAIAAAAIMjAuOTk3MDYBBgAAAAUA</t>
  </si>
  <si>
    <t>AAABMQEAAAALLTIwMDgyMjYxMzUDAAAAAzE2MAIAAAAGMTAwMDU0BAAAAAEwBwAAAAkyLzI4LzIwMjTvD8cTIhPeCAiy7hUiE94IIENJUS5LWUtPRi5JUV9NQVJLRVRDQVAuMS8zMC8yMDI0AQAAAMt1CgACAAAADjEyMzg5MjEuODY5MzY3AQYAAAAFAAAAATEBAAAACy0yMDIxODM0MDg0AwAAAAI3OQIAAAAGMTAwMDU0BAAAAAEwBwAAAAkxLzMwLzIwMjRhS8YTIhPeCOQL/hUiE94IH0NJUS5TQ1lYLklRX01BUktFVENBUC4xLzMwLzIwMjQBAAAApzAMAAIAAAAJNzIuNzQxMjQ3AQYAAAAFAAAAATEBAAAACy0yMDE5NDU4NjU2AwAAAAMxNjACAAAABjEwMDA1NAQAAAABMAcAAAAJMS8zMC8yMDI0cXbGEyIT3gjkC/4VIhPeCB9DSVEuSVRSTS5JUV9NQVJLRVRDQVAuMS8zMC8yMDI0AQAAAJCy+RICAAAACTIxLjIyNzkxMwEGAAAABQAAAAExAQAAAAstMjAxNzk3MjI4MwMAAAADMTYwAgAAAAYxMDAwNTQEAAAAATAHAAAACTEvMzAvMjAyNGFLxhMiE94I3OT9FSIT3ggfQ0lRLlZSVFguSVFfTUFSS0VUQ0FQLjEvMzAvMjAyNAEAAACLjQAAAgAAAA0xMTQ5NDcuMzE0NzE5AQYAAAAFAAAAATEBAAAACy0yMDIwNjk1OTczAwAAAAMxNjACAAAABjEwMDA1NAQAAAABMAcAAAAJMS8zMC8yMDI0usTGEyIT3gigvf0VIhPeCB5DSVEuTlZTLklRX01BUktFVENBUC4xLzMxLzIwMjQBAAAAqbXoDwIAAAALMTQ3My44MzM1</t>
  </si>
  <si>
    <t>NTMBBgAAAAUAAAABMQEAAAALLTIwMTg4OTI3OTQDAAAAAzE3NAIAAAAGMTAwMDU0BAAAAAEwBwAAAAkxLzMxLzIwMjS9ncYTIhPeCKC9/RUiE94IH0NJUS5PVExLLklRX01BUktFVENBUC4xLzMxLzIwMjQBAAAABaSxCAIAAAAKMTAwLjQ1OTM5NQEGAAAABQAAAAExAQAAAAstMjAxNDMxODE5NgMAAAADMTYwAgAAAAYxMDAwNTQEAAAAATAHAAAACTEvMzEvMjAyNLrExhMiE94I4Jb9FSIT3ggeQ0lRLk5WTy5JUV9NQVJLRVRDQVAuMS8zMS8yMDI0AQAAAHzvBAACAAAADjM0NTI2MDMuMjgzNzYxAQYAAAAFAAAAATEBAAAACy0yMDExOTczODc1AwAAAAI0MgIAAAAGMTAwMDU0BAAAAAEwBwAAAAkxLzMxLzIwMjTtO/8TIhPeCOCW/RUiE94IH0NJUS5SSEhCWS5JUV9NQVJLRVRDQVAuMi8xLzIwMjQBAAAAJHwKAAIAAAANMTg3NTk2LjMyMjY1OAEGAAAABQAAAAExAQAAAAstMjAxMTU3NzM3NAMAAAACMjkCAAAABjEwMDA1NAQAAAABMAcAAAAIMi8xLzIwMjS6xMYTIhPeCOVh/RUiE94IHkNJUS5FREFQLklRX01BUktFVENBUC4yLzEvMjAyNAEAAAD0bAAAAgAAAAoyMzQuMTE5NDg4AQYAAAAFAAAAATEBAAAACy0yMDIwMjk0NzU5AwAAAAMxNjACAAAABjEwMDA1NAQAAAABMAcAAAAIMi8xLzIwMjRhS8YTIhPeCOVh/RUiE94IHUNJUS5BWk4uSVFfTUFSS0VUQ0FQLjIvMi8yMDI0AQAAAIYjBQACAAAADTE2MDU5</t>
  </si>
  <si>
    <t>OS42MTU0MTcBBgAAAAUAAAABMQEAAAALLTIwMjA0NDYzMjMDAAAAAjU1AgAAAAYxMDAwNTQEAAAAATAHAAAACDIvMi8yMDI07Tv/EyIT3ggJI/0VIhPeCB5DSVEuQkJJTy5JUV9NQVJLRVRDQVAuMi8yLzIwMjQBAAAAYoecGAIAAAALNTg5OS4yMjI3MzMBBgAAAAUAAAABMQEAAAALLTIwMjE0MDA5ODEDAAAAAzE2MAIAAAAGMTAwMDU0BAAAAAEwBwAAAAgyLzIvMjAyNL2dxhMiE94ICSP9FSIT3ggeQ0lRLkxRREEuSVFfTUFSS0VUQ0FQLjIvMi8yMDI0AQAAAItQWwECAAAACzEwMjkuNTI4NDEzAQYAAAAFAAAAATEBAAAACy0yMDIwODY5NzM1AwAAAAMxNjACAAAABjEwMDA1NAQAAAABMAcAAAAIMi8yLzIwMjRhS8YTIhPeCAkj/RUiE94IHkNJUS5GRE1ULklRX01BUktFVENBUC4yLzMvMjAyNAEAAAAl0EMQAgAAAAo3NDcuNzYwNTg2AQYAAAAFAAAAATEBAAAACy0yMDIwMjMxOTAxAwAAAAMxNjACAAAABjEwMDA1NAQAAAABMAcAAAAIMi8zLzIwMjTvD8cTIhPeCO/7/BUiE94IHkNJUS5MQ1RYLklRX01BUktFVENBUC4yLzMvMjAyNAEAAAAWZAAAAgAAAAoxNzEuNDg2OTM4AQYAAAAFAAAAATEBAAAACy0yMDIwMjMxOTkzAwAAAAMxNjACAAAABjEwMDA1NAQAAAABMAcAAAAIMi8zLzIwMjS9ncYTIhPeCPzU/BUiE94IHUNJUS5LT0QuSVFfTUFSS0VUQ0FQLjIvMy8yMDI0AQAAAJU1MRMCAAAACjIxMC43MTI2</t>
  </si>
  <si>
    <t>NzcBBgAAAAUAAAABMQEAAAALLTIwMTkxOTg1NzADAAAAAzE2MAIAAAAGMTAwMDU0BAAAAAEwBwAAAAgyLzMvMjAyNL2dxhMiE94I/NT8FSIT3ggeQ0lRLkJSVFguSVFfTUFSS0VUQ0FQLjIvNC8yMDI0AQAAAIA0eQMCAAAACTEzLjE3OTM2OAEGAAAABQAAAAExAQAAAAstMjAxOTQwMTAxNwMAAAADMTYwAgAAAAYxMDAwNTQEAAAAATAHAAAACDIvNC8yMDI07Tv/EyIT3ggMrvwVIhPeCB5DSVEuRVlQVC5JUV9NQVJLRVRDQVAuMi81LzIwMjQBAAAAr2BEAAIAAAALMTMwOC4xOTAyOTUBBgAAAAUAAAABMQEAAAALLTIwMjEyMTg4ODcDAAAAAzE2MAIAAAAGMTAwMDU0BAAAAAEwBwAAAAgyLzUvMjAyNGFLxhMiE94IDK78FSIT3ggfQ0lRLktZS09GLklRX01BUktFVENBUC4yLzUvMjAyNAEAAADLdQoAAgAAAA4xMjQzMjIyLjc0ODA2MwEGAAAABQAAAAExAQAAAAstMjAyMTgzNDA4NAMAAAACNzkCAAAABjEwMDA1NAQAAAABMAcAAAAIMi81LzIwMjRhS8YTIhPeCM+G/BUiE94IHkNJUS5QTFJYLklRX01BUktFVENBUC4yLzUvMjAyNAEAAABtEW4TAgAAAAo5NDYuMzU2MTM2AQYAAAAFAAAAATEBAAAACy0yMDIwMjM3NTQxAwAAAAMxNjACAAAABjEwMDA1NAQAAAABMAcAAAAIMi81LzIwMjRhS8YTIhPeCPZf/BUiE94IHkNJUS5SQU5JLklRX01BUktFVENBUC4yLzUvMjAyNAEAAAAbIHMOAgAAAAk5NS40OTc0MzYB</t>
  </si>
  <si>
    <t>BgAAAAUAAAABMQEAAAALLTIwMjAzODUyMjYDAAAAAzE2MAIAAAAGMTAwMDU0BAAAAAEwBwAAAAgyLzUvMjAyNLrExhMiE94I9l/8FSIT3ggeQ0lRLlRIQVIuSVFfTUFSS0VUQ0FQLjIvNS8yMDI0AQAAAM+WkR8CAAAACDEuMDM1OTQ5AQYAAAAFAAAAATEBAAAACy0yMDIwNjUzNzgyAwAAAAMxNjACAAAABjEwMDA1NAQAAAABMAcAAAAIMi81LzIwMjS6xMYTIhPeCKo4/BUiE94IHkNJUS5BUkNULklRX01BUktFVENBUC4yLzUvMjAyNAEAAAClwwIOAgAAAAo5MzcuMTg3MjUzAQYAAAAFAAAAATEBAAAACy0yMDE5MDQ1ODUxAwAAAAMxNjACAAAABjEwMDA1NAQAAAABMAcAAAAIMi81LzIwMjTU68YTIhPeCI8R/BUiE94IH0NJUS5DU0xMWS5JUV9NQVJLRVRDQVAuMi81LzIwMjQBAAAAX3MNAAIAAAANMTQ1MDQzLjkxOTQ4MgEGAAAABQAAAAExAQAAAAstMjAzMzE3MzcxNwMAAAABOQIAAAAGMTAwMDU0BAAAAAEwBwAAAAgyLzUvMjAyNO07/xMiE94IjxH8FSIT3ggeQ0lRLkFJTUQuSVFfTUFSS0VUQ0FQLjIvNS8yMDI0AQAAACeTBQACAAAACDUuMDUyMDI5AQYAAAAFAAAAATEBAAAACy0yMDIwMDI5MjAzAwAAAAMxNjACAAAABjEwMDA1NAQAAAABMAcAAAAIMi81LzIwMjS6xMYTIhPeCJzq+xUiE94IHkNJUS5WUlRYLklRX01BUktFVENBUC4yLzUvMjAyNAEAAACLjQAAAgAAAA0xMTA1MTcuNzQwNzg2AQYAAAAF</t>
  </si>
  <si>
    <t>AAAAATEBAAAACy0yMDExNjkyMjQ2AwAAAAMxNjACAAAABjEwMDA1NAQAAAABMAcAAAAIMi81LzIwMjS9ncYTIhPeCJzq+xUiE94IHUNJUS5HU0suSVFfTUFSS0VUQ0FQLjIvNi8yMDI0AQAAAPIzBAACAAAADDY3MDc2LjcwMDYyOAEGAAAABQAAAAExAQAAAAstMjAxMjExNjY3MwMAAAACNTUCAAAABjEwMDA1NAQAAAABMAcAAAAIMi82LzIwMjTvD8cTIhPeCIXD+xUiE94IHkNJUS5TR01PLklRX01BUktFVENBUC4yLzYvMjAyNAEAAAACTAYAAgAAAAk5Mi4zNDQ1NzIBBgAAAAUAAAABMQEAAAALLTIwMjEzNzE5NTcDAAAAAzE2MAIAAAAGMTAwMDU0BAAAAAEwBwAAAAgyLzYvMjAyNGFLxhMiE94Im5z7FSIT3ggdQ0lRLkxMWS5JUV9NQVJLRVRDQVAuMi82LzIwMjQBAAAAG1sEAAIAAAANNjM0MDM4LjU4MTMwMgEGAAAABQAAAAExAQAAAAstMjAxMTU4NjM0MAMAAAADMTYwAgAAAAYxMDAwNTQEAAAAATAHAAAACDIvNi8yMDI07Tv/EyIT3gibnPsVIhPeCB5DSVEuR0FOWC5JUV9NQVJLRVRDQVAuMi82LzIwMjQBAAAA29AMIQIAAAAJNzIuNDExMTc1AQYAAAAFAAAAATEBAAAACy0yMDE4OTkyNTAyAwAAAAMxNjACAAAABjEwMDA1NAQAAAABMAcAAAAIMi82LzIwMjS6xMYTIhPeCFR1+xUiE94IHkNJUS5BQkVPLklRX01BUktFVENBUC4yLzYvMjAyNAEAAADngQUAAgAAAAoxMDYuNTI1MjYzAQYAAAAFAAAAATEB</t>
  </si>
  <si>
    <t>AAAACy0yMDE4ODI0NDIwAwAAAAMxNjACAAAABjEwMDA1NAQAAAABMAcAAAAIMi82LzIwMjRxdsYTIhPeCE1O+xUiE94IHkNJUS5SQVJFLklRX01BUktFVENBUC4yLzYvMjAyNAEAAADxegAHAgAAAAszNzY3Ljg0MDAyNgEGAAAABQAAAAExAQAAAAstMjAyMTMyMjQ3OAMAAAADMTYwAgAAAAYxMDAwNTQEAAAAATAHAAAACDIvNi8yMDI0YUvGEyIT3ggeGfsVIhPeCB5DSVEuSU5LVC5JUV9NQVJLRVRDQVAuMi82LzIwMjQBAAAAxNEWZAIAAAAJMzIuNDQ4MzY4AQYAAAAFAAAAATEBAAAACy0yMDE3NzM4NzU4AwAAAAMxNjACAAAABjEwMDA1NAQAAAABMAcAAAAIMi82LzIwMjRxdsYTIhPeCB4Z+xUiE94IHkNJUS5SRUdOLklRX01BUktFVENBUC4yLzYvMjAyNAEAAACzgwAAAgAAAA0xMDA3NzguODQwNjg4AQYAAAAFAAAAATEBAAAACy0yMDExNzE0NTYxAwAAAAMxNjACAAAABjEwMDA1NAQAAAABMAcAAAAIMi82LzIwMjTvD8cTIhPeCB4Z+xUiE94IHUNJUS5IQ00uSVFfTUFSS0VUQ0FQLjIvNy8yMDI0AQAAALuvlgECAAAACTE4NjAuNDM0NAEGAAAABQAAAAExAQAAAAstMjAzNjQ1ODU0OAMAAAACNTUCAAAABjEwMDA1NAQAAAABMAcAAAAIMi83LzIwMjRxdsYTIhPeCL2w+BUiE94IHkNJUS5SR05YLklRX01BUktFVENBUC4yLzcvMjAyNAEAAABUb8kHAgAAAAo2NDAuOTYzMTQ5AQYAAAAFAAAAATEBAAAACy0y</t>
  </si>
  <si>
    <t>MDIwNTA1MjQ1AwAAAAMxNjACAAAABjEwMDA1NAQAAAABMAcAAAAIMi83LzIwMjTtO/8TIhPeCL2w+BUiE94IHkNJUS5WUlBYLklRX01BUktFVENBUC4yLzcvMjAyNAEAAACS0kchAgAAAAg0LjQ2MDc4NgEGAAAABQAAAAExAQAAAAstMjAxNTQwNDc0MwMAAAADMTYwAgAAAAYxMDAwNTQEAAAAATAHAAAACDIvNy8yMDI0usTGEyIT3gi9sPgVIhPeCB5DSVEuQkNUWC5JUV9NQVJLRVRDQVAuMi83LzIwMjQBAAAA9tyhDwIAAAAJODQuMzgyODA2AQYAAAAFAAAAATEBAAAACy0yMDE1MDQwNDA1AwAAAAIyNwIAAAAGMTAwMDU0BAAAAAEwBwAAAAgyLzcvMjAyNHF2xhMiE94IvbD4FSIT3ggeQ0lRLkFMRUMuSVFfTUFSS0VUQ0FQLjIvNy8yMDI0AQAAAGtA2w4CAAAACjYwOC4wMzgwNjEBBgAAAAUAAAABMQEAAAALLTIwMjA3NDc2NzkDAAAAAzE2MAIAAAAGMTAwMDU0BAAAAAEwBwAAAAgyLzcvMjAyNGFLxhMiE94IvbD4FSIT3ggdQ0lRLkdTSy5JUV9NQVJLRVRDQVAuMi83LzIwMjQBAAAA8jMEAAIAAAAMNjc4NzIuMDQ0NDQ2AQYAAAAFAAAAATEBAAAACy0yMDEyMTE2NjczAwAAAAI1NQIAAAAGMTAwMDU0BAAAAAEwBwAAAAgyLzcvMjAyNLrExhMiE94IvbD4FSIT3ggeQ0lRLlNBVkEuSVFfTUFSS0VUQ0FQLjIvNy8yMDI0AQAAAC+kAQACAAAACzEwNzIuODE3NzQzAQYAAAAFAAAAATEBAAAACy0yMDIwODQzMTAz</t>
  </si>
  <si>
    <t>AwAAAAMxNjACAAAABjEwMDA1NAQAAAABMAcAAAAIMi83LzIwMjS9ncYTIhPeCL2w+BUiE94IHkNJUS5ETkxJLklRX01BUktFVENBUC4yLzcvMjAyNAEAAAAOOfURAgAAAAsyMzQyLjQzNjU3NAEGAAAABQAAAAExAQAAAAstMjAyMDc1NDc5MwMAAAADMTYwAgAAAAYxMDAwNTQEAAAAATAHAAAACDIvNy8yMDI07w/HEyIT3gi9sPgVIhPeCB5DSVEuQUxFQy5JUV9NQVJLRVRDQVAuMi84LzIwMjQBAAAAa0DbDgIAAAAKNTkzLjc4NzE2OQEGAAAABQAAAAExAQAAAAstMjAyMDc0NzY3OQMAAAADMTYwAgAAAAYxMDAwNTQEAAAAATAHAAAACDIvOC8yMDI0usTGEyIT3gi9sPgVIhPeCB1DSVEuR1NLLklRX01BUktFVENBUC4yLzgvMjAyNAEAAADyMwQAAgAAAAw2Njk5NS41NDMwOTUBBgAAAAUAAAABMQEAAAALLTIwMTIxMTY2NzMDAAAAAjU1AgAAAAYxMDAwNTQEAAAAATAHAAAACDIvOC8yMDI07Tv/EyIT3gi9sPgVIhPeCB5DSVEuQURWTS5JUV9NQVJLRVRDQVAuMi84LzIwMjQBAAAAl7VXDAIAAAAKMTk5LjAyMzUyNQEGAAAABQAAAAExAQAAAAstMjAyMDA4MTgzNwMAAAADMTYwAgAAAAYxMDAwNTQEAAAAATAHAAAACDIvOC8yMDI01OvGEyIT3gi9sPgVIhPeCB1DSVEuQUlNLklRX01BUktFVENBUC4yLzgvMjAyNAEAAABzoK4oAgAAAAk1Ny40MjM4NjMBBgAAAAUAAAABMQEAAAALLTIwMjgyNDg5NzYDAAAAATkC</t>
  </si>
  <si>
    <t>AAAABjEwMDA1NAQAAAABMAcAAAAIMi84LzIwMjRxdsYTIhPeCL2w+BUiE94IHkNJUS5CRFJYLklRX01BUktFVENBUC4yLzgvMjAyNAEAAADOf5YQAgAAAAczLjQwNTM1AQYAAAAFAAAAATEBAAAACy0yMDI1MzIwMDY3AwAAAAMxNjACAAAABjEwMDA1NAQAAAABMAcAAAAIMi84LzIwMjTU68YTIhPeCL2w+BUiE94IHkNJUS5BTUxYLklRX01BUktFVENBUC4yLzgvMjAyNAEAAAAGoOcSAgAAAAsxMDQzLjgyNDQ2MQEGAAAABQAAAAExAQAAAAstMjAyMDM3NzYzOQMAAAADMTYwAgAAAAYxMDAwNTQEAAAAATAHAAAACDIvOC8yMDI0vZ3GEyIT3gi9sPgVIhPeCB5DSVEuQVRIQS5JUV9NQVJLRVRDQVAuMi84LzIwMjQBAAAAHBHbDwIAAAAKMTIwLjYzMzAxOQEGAAAABQAAAAExAQAAAAstMjAyMDA3ODI0OAMAAAADMTYwAgAAAAYxMDAwNTQEAAAAATAHAAAACDIvOC8yMDI01OvGEyIT3gi9sPgVIhPeCB1DSVEuVEFLLklRX01BUktFVENBUC4yLzkvMjAyNAEAAAAsWA0AAgAAAA42NjgyMDA4Ljc3NjMwOQEGAAAABQAAAAExAQAAAAstMjAxMTc4NTIzMwMAAAACNzkCAAAABjEwMDA1NAQAAAABMAcAAAAIMi85LzIwMjRxdsYTIhPeCL2w+BUiE94IHkNJUS5DTlRBLklRX01BUktFVENBUC4yLzkvMjAyNAEAAABN5/0pAgAAAAo5MDQuMDQ3NzM1AQYAAAAFAAAAATEBAAAACy0yMDE5Mzk3MDA0AwAAAAMxNjACAAAABjEw</t>
  </si>
  <si>
    <t>MDA1NAQAAAABMAcAAAAIMi85LzIwMjTU68YTIhPeCL2w+BUiE94IH0NJUS5DTlRBLklRX0xBU1RTQUxFUFJJQ0UuNDUzMzABAAAATef9KQIAAAAENy40NgBdKhUUIhPeCL2w+BUiE94IHkNJUS5PS1lPLklRX01BUktFVENBUC4yLzkvMjAyNAEAAABLz7YCAgAAAAk1Ni44MzM2NDYBBgAAAAUAAAABMQEAAAALLTIwMzI1MDQ2NzADAAAAAzE2MAIAAAAGMTAwMDU0BAAAAAEwBwAAAAgyLzkvMjAyNHF2xhMiE94IvbD4FSIT3ggoQ0lRLk9LWU8uSVFfUFJJQ0VfVk9MX0hJU1RfNk1USC4yLzkvMjAyNAEAAABLz7YCAgAAAAgxMDYuODMxMgDtO/8TIhPeCL2w+BUiE94IHkNJUS5OUlhQLklRX01BUktFVENBUC4yLzkvMjAyNAEAAAAVegkTAgAAAAg0Mi42MjU0OAEGAAAABQAAAAExAQAAAAstMjAxODk3MDM5MwMAAAADMTYwAgAAAAYxMDAwNTQEAAAAATAHAAAACDIvOS8yMDI0cXbGEyIT3gi9sPgVIhPeCB5DSVEuSVJPTi5JUV9NQVJLRVRDQVAuMi85LzIwMjQBAAAATt85JgIAAAALMTY0OC41NDk4MjgBBgAAAAUAAAABMQEAAAALLTIwMjAzNjQ2ODUDAAAAAzE2MAIAAAAGMTAwMDU0BAAAAAEwBwAAAAgyLzkvMjAyNNTrxhMiE94IvbD4FSIT3ggfQ0lRLkFOVFguSVFfTUFSS0VUQ0FQLjIvMTIvMjAyNAEAAADbsXMmAgAAAAkxNTEuNjgxMzcBBgAAAAUAAAABMQEAAAALLTIwMjAwNzYzMjMDAAAAAzE2MAIAAAAG</t>
  </si>
  <si>
    <t>MTAwMDU0BAAAAAEwBwAAAAkyLzEyLzIwMjTtO/8TIhPeCL2w+BUiE94IIENJUS5DU0xMWS5JUV9NQVJLRVRDQVAuMi8xMi8yMDI0AQAAAF9zDQACAAAADTE0MDIxMi45ODY5MTIBBgAAAAUAAAABMQEAAAALLTIwMTA4NTE3OTEDAAAAATkCAAAABjEwMDA1NAQAAAABMAcAAAAJMi8xMi8yMDI07w/HEyIT3gi9sPgVIhPeCB9DSVEuTFJNUi5JUV9NQVJLRVRDQVAuMi8xMi8yMDI0AQAAABdgHSICAAAACTM0My43ODMyMgEGAAAABQAAAAExAQAAAAstMjAxODg1NjAyOAMAAAADMTYwAgAAAAYxMDAwNTQEAAAAATAHAAAACTIvMTIvMjAyNL2dxhMiE94IvbD4FSIT3ggfQ0lRLkJUQUkuSVFfTUFSS0VUQ0FQLjIvMTIvMjAyNAEAAAANL2YgAgAAAAk1OS4yNDQ3MTMBBgAAAAUAAAABMQEAAAALLTIwMTkzODAxMzADAAAAAzE2MAIAAAAGMTAwMDU0BAAAAAEwBwAAAAkyLzEyLzIwMjTtO/8TIhPeCF1H9hUiE94IH0NJUS5QWVBELklRX01BUktFVENBUC4yLzEyLzIwMjQBAAAAfxbvAgIAAAAJMzIuODEzMjA0AQYAAAAFAAAAATEBAAAACy0yMDE5ODcyMDA3AwAAAAMxNjACAAAABjEwMDA1NAQAAAABMAcAAAAJMi8xMi8yMDI07Tv/EyIT3ghdR/YVIhPeCB9DSVEuTlVWTC5JUV9NQVJLRVRDQVAuMi8xMi8yMDI0AQAAAIVs3ikCAAAACzUyMzIuNzQ0NDM3AQYAAAAFAAAAATEBAAAACy0yMDE5MjEzOTM0AwAAAAMxNjAC</t>
  </si>
  <si>
    <t>AAAABjEwMDA1NAQAAAABMAcAAAAJMi8xMi8yMDI0YUvGEyIT3ghdR/YVIhPeCB5DSVEuVEFLLklRX01BUktFVENBUC4yLzEyLzIwMjQBAAAALFgNAAIAAAAONjY4MjAwOC43NzYzMDkBBgAAAAUAAAABMQEAAAALLTIwMTE3ODUyMzMDAAAAAjc5AgAAAAYxMDAwNTQEAAAAATAHAAAACTIvMTIvMjAyNO07/xMiE94IXUf2FSIT3ggfQ0lRLkpBR1guSVFfTUFSS0VUQ0FQLjIvMTIvMjAyNAEAAACMucMAAgAAAAg0LjUzNzUzMwEGAAAABQAAAAExAQAAAAstMjAxOTE0OTExOAMAAAADMTYwAgAAAAYxMDAwNTQEAAAAATAHAAAACTIvMTIvMjAyNHF2xhMiE94IXUf2FSIT3ggfQ0lRLlNHTU8uSVFfTUFSS0VUQ0FQLjIvMTIvMjAyNAEAAAACTAYAAgAAAAoxNDIuNzY0MzE5AQYAAAAFAAAAATEBAAAACy0yMDIxMzcxOTU3AwAAAAMxNjACAAAABjEwMDA1NAQAAAABMAcAAAAJMi8xMi8yMDI01OvGEyIT3ghdR/YVIhPeCB9DSVEuVE5YUC5JUV9NQVJLRVRDQVAuMi8xMi8yMDI0AQAAAGserQYCAAAACTIxLjY4NzMyOAEGAAAABQAAAAExAQAAAAstMjAyMDAyMDY2MAMAAAADMTYwAgAAAAYxMDAwNTQEAAAAATAHAAAACTIvMTIvMjAyNO07/xMiE94IXUf2FSIT3ggfQ0lRLkFOSVguSVFfTUFSS0VUQ0FQLjIvMTIvMjAyNAEAAAB6BgQAAgAAAAoxNDEuNDM0NDE4AQYAAAAFAAAAATEBAAAACy0yMDEzMDYxOTE3AwAAAAMx</t>
  </si>
  <si>
    <t>NjACAAAABjEwMDA1NAQAAAABMAcAAAAJMi8xMi8yMDI01OvGEyIT3ghdR/YVIhPeCB9DSVEuS1RSQS5JUV9NQVJLRVRDQVAuMi8xMi8yMDI0BQAAAAAAAAAIAAAAFChJbnZhbGlkIElkZW50aWZpZXIpYUvGEyIT3ghdR/YVIhPeCB9DSVEuRkRNVC5JUV9NQVJLRVRDQVAuMi8xMi8yMDI0AQAAACXQQxACAAAACzEzNzQuMTA4NDczAQYAAAAFAAAAATEBAAAACy0yMDIwMjMxOTAxAwAAAAMxNjACAAAABjEwMDA1NAQAAAABMAcAAAAJMi8xMi8yMDI0vZ3GEyIT3ghdR/YVIhPeCCBDSVEuUEhSUkYuSVFfTUFSS0VUQ0FQLjIvMTIvMjAyNAUAAAAAAAAACAAAABQoSW52YWxpZCBJZGVudGlmaWVyKXF2xhMiE94IXUf2FSIT3ggfQ0lRLkJNUk4uSVFfTUFSS0VUQ0FQLjIvMTIvMjAyNAEAAAAFZAAAAgAAAAwxNjYxMC4zMDUzMTkBBgAAAAUAAAABMQEAAAALLTIwMjE0MDA5NDYDAAAAAzE2MAIAAAAGMTAwMDU0BAAAAAEwBwAAAAkyLzEyLzIwMjTvD8cTIhPeCF1H9hUiE94IH0NJUS5LUllTLklRX01BUktFVENBUC4yLzEzLzIwMjQBAAAAKCfVHwIAAAALMzA2Ni44NzQyNjEBBgAAAAUAAAABMQEAAAALLTIwMjEwNjEyMjcDAAAAAzE2MAIAAAAGMTAwMDU0BAAAAAEwBwAAAAkyLzEzLzIwMjS9ncYTIhPeCF1H9hUiE94IH0NJUS5LQUxWLklRX01BUktFVENBUC4yLzEzLzIwMjQBAAAAEI4lCAIAAAAKNTEzLjE5Njgy</t>
  </si>
  <si>
    <t>OQEGAAAABQAAAAExAQAAAAstMjAxNTQzNTEwNwMAAAADMTYwAgAAAAYxMDAwNTQEAAAAATAHAAAACTIvMTMvMjAyNO07/xMiE94IXUf2FSIT3ggfQ0lRLkNBREwuSVFfTUFSS0VUQ0FQLjIvMTMvMjAyNAEAAACrWjoCAgAAAAk1Mi4wNTU2NTgBBgAAAAUAAAABMQEAAAALLTIwMjAyOTU0NzUDAAAAAzE2MAIAAAAGMTAwMDU0BAAAAAEwBwAAAAkyLzEzLzIwMjS9ncYTIhPeCF1H9hUiE94IH0NJUS5MQ1RYLklRX01BUktFVENBUC4yLzEzLzIwMjQBAAAAFmQAAAIAAAAKMTkyLjI0Nzc3NQEGAAAABQAAAAExAQAAAAstMjAyMDIzMTk5MwMAAAADMTYwAgAAAAYxMDAwNTQEAAAAATAHAAAACTIvMTMvMjAyNO07/xMiE94IXUf2FSIT3ggfQ0lRLlJDS1QuSVFfTUFSS0VUQ0FQLjIvMTMvMjAyNAEAAABAVoEZAgAAAAsyNjExLjkwMzE4OAEGAAAABQAAAAExAQAAAAstMjAyMDcyMzY5NwMAAAADMTYwAgAAAAYxMDAwNTQEAAAAATAHAAAACTIvMTMvMjAyNO07/xMiE94IXUf2FSIT3ggfQ0lRLkNBTEMuSVFfTUFSS0VUQ0FQLjIvMTMvMjAyNAEAAAAGYwoCAgAAAAk1Ni4xNzA4MDEBBgAAAAUAAAABMQEAAAALLTIwMTg4MTEwMzYDAAAAAzE2MAIAAAAGMTAwMDU0BAAAAAEwBwAAAAkyLzEzLzIwMjS6xMYTIhPeCF1H9hUiE94IH0NJUS5ST0lWLklRX01BUktFVENBUC4yLzEzLzIwMjQBAAAAOTjPEAIAAAALODcwMy4x</t>
  </si>
  <si>
    <t>MzY4NjUBBgAAAAUAAAABMQEAAAALLTIwMTA3NjI2MDADAAAAAzE2MAIAAAAGMTAwMDU0BAAAAAEwBwAAAAkyLzEzLzIwMjRxdsYTIhPeCF1H9hUiE94IH0NJUS5QVElYLklRX01BUktFVENBUC4yLzEzLzIwMjQBAAAAc69tcAMAAAAAAL2dxhMiE94IXUf2FSIT3ggfQ0lRLlBCWUkuSVFfTUFSS0VUQ0FQLjIvMTMvMjAyNAEAAAACaqwHAgAAAAoyOTUuNDE3OTcyAQYAAAAFAAAAATEBAAAACy0yMDIxMDgzODcyAwAAAAMxNjACAAAABjEwMDA1NAQAAAABMAcAAAAJMi8xMy8yMDI01OvGEyIT3ghdR/YVIhPeCB9DSVEuT0NVTC5JUV9NQVJLRVRDQVAuMi8xMy8yMDI0AQAAAEIxgAICAAAACjYxOS40Mjg2NzgBBgAAAAUAAAABMQEAAAALLTIwMjA3NDcwOTEDAAAAAzE2MAIAAAAGMTAwMDU0BAAAAAEwBwAAAAkyLzEzLzIwMjTU68YTIhPeCF1H9hUiE94IH0NJUS5NQUNLLklRX01BUktFVENBUC4yLzEzLzIwMjQBAAAA0WsZAAIAAAAKMjE0LjgxNDI5NQEGAAAABQAAAAExAQAAAAstMjAyMTU5MTMyMQMAAAADMTYwAgAAAAYxMDAwNTQEAAAAATAHAAAACTIvMTMvMjAyNGFLxhMiE94IXUf2FSIT3gggQ0lRLklQU0VZLklRX01BUktFVENBUC4yLzEzLzIwMjQBAAAARhACAAIAAAALODUwOS42NDU4MDkBBgAAAAUAAAABMQEAAAALLTIwMTEzMDIwMTYDAAAAAjUwAgAAAAYxMDAwNTQEAAAAATAHAAAACTIvMTMvMjAy</t>
  </si>
  <si>
    <t>NNTrxhMiE94IXUf2FSIT3ggfQ0lRLkFMTEsuSVFfTUFSS0VUQ0FQLjEvMTYvMjAyNAEAAAA5/m0NAgAAAAoxMDQuMDk2ODQyAQYAAAAFAAAAATEBAAAACy0yMDE5MjQ3MTkzAwAAAAMxNjACAAAABjEwMDA1NAQAAAABMAcAAAAJMS8xNi8yMDI07Tv/EyIT3ggykAQWIhPeCB9DSVEuSEFMTy5JUV9NQVJLRVRDQVAuMS8xNi8yMDI0AQAAAEYFeQACAAAACjQ4MDMuMDg3MjgBBgAAAAUAAAABMQEAAAALLTIwMjA5NzI2NzEDAAAAAzE2MAIAAAAGMTAwMDU0BAAAAAEwBwAAAAkxLzE2LzIwMjS6xMYTIhPeCDKQBBYiE94IHkNJUS5UQUsuSVFfTUFSS0VUQ0FQLjEvMTYvMjAyNAEAAAAsWA0AAgAAAA42OTA0NzYzLjAxMjE1MQEGAAAABQAAAAExAQAAAAstMjAyMTk4NDU2MwMAAAACNzkCAAAABjEwMDA1NAQAAAABMAcAAAAJMS8xNi8yMDI07Tv/EyIT3ggykAQWIhPeCB9DSVEuQ1JTUC5JUV9NQVJLRVRDQVAuMS8xNi8yMDI0AQAAAMgvpg8CAAAACjUwMzguNDAwMDUBBgAAAAUAAAABMQEAAAALLTIwMjA4NzcyMTUDAAAAAzE2MAIAAAAGMTAwMDU0BAAAAAEwBwAAAAkxLzE2LzIwMjTU68YTIhPeCDKQBBYiE94IH0NJUS5WUlRYLklRX01BUktFVENBUC4xLzE2LzIwMjQBAAAAi40AAAIAAAANMTEyNzMzLjgxNjE2OAEGAAAABQAAAAExAQAAAAstMjAyMDY5NTk3MwMAAAADMTYwAgAAAAYxMDAwNTQEAAAAATAHAAAA</t>
  </si>
  <si>
    <t>CTEvMTYvMjAyNHF2xhMiE94IMpAEFiIT3ggfQ0lRLlNSUFQuSVFfTUFSS0VUQ0FQLjEvMTYvMjAyNAEAAABYiAUAAgAAAAwxMDc5NC4zNTE1MjEBBgAAAAUAAAABMQEAAAALLTIwMjE3ODE4ODADAAAAAzE2MAIAAAAGMTAwMDU0BAAAAAEwBwAAAAkxLzE2LzIwMjTU68YTIhPeCDKQBBYiE94IH0NJUS5CR05FLklRX01BUktFVENBUC4xLzE2LzIwMjQBAAAA4OTdBgIAAAAMMTgxMTguMTI4MTA1AQYAAAAFAAAAAjI5AgAAAAYxMDAwNTQBAAAACy0yMDE5NjA3NTY3AwAAAAMxNjAEAAAAATAHAAAACTEvMTYvMjAyNHF2xhMiE94IMpAEFiIT3ggeQ0lRLk9OQy5JUV9NQVJLRVRDQVAuMS8xNi8yMDI0AQAAAODk3QYCAAAADDE4MTE4LjEyODEwNQEGAAAABQAAAAIyOQIAAAAGMTAwMDU0AQAAAAstMjAxOTYwNzU2NwMAAAADMTYwBAAAAAEwBwAAAAkxLzE2LzIwMjTU68YTIhPeCDKQBBYiE94IH0NJUS5MUFRYLklRX01BUktFVENBUC4xLzE2LzIwMjQBAAAADDYJBwIAAAAJODguNzExOTg3AQYAAAAFAAAAATEBAAAACy0yMDE5NTg1MjAyAwAAAAMxNjACAAAABjEwMDA1NAQAAAABMAcAAAAJMS8xNi8yMDI0cXbGEyIT3ggykAQWIhPeCB9DSVEuUkNVUy5JUV9NQVJLRVRDQVAuMS8xNi8yMDI0AQAAADS/ZRMCAAAACzEyNjUuMDU5MDQ5AQYAAAAFAAAAATEBAAAACy0yMDIwNzQ3MDk4AwAAAAMxNjACAAAABjEwMDA1</t>
  </si>
  <si>
    <t>NAQAAAABMAcAAAAJMS8xNi8yMDI0YUvGEyIT3ggykAQWIhPeCB9DSVEuQURBRy5JUV9NQVJLRVRDQVAuMS8xNi8yMDI0AQAAABAGCwcCAAAACjE2NS42OTUwNTYBBgAAAAUAAAABMQEAAAALLTIwMjg2NzExNzkDAAAAAzE2MAIAAAAGMTAwMDU0BAAAAAEwBwAAAAkxLzE2LzIwMjTU68YTIhPeCDKQBBYiE94IH0NJUS5BQ1hQLklRX01BUktFVENBUC4xLzE3LzIwMjQBAAAAzsxCIQIAAAAJNjIuMjMxMTc5AQYAAAAFAAAAATEBAAAACy0yMDE5NDEzNzExAwAAAAMxNjACAAAABjEwMDA1NAQAAAABMAcAAAAJMS8xNy8yMDI0cXbGEyIT3ggykAQWIhPeCB9DSVEuRVZHTi5JUV9NQVJLRVRDQVAuMS8xNy8yMDI0AQAAAPq9oCkCAAAACTMyLjUxNzg1NAEGAAAABQAAAAExAQAAAAstMjAxNzMzNzA1NgMAAAACMjcCAAAABjEwMDA1NAQAAAABMAcAAAAJMS8xNy8yMDI0usTGEyIT3ggykAQWIhPeCB5DSVEuQk1ZLklRX01BUktFVENBUC4xLzE3LzIwMjQBAAAAxmQAAAIAAAANMTAxNjk3LjE5MTk0NQEGAAAABQAAAAExAQAAAAstMjAyMjc1MDUwOQMAAAADMTYwAgAAAAYxMDAwNTQEAAAAATAHAAAACTEvMTcvMjAyNHF2xhMiE94IMpAEFiIT3ggfQ0lRLktBTlQuSVFfTUFSS0VUQ0FQLjEvMTcvMjAyNAUAAAAAAAAACAAAABQoSW52YWxpZCBJZGVudGlmaWVyKe8PxxMiE94IMpAEFiIT3ggfQ0lRLlJFR04uSVFfTUFS</t>
  </si>
  <si>
    <t>S0VUQ0FQLjEvMTcvMjAyNAEAAACzgwAAAgAAAAw5ODgxMC4xNzMyNDQBBgAAAAUAAAABMQEAAAALLTIwMjEzODA5NzUDAAAAAzE2MAIAAAAGMTAwMDU0BAAAAAEwBwAAAAkxLzE3LzIwMjRhS8YTIhPeCDKQBBYiE94IH0NJUS5NQUlBLklRX01BUktFVENBUC4xLzE3LzIwMjQBAAAAdfKfJQIAAAAJMjUuMDc2NzU2AQYAAAAFAAAAATEBAAAACy0yMDIwODQ4Nzg0AwAAAAMxNjACAAAABjEwMDA1NAQAAAABMAcAAAAJMS8xNy8yMDI07Tv/EyIT3ggykAQWIhPeCB9DSVEuTFNUQS5JUV9NQVJLRVRDQVAuMS8xNy8yMDI0AQAAAGApBQACAAAACDIzLjkyOTk4AQYAAAAFAAAAATEBAAAACy0yMDIxNTQ0MTk2AwAAAAMxNjACAAAABjEwMDA1NAQAAAABMAcAAAAJMS8xNy8yMDI0usTGEyIT3givJwIWIhPeCB9DSVEuQ0FUWC5JUV9NQVJLRVRDQVAuMS8xNy8yMDI0AQAAAOqVlwACAAAACjEyMi4zNTcwMjIBBgAAAAUAAAABMQEAAAALLTIwMTgyOTYyNzMDAAAAAzE2MAIAAAAGMTAwMDU0BAAAAAEwBwAAAAkxLzE3LzIwMjTvD8cTIhPeCK8nAhYiE94IH0NJUS5DTlNQLklRX01BUktFVENBUC4xLzE3LzIwMjQBAAAAWSQjIQIAAAAIMy42ODc5MzQBBgAAAAUAAAABMQEAAAALLTIwMTg5MjA3OTkDAAAAAzE2MAIAAAAGMTAwMDU0BAAAAAEwBwAAAAkxLzE3LzIwMjTU68YTIhPeCK8nAhYiE94IHkNJUS5QRkUuSVFfTUFS</t>
  </si>
  <si>
    <t>S0VUQ0FQLjEvMTcvMjAyNAEAAADeeQIAAgAAAAwxNTg5NDYuNTM0MTcBBgAAAAUAAAABMQEAAAALLTIwMjA0NDc5NjADAAAAAzE2MAIAAAAGMTAwMDU0BAAAAAEwBwAAAAkxLzE3LzIwMjRhS8YTIhPeCK8nAhYiE94IH0NJUS5DUkRGLklRX01BUktFVENBUC4xLzE3LzIwMjQBAAAAvDqnAAIAAAAJNjUuNjc1NDM4AQYAAAAFAAAAATEBAAAACy0yMDIxNTQ0MjU4AwAAAAMxNjACAAAABjEwMDA1NAQAAAABMAcAAAAJMS8xNy8yMDI0cXbGEyIT3givJwIWIhPeCB9DSVEuSVhITC5JUV9NQVJLRVRDQVAuMS8xNy8yMDI0AQAAADukYRMCAAAACTcwLjk1MjgxNQEGAAAABQAAAAExAQAAAAstMjAyOTE2MjE4NAMAAAADMTYwAgAAAAYxMDAwNTQEAAAAATAHAAAACTEvMTcvMjAyNGFLxhMiE94IrycCFiIT3ggfQ0lRLlBCTEEuSVFfTUFSS0VUQ0FQLjEvMTgvMjAyNAEAAAA29dgKAgAAAAgzLjE5NDY4NwEGAAAABQAAAAExAQAAAAstMjAyMDA2NTQ2NQMAAAADMTYwAgAAAAYxMDAwNTQEAAAAATAHAAAACTEvMTgvMjAyNO8PxxMiE94IrycCFiIT3ggfQ0lRLk1UVkEuSVFfTUFSS0VUQ0FQLjEvMTgvMjAyNAEAAABzr5glAgAAAAkxNi42NDA4NjUBBgAAAAUAAAABMQEAAAALLTIwMTkzOTY5OTMDAAAAAzE2MAIAAAAGMTAwMDU0BAAAAAEwBwAAAAkxLzE4LzIwMjTvD8cTIhPeCK8nAhYiE94IH0NJUS5DTERYLklRX01B</t>
  </si>
  <si>
    <t>UktFVENBUC4xLzE4LzIwMjQBAAAAVcySAAIAAAALMjE2OC45NzM1NTMBBgAAAAUAAAABMQEAAAALLTIwMjExNzMzMjIDAAAAAzE2MAIAAAAGMTAwMDU0BAAAAAEwBwAAAAkxLzE4LzIwMjRxdsYTIhPeCK8nAhYiE94IH0NJUS5DSFJTLklRX01BUktFVENBUC4xLzE4LzIwMjQBAAAAx3pVDAIAAAAKMjY3LjI3Mzk2NQEGAAAABQAAAAExAQAAAAstMjAyMDk3Mjg1NQMAAAADMTYwAgAAAAYxMDAwNTQEAAAAATAHAAAACTEvMTgvMjAyNHF2xhMiE94IrycCFiIT3ggfQ0lRLkRDUEguSVFfTUFSS0VUQ0FQLjEvMTgvMjAyNAUAAAAAAAAACAAAABQoSW52YWxpZCBJZGVudGlmaWVyKe8PxxMiE94IrycCFiIT3ggfQ0lRLlpMQUIuSVFfTUFSS0VUQ0FQLjEvMTgvMjAyNAEAAAB3AikQAgAAAAsyMzI1LjgyOTc3MQEGAAAABQAAAAExAQAAAAstMjAyMDc1NTY3MAMAAAADMTYwAgAAAAYxMDAwNTQEAAAAATAHAAAACTEvMTgvMjAyNLrExhMiE94IrycCFiIT3ggeQ0lRLk5WUy5JUV9NQVJLRVRDQVAuMS8xOS8yMDI0AQAAAKm16A8CAAAACzEzNzEuNDQwOTA2AQYAAAAFAAAAATEBAAAACy0yMDE4ODkyNzk0AwAAAAMxNzQCAAAABjEwMDA1NAQAAAABMAcAAAAJMS8xOS8yMDI0vZ3GEyIT3givJwIWIhPeCB5DSVEuQVpOLklRX01BUktFVENBUC4xLzE5LzIwMjQBAAAAhiMFAAIAAAAMMTYyODkxLjA4ODc0AQYAAAAFAAAA</t>
  </si>
  <si>
    <t>ATEBAAAACy0yMDIwNDQ2MzIzAwAAAAI1NQIAAAAGMTAwMDU0BAAAAAEwBwAAAAkxLzE5LzIwMjS6xMYTIhPeCK8nAhYiE94IH0NJUS5URVZBLklRX01BUktFVENBUC4xLzE5LzIwMjQBAAAAT7MEAAIAAAAMMTI1MzIuNDU4MDM4AQYAAAAFAAAAATEBAAAACy0yMDE5ODQ2MjA1AwAAAAMxNjACAAAABjEwMDA1NAQAAAABMAcAAAAJMS8xOS8yMDI0usTGEyIT3givJwIWIhPeCB9DSVEuQUxWTy5JUV9NQVJLRVRDQVAuMS8xOS8yMDI0AQAAAD2JUSkCAAAACzM3NTQuNTkwMjY5AQYAAAAFAAAAATEBAAAACy0yMDE2NTIzOTUxAwAAAAMxNjACAAAABjEwMDA1NAQAAAABMAcAAAAJMS8xOS8yMDI07Tv/EyIT3givJwIWIhPeCB9DSVEuUkNVUy5JUV9NQVJLRVRDQVAuMS8xOS8yMDI0AQAAADS/ZRMCAAAACzExNDguMjg0MzY3AQYAAAAFAAAAATEBAAAACy0yMDIwNzQ3MDk4AwAAAAMxNjACAAAABjEwMDA1NAQAAAABMAcAAAAJMS8xOS8yMDI0cXbGEyIT3givJwIWIhPeCB5DSVEuQk1ZLklRX01BUktFVENBUC4xLzIwLzIwMjQBAAAAxmQAAAIAAAANMTAxOTYxLjcxMDQ1MgEGAAAABQAAAAExAQAAAAstMjAyMjc1MDUwOQMAAAADMTYwAgAAAAYxMDAwNTQEAAAAATAHAAAACTEvMjAvMjAyNO8PxxMiE94IrycCFiIT3ggeQ0lRLkFaTi5JUV9NQVJLRVRDQVAuMS8yMi8yMDI0AQAAAIYjBQACAAAADTE2NDE2Mi4yMjIw</t>
  </si>
  <si>
    <t>OTMBBgAAAAUAAAABMQEAAAALLTIwMjA0NDYzMjMDAAAAAjU1AgAAAAYxMDAwNTQEAAAAATAHAAAACTEvMjIvMjAyNNTrxhMiE94IrycCFiIT3ggeQ0lRLkFJTS5JUV9NQVJLRVRDQVAuMS8yMi8yMDI0AQAAAHOgrigCAAAACTYyLjY0NDIxNAEGAAAABQAAAAExAQAAAAstMjAyODI0ODk3NgMAAAABOQIAAAAGMTAwMDU0BAAAAAEwBwAAAAkxLzIyLzIwMjRxdsYTIhPeCK8nAhYiE94IH0NJUS5DTFJCLklRX01BUktFVENBUC4xLzIyLzIwMjQBAAAA8+49AgIAAAAJNDQuNzI5NDU3AQYAAAAFAAAAATEBAAAACy0yMDE5NTkzMjIyAwAAAAMxNjACAAAABjEwMDA1NAQAAAABMAcAAAAJMS8yMi8yMDI01OvGEyIT3givJwIWIhPeCB9DSVEuVFZSRC5JUV9NQVJLRVRDQVAuMS8yMi8yMDI0AQAAALjo/SEDAAAAAADvD8cTIhPeCK8nAhYiE94IH0NJUS5TR01ULklRX01BUktFVENBUC4xLzIyLzIwMjQBAAAABBEPAgIAAAAKNDIxLjc0MjMzMQEGAAAABQAAAAExAQAAAAstMjAxOTU2NjcxMQMAAAADMTYwAgAAAAYxMDAwNTQEAAAAATAHAAAACTEvMjIvMjAyNO8PxxMiE94IrycCFiIT3ggfQ0lRLkFHRU4uSVFfTUFSS0VUQ0FQLjEvMjIvMjAyNAEAAABkQQYAAgAAAAoyMjQuNTEwMDc4AQYAAAAFAAAAATEBAAAACy0yMDE5OTAxNzYzAwAAAAMxNjACAAAABjEwMDA1NAQAAAABMAcAAAAJMS8yMi8yMDI0cXbGEyIT3giv</t>
  </si>
  <si>
    <t>JwIWIhPeCB9DSVEuSU9OUy5JUV9NQVJLRVRDQVAuMS8yMi8yMDI0AQAAAFx2AAACAAAACjczMTguNTEyNzkBBgAAAAUAAAABMQEAAAALLTIwMjEyNjM0NTIDAAAAAzE2MAIAAAAGMTAwMDU0BAAAAAEwBwAAAAkxLzIyLzIwMjTvD8cTIhPeCIu5/xUiE94IH0NJUS5TRUVMLklRX01BUktFVENBUC4xLzIyLzIwMjQBAAAA7DT9FwIAAAAJMTIuNTM3MDM3AQYAAAAFAAAAATEBAAAACy0yMDE4OTgzNDk3AwAAAAMxNjACAAAABjEwMDA1NAQAAAABMAcAAAAJMS8yMi8yMDI0usTGEyIT3giLuf8VIhPeCB9DSVEuU1BSQi5JUV9NQVJLRVRDQVAuMS8yMi8yMDI0AQAAAPES5hgCAAAACTk5LjMzNDI5NQEGAAAABQAAAAExAQAAAAstMjAxODc2NzA5NAMAAAADMTYwAgAAAAYxMDAwNTQEAAAAATAHAAAACTEvMjIvMjAyNL2dxhMiE94Ii7n/FSIT3ggfQ0lRLlNYVFAuSVFfTUFSS0VUQ0FQLjEvMjIvMjAyNAEAAAB8QWsOAgAAAAg0LjM1NTQxMQEGAAAABQAAAAExAQAAAAstMjAxNzgyMzExNgMAAAADMTYwAgAAAAYxMDAwNTQEAAAAATAHAAAACTEvMjIvMjAyNLrExhMiE94Ii7n/FSIT3ggfQ0lRLkdJTEQuSVFfTUFSS0VUQ0FQLjEvMjIvMjAyNAEAAABKcQAAAgAAAAw5NzcyNy4wNjU4MjUBBgAAAAUAAAABMQEAAAALLTIwMjA2MTE1MjkDAAAAAzE2MAIAAAAGMTAwMDU0BAAAAAEwBwAAAAkxLzIyLzIwMjTtO/8TIhPe</t>
  </si>
  <si>
    <t>CIu5/xUiE94IH0NJUS5DUkJQLklRX01BUktFVENBUC4xLzIzLzIwMjQBAAAAJG8kDwIAAAAJMzIuMjkyODg2AQYAAAAFAAAAATEBAAAACy0yMDIwNjUzNjA5AwAAAAMxNjACAAAABjEwMDA1NAQAAAABMAcAAAAJMS8yMy8yMDI07Tv/EyIT3giLuf8VIhPeCB9DSVEuQVJUTC5JUV9NQVJLRVRDQVAuMS8yMy8yMDI0AQAAAM+/VhACAAAACDQuNDAwNzYxAQYAAAAFAAAAATEBAAAACy0yMDE5NTgzNTYxAwAAAAMxNjACAAAABjEwMDA1NAQAAAABMAcAAAAJMS8yMy8yMDI0cXbGEyIT3giLuf8VIhPeCB5DSVEuTExZLklRX01BUktFVENBUC4xLzIzLzIwMjQBAAAAG1sEAAIAAAANNTY2Mjc1Ljc4MDk5NAEGAAAABQAAAAExAQAAAAstMjAyMTQ1MTk2OAMAAAADMTYwAgAAAAYxMDAwNTQEAAAAATAHAAAACTEvMjMvMjAyNO8PxxMiE94Ii7n/FSIT3ggfQ0lRLlZOREEuSVFfTUFSS0VUQ0FQLjEvMjMvMjAyNAEAAAAjh3YBAgAAAAoyMTMuNDQzNzE2AQYAAAAFAAAAATEBAAAACy0yMDIwMjAzNjU2AwAAAAMxNjACAAAABjEwMDA1NAQAAAABMAcAAAAJMS8yMy8yMDI0cXbGEyIT3giLuf8VIhPeCB9DSVEuSFJUWC5JUV9NQVJLRVRDQVAuMS8yMy8yMDI0AQAAAC5fAAACAAAACjMzMC4xNTk4MDgBBgAAAAUAAAABMQEAAAALLTIwMTkyMTM4MjcDAAAAAzE2MAIAAAAGMTAwMDU0BAAAAAEwBwAAAAkxLzIzLzIwMjS9ncYT</t>
  </si>
  <si>
    <t>IhPeCIu5/xUiE94IH0NJUS5VUkdOLklRX01BUktFVENBUC4xLzI0LzIwMjQBAAAA1dJYDgIAAAAKNDY0LjIyOTQ1MwEGAAAABQAAAAExAQAAAAstMjAxOTM4MDE3OQMAAAADMTYwAgAAAAYxMDAwNTQEAAAAATAHAAAACTEvMjQvMjAyNLrExhMiE94Ii7n/FSIT3ggfQ0lRLkFOVlMuSVFfTUFSS0VUQ0FQLjEvMjQvMjAyNAEAAAAv0R0lAgAAAAk5My4yODQwNjIBBgAAAAUAAAABMQEAAAALLTIwMjA0Nzc0MzIDAAAAAzE2MAIAAAAGMTAwMDU0BAAAAAEwBwAAAAkxLzI0LzIwMjS9ncYTIhPeCIu5/xUiE94IH0NJUS5FTlNDLklRX01BUktFVENBUC4xLzI1LzIwMjQBAAAAP0YWAwIAAAAINC43MTkxMDIBBgAAAAUAAAABMQEAAAALLTIwMjAwMTM2ODIDAAAAAzE2MAIAAAAGMTAwMDU0BAAAAAEwBwAAAAkxLzI1LzIwMjTvD8cTIhPeCIu5/xUiE94IH0NJUS5QQkxBLklRX01BUktFVENBUC4xLzI1LzIwMjQBAAAANvXYCgIAAAAIMS41NjEzMTMBBgAAAAUAAAABMQEAAAALLTIwMjAwNjU0NjUDAAAAAzE2MAIAAAAGMTAwMDU0BAAAAAEwBwAAAAkxLzI1LzIwMjTvD8cTIhPeCIu5/xUiE94IH0NJUS5WRVJBLklRX01BUktFVENBUC4xLzI1LzIwMjQBAAAAncW6KAIAAAALMTEyNC41OTc4MzgBBgAAAAUAAAABMQEAAAALLTIwMTk4ODIxMzADAAAAAzE2MAIAAAAGMTAwMDU0BAAAAAEwBwAAAAkxLzI1LzIwMjS9ncYT</t>
  </si>
  <si>
    <t>IhPeCIu5/xUiE94IH0NJUS5DWVRLLklRX01BUktFVENBUC4xLzI1LzIwMjQBAAAAs2oAAAIAAAALODEyOS42Mjc4NzMBBgAAAAUAAAABMQEAAAALLTIwMjEyMTg4OTEDAAAAAzE2MAIAAAAGMTAwMDU0BAAAAAEwBwAAAAkxLzI1LzIwMjRhS8YTIhPeCIu5/xUiE94IH0NJUS5FWEVMLklRX01BUktFVENBUC4xLzI1LzIwMjQBAAAAsm4AAAIAAAALNjg2OS40MTgxNTYBBgAAAAUAAAABMQEAAAALLTIwMjE3Nzk3NzgDAAAAAzE2MAIAAAAGMTAwMDU0BAAAAAEwBwAAAAkxLzI1LzIwMjTtO/8TIhPeCIu5/xUiE94IIENJUS5JUFNFWS5JUV9NQVJLRVRDQVAuMS8yNS8yMDI0AQAAAEYQAgACAAAACjg4NDguNzA4NDcBBgAAAAUAAAABMQEAAAALLTIwMzYxNTg3MzADAAAAAjUwAgAAAAYxMDAwNTQEAAAAATAHAAAACTEvMjUvMjAyNNTrxhMiE94Ii7n/FSIT3ggfQ0lRLlNSUksuSVFfTUFSS0VUQ0FQLjEvMjUvMjAyNAEAAACQLbYgAgAAAAsxMDc1LjY1NTk3NwEGAAAABQAAAAExAQAAAAstMjAyMDg2MzI0NAMAAAADMTYwAgAAAAYxMDAwNTQEAAAAATAHAAAACTEvMjUvMjAyNO07/xMiE94Ii7n/FSIT3ggfQ0lRLlBDU0EuSVFfTUFSS0VUQ0FQLjEvMjUvMjAyNAEAAACbHKcfAgAAAAg2LjI4MTU0OAEGAAAABQAAAAExAQAAAAstMjAxOTQwODc5OAMAAAADMTYwAgAAAAYxMDAwNTQEAAAAATAHAAAACTEvMjUvMjAy</t>
  </si>
  <si>
    <t>NLrExhMiE94Ii7n/FSIT3ggfQ0lRLkVQSVguSVFfTUFSS0VUQ0FQLjEvMjUvMjAyNAEAAABMsWgQAgAAAAozMDAuMTY2MTk4AQYAAAAFAAAAATEBAAAACy0yMDE1MTI0NDU5AwAAAAMxNjACAAAABjEwMDA1NAQAAAABMAcAAAAJMS8yNS8yMDI07Tv/EyIT3giLuf8VIhPeCB9DSVEuUkVHTi5JUV9NQVJLRVRDQVAuMS8yNS8yMDI0AQAAALODAAACAAAADTEwMDkwOS40NjI3MDgBBgAAAAUAAAABMQEAAAALLTIwMjEzODA5NzUDAAAAAzE2MAIAAAAGMTAwMDU0BAAAAAEwBwAAAAkxLzI1LzIwMjTU68YTIhPeCIu5/xUiE94IHkNJUS5TTlkuSVFfTUFSS0VUQ0FQLjEvMjUvMjAyNAEAAAAafAoAAgAAAA0xMTQ5NTcuMzI3MDE3AQYAAAAFAAAAATEBAAAACy0yMDIyNjk1MDg5AwAAAAI1MAIAAAAGMTAwMDU0BAAAAAEwBwAAAAkxLzI1LzIwMjTtO/8TIhPeCIu5/xUiE94IHkNJUS5CTVkuSVFfTUFSS0VUQ0FQLjEvMjUvMjAyNAEAAADGZAAAAgAAAA0xMDA5NDQuMzMxNTgxAQYAAAAFAAAAATEBAAAACy0yMDIyNzUwNTA5AwAAAAMxNjACAAAABjEwMDA1NAQAAAABMAcAAAAJMS8yNS8yMDI01OvGEyIT3giLuf8VIhPeCB9DSVEuQ1JCUC5JUV9NQVJLRVRDQVAuMS8yNi8yMDI0AQAAACRvJA8CAAAACjEzMC40NTQ0MTIBBgAAAAUAAAABMQEAAAALLTIwMjA2NTM2MDkDAAAAAzE2MAIAAAAGMTAwMDU0BAAAAAEwBwAA</t>
  </si>
  <si>
    <t>AAkxLzI2LzIwMjRxdsYTIhPeCIu5/xUiE94IHkNJUS5NUksuSVFfTUFSS0VUQ0FQLjEvMjYvMjAyNAEAAAD2ZgQAAgAAAA0zMDYxNjAuNjY5MDA5AQYAAAAFAAAAATEBAAAACy0yMDIxMjYzNDgzAwAAAAMxNjACAAAABjEwMDA1NAQAAAABMAcAAAAJMS8yNi8yMDI07Tv/EyIT3giLuf8VIhPeCB5DSVEuQk1ZLklRX01BUktFVENBUC4xLzI3LzIwMjQBAAAAxmQAAAIAAAANMTAxMTI3LjQ1OTc3NwEGAAAABQAAAAExAQAAAAstMjAyMjc1MDUwOQMAAAADMTYwAgAAAAYxMDAwNTQEAAAAATAHAAAACTEvMjcvMjAyNNTrxhMiE94Ic5L/FSIT3ggfQ0lRLkhBTE8uSVFfTUFSS0VUQ0FQLjEvMjcvMjAyNAEAAABGBXkAAgAAAAs0NTE5LjA3NjM0MwEGAAAABQAAAAExAQAAAAstMjAyMDk3MjY3MQMAAAADMTYwAgAAAAYxMDAwNTQEAAAAATAHAAAACTEvMjcvMjAyNO07/xMiE94IZmv/FSIT3ggeQ0lRLk1SSy5JUV9NQVJLRVRDQVAuMS8yOS8yMDI0AQAAAPZmBAACAAAADTMwNzMyNi4zMTk2MjgBBgAAAAUAAAABMQEAAAALLTIwMjEyNjM0ODMDAAAAAzE2MAIAAAAGMTAwMDU0BAAAAAEwBwAAAAkxLzI5LzIwMjS6xMYTIhPeCGZr/xUiE94IH0NJUS5OTlZDLklRX01BUktFVENBUC4xLzI5LzIwMjQBAAAAj8JYAQIAAAAIMTMuNzQyMjkBBgAAAAUAAAABMQEAAAALLTIwMTg5NTE5MjIDAAAAAzE2MAIAAAAGMTAwMDU0</t>
  </si>
  <si>
    <t>BAAAAAEwBwAAAAkxLzI5LzIwMjTvD8cTIhPeCF1E/xUiE94IHkNJUS5BWk4uSVFfTUFSS0VUQ0FQLjEvMjkvMjAyNAEAAACGIwUAAgAAAA0xNjM4MjEuMTg2MzE2AQYAAAAFAAAAATEBAAAACy0yMDIwNDQ2MzIzAwAAAAI1NQIAAAAGMTAwMDU0BAAAAAEwBwAAAAkxLzI5LzIwMjS6xMYTIhPeCF1E/xUiE94IH0NJUS5BQ1hQLklRX01BUktFVENBUC4xLzI5LzIwMjQBAAAAzsxCIQIAAAAJNTAuNjY2MDkzAQYAAAAFAAAAATEBAAAACy0yMDE5NDEzNzExAwAAAAMxNjACAAAABjEwMDA1NAQAAAABMAcAAAAJMS8yOS8yMDI0vZ3GEyIT3ghRHf8VIhPeCB9DSVEuU1JQVC5JUV9NQVJLRVRDQVAuMS8yOS8yMDI0AQAAAFiIBQACAAAADDExMjcyLjM3NTA2MQEGAAAABQAAAAExAQAAAAstMjAyMTc4MTg4MAMAAAADMTYwAgAAAAYxMDAwNTQEAAAAATAHAAAACTEvMjkvMjAyNNTrxhMiE94IMPb+FSIT3ggfQ0lRLlBBTEkuSVFfTUFSS0VUQ0FQLjEvMjkvMjAyNAEAAAAZwJAOAgAAAAg4LjkwNDc2OAEGAAAABQAAAAExAQAAAAstMjAyMDAxODEzMAMAAAADMTYwAgAAAAYxMDAwNTQEAAAAATAHAAAACTEvMjkvMjAyNHF2xhMiE94IMPb+FSIT3ggeQ0lRLlRBSy5JUV9NQVJLRVRDQVAuMS8yOS8yMDI0AQAAACxYDQACAAAADjY4NDM1NzYuNDgyMjYyAQYAAAAFAAAAATEBAAAACy0yMDIxOTg0NTYzAwAAAAI3OQIAAAAG</t>
  </si>
  <si>
    <t>MTAwMDU0BAAAAAEwBwAAAAkxLzI5LzIwMjS9ncYTIhPeCCLP/hUiE94IH0NJUS5MSVhULklRX01BUktFVENBUC4xLzI5LzIwMjQBAAAArEW9AQIAAAAINC44MzU5NzQBBgAAAAUAAAABMQEAAAALLTIwMTk5OTQ1MTYDAAAAAzE2MAIAAAAGMTAwMDU0BAAAAAEwBwAAAAkxLzI5LzIwMjTU68YTIhPeCCLP/hUiE94IHkNJUS5JS1QuSVFfTUFSS0VUQ0FQLjEvMjkvMjAyNAEAAAD8IMoGAgAAAAkxOS44MTk0MzkBBgAAAAUAAAABMQEAAAALLTIwMTg5NzAzMTYDAAAAAzE2MAIAAAAGMTAwMDU0BAAAAAEwBwAAAAkxLzI5LzIwMjTtO/8TIhPeCGOo/hUiE94IH0NJUS5LUkJQLklRX01BUktFVENBUC4xLzI5LzIwMjQBAAAAQLl/JwIAAAAIMi4yMjc0NzQBBgAAAAUAAAABMQEAAAALLTIwMTg5NDc4MzEDAAAAAzE2MAIAAAAGMTAwMDU0BAAAAAEwBwAAAAkxLzI5LzIwMjTvD8cTIhPeCESB/hUiE94IH0NJUS5BTFZPLklRX01BUktFVENBUC4xLzI5LzIwMjQBAAAAPYlRKQIAAAALNDA0OS4zMjgyNjEBBgAAAAUAAAABMQEAAAALLTIwMTY1MjM5NTEDAAAAAzE2MAIAAAAGMTAwMDU0BAAAAAEwBwAAAAkxLzI5LzIwMjRxdsYTIhPeCESB/hUiE94IH0NJUS5SQ1VTLklRX01BUktFVENBUC4xLzMwLzIwMjQBAAAANL9lEwIAAAALMTQxNi4yNzIzMzUBBgAAAAUAAAABMQEAAAALLTIwMjA3NDcwOTgDAAAAAzE2MAIAAAAG</t>
  </si>
  <si>
    <t>MTAwMDU0BAAAAAEwBwAAAAkxLzMwLzIwMjTU68YTIhPeCPRZ/hUiE94IH0NJUS5LVVJBLklRX01BUktFVENBUC4xLzMwLzIwMjQBAAAAuMvaEAIAAAALMTU3Ny4yODAwNjUBBgAAAAUAAAABMQEAAAALLTIwMjE1NTI5NjYDAAAAAzE2MAIAAAAGMTAwMDU0BAAAAAEwBwAAAAkxLzMwLzIwMjS9ncYTIhPeCOIy/hUiE94IHUNJUS5EWU4uSVFfTUFSS0VUQ0FQLjEvMy8yMDI0AQAAAAIGSCQCAAAACjkwNi42MzY0ODEBBgAAAAUAAAABMQEAAAALLTIwMjI0MTcyNDgDAAAAAzE2MAIAAAAGMTAwMDU0BAAAAAEwBwAAAAgxLzMvMjAyNO07/xMiE94IGkQOFiIT3ggeQ0lRLkFUSEEuSVFfTUFSS0VUQ0FQLjEvMy8yMDI0AQAAABwR2w8CAAAACjExNS4zMDUzNzcBBgAAAAUAAAABMQEAAAALLTIwMjAwNzgyNDgDAAAAAzE2MAIAAAAGMTAwMDU0BAAAAAEwBwAAAAgxLzMvMjAyNL2dxhMiE94I9bgMFiIT3ggeQ0lRLkFQTE0uSVFfTUFSS0VUQ0FQLjEvMy8yMDI0AQAAAKMhxhYCAAAACTg1LjUwMTgxOQEGAAAABQAAAAExAQAAAAstMjAyNTUwODM4NgMAAAADMTYwAgAAAAYxMDAwNTQEAAAAATAHAAAACDEvMy8yMDI07Tv/EyIT3gj1uAwWIhPeCB5DSVEuR0xZQy5JUV9NQVJLRVRDQVAuMS8zLzIwMjQBAAAAOQdXAAIAAAAKMTk1LjExMTM5NgEGAAAABQAAAAExAQAAAAstMjAyMTQ1MDI0MAMAAAADMTYwAgAAAAYxMDAw</t>
  </si>
  <si>
    <t>NTQEAAAAATAHAAAACDEvMy8yMDI01OvGEyIT3gj1uAwWIhPeCB5DSVEuQ01NQi5JUV9NQVJLRVRDQVAuMS8zLzIwMjQBAAAAstNIEwIAAAAINi4zMjA2NDIBBgAAAAUAAAABMQEAAAALLTIwMjAxOTQ2MzYDAAAAAzE2MAIAAAAGMTAwMDU0BAAAAAEwBwAAAAgxLzMvMjAyNGFLxhMiE94I9bgMFiIT3ggeQ0lRLlNMUlguSVFfTUFSS0VUQ0FQLjEvMy8yMDI0AQAAANDfqxMCAAAACDIuNTE1ODQ5AQYAAAAFAAAAATEBAAAACy0yMDE5OTk0NTA1AwAAAAMxNjACAAAABjEwMDA1NAQAAAABMAcAAAAIMS8zLzIwMjTU68YTIhPeCPW4DBYiE94IHkNJUS5JTlRTLklRX01BUktFVENBUC4xLzMvMjAyNAEAAAD9hG8NAgAAAAoxMDkuNTM3OTIyAQYAAAAFAAAAATEBAAAACy0yMDE3ODIzNDIxAwAAAAMxNjACAAAABjEwMDA1NAQAAAABMAcAAAAIMS8zLzIwMjTvD8cTIhPeCPW4DBYiE94IHkNJUS5FTlZCLklRX01BUktFVENBUC4xLzMvMjAyNAEAAAAA+8smAgAAAAgzLjA2NDEyOAEGAAAABQAAAAExAQAAAAstMjAxOTQwNzUwMAMAAAADMTYwAgAAAAYxMDAwNTQEAAAAATAHAAAACDEvMy8yMDI0YUvGEyIT3gj1uAwWIhPeCB5DSVEuSUZSWC5JUV9NQVJLRVRDQVAuMS80LzIwMjQBAAAA0H2HAgIAAAAKMTA3Ljc1NjM4OAEGAAAABQAAAAExAQAAAAstMjAyMTg1NjQyMAMAAAADMTYwAgAAAAYxMDAwNTQEAAAAATAHAAAA</t>
  </si>
  <si>
    <t>CDEvNC8yMDI01OvGEyIT3gj1uAwWIhPeCB5DSVEuR0xZQy5JUV9NQVJLRVRDQVAuMS80LzIwMjQBAAAAOQdXAAIAAAAIMTkzLjE3OTYBBgAAAAUAAAABMQEAAAALLTIwMjE0NTAyNDADAAAAAzE2MAIAAAAGMTAwMDU0BAAAAAEwBwAAAAgxLzQvMjAyNL2dxhMiE94I9bgMFiIT3ggeQ0lRLkFEQ1QuSVFfTUFSS0VUQ0FQLjEvNC8yMDI0AQAAAJqj6QoCAAAACTE1MS44Njg0NwEGAAAABQAAAAExAQAAAAstMjAyMDY1MzY5MwMAAAADMTYwAgAAAAYxMDAwNTQEAAAAATAHAAAACDEvNC8yMDI0cXbGEyIT3gj1uAwWIhPeCB5DSVEuQUxEWC5JUV9NQVJLRVRDQVAuMS80LzIwMjQBAAAAt0PTAgIAAAAKMTk2LjQ2NTc1NwEGAAAABQAAAAExAQAAAAstMjAyMTM3NDc0MAMAAAADMTYwAgAAAAYxMDAwNTQEAAAAATAHAAAACDEvNC8yMDI07w/HEyIT3gj1uAwWIhPeCB5DSVEuS05TQS5JUV9NQVJLRVRDQVAuMS80LzIwMjQBAAAAtaJFIQIAAAAKMTM0NS4yMjEwMgEGAAAABQAAAAExAQAAAAstMjAyMTQ3MTU3MgMAAAADMTYwAgAAAAYxMDAwNTQEAAAAATAHAAAACDEvNC8yMDI0cXbGEyIT3gj1uAwWIhPeCB5DSVEuUllUTS5JUV9NQVJLRVRDQVAuMS80LzIwMjQBAAAAGMltEgIAAAALMjU1OS40Njc0MjMBBgAAAAUAAAABMQEAAAALLTIwMjAyNzAxNzUDAAAAAzE2MAIAAAAGMTAwMDU0BAAAAAEwBwAAAAgxLzQvMjAy</t>
  </si>
  <si>
    <t>NLrExhMiE94I9bgMFiIT3ggeQ0lRLlNOR1guSVFfTUFSS0VUQ0FQLjEvNC8yMDI0AQAAAKttAAACAAAACDkuNDE2MTYzAQYAAAAFAAAAATEBAAAACy0yMDE5NDA4NzU4AwAAAAMxNjACAAAABjEwMDA1NAQAAAABMAcAAAAIMS80LzIwMjRhS8YTIhPeCIbaCxYiE94IHkNJUS5QUlRHLklRX01BUktFVENBUC4xLzQvMjAyNAUAAAAAAAAACAAAABQoSW52YWxpZCBJZGVudGlmaWVyKbrExhMiE94IhtoLFiIT3ggdQ0lRLk1SSy5JUV9NQVJLRVRDQVAuMS80LzIwMjQBAAAA9mYEAAIAAAANMjk2NTA2LjA0MTA1OQEGAAAABQAAAAExAQAAAAstMjAyMTI2MzQ4MwMAAAADMTYwAgAAAAYxMDAwNTQEAAAAATAHAAAACDEvNC8yMDI0YUvGEyIT3giG2gsWIhPeCB5DSVEuSU1NUC5JUV9NQVJLRVRDQVAuMS80LzIwMjQBAAAAFUJmAAIAAAAKMzk4LjI1OTU3NwEGAAAABQAAAAExAQAAAAstMjAyOTE0ODk4OAMAAAABOQIAAAAGMTAwMDU0BAAAAAEwBwAAAAgxLzQvMjAyNO8PxxMiE94IhtoLFiIT3ggeQ0lRLkFQTFQuSVFfTUFSS0VUQ0FQLjEvNC8yMDI0AQAAAHuMVCECAAAACjI5Mi42OTg2OTUBBgAAAAUAAAABMQEAAAALLTIwMjAyNjY3OTUDAAAAAzE2MAIAAAAGMTAwMDU0BAAAAAEwBwAAAAgxLzQvMjAyNO07/xMiE94IhtoLFiIT3ggeQ0lRLlRCUEguSVFfTUFSS0VUQ0FQLjEvNS8yMDI0AQAAABJcXQ4CAAAACTUx</t>
  </si>
  <si>
    <t>Ni40MDM4NwEGAAAABQAAAAExAQAAAAstMjAyMDE3NDI0NgMAAAADMTYwAgAAAAYxMDAwNTQEAAAAATAHAAAACDEvNS8yMDI07w/HEyIT3giG2gsWIhPeCB5DSVEuQ1ZBQy5JUV9NQVJLRVRDQVAuMS81LzIwMjQBAAAAfis9AQIAAAAKOTcxLjgyODg5MwEGAAAABQAAAAExAQAAAAstMjAxOTI1NTgyMQMAAAADMTYwAgAAAAYxMDAwNTQEAAAAATAHAAAACDEvNS8yMDI0cXbGEyIT3giG2gsWIhPeCB1DSVEuR1NLLklRX01BUktFVENBUC4xLzUvMjAyNAEAAADyMwQAAgAAAAw2MjgyMi4wNTI0NjkBBgAAAAUAAAABMQEAAAALLTIwMjE5MDk2NjQDAAAAAjU1AgAAAAYxMDAwNTQEAAAAATAHAAAACDEvNS8yMDI07w/HEyIT3giG2gsWIhPeCB5DSVEuTVJTTi5JUV9NQVJLRVRDQVAuMS81LzIwMjQBAAAA5sUYAAIAAAAKMjczLjcyMTM2NwEGAAAABQAAAAExAQAAAAstMjAyMDg0ODk0MgMAAAADMTYwAgAAAAYxMDAwNTQEAAAAATAHAAAACDEvNS8yMDI07Tv/EyIT3gjocQkWIhPeCB5DSVEuRkJJTy5JUV9NQVJLRVRDQVAuMS81LzIwMjQBAAAACfKtAwIAAAAJNDQuNDcxNzM1AQYAAAAFAAAAATEBAAAACy0yMDE4Mzg5MDYzAwAAAAMxNjACAAAABjEwMDA1NAQAAAABMAcAAAAIMS81LzIwMjS9ncYTIhPeCOhxCRYiE94IHkNJUS5ERVJNLklRX01BUktFVENBUC4xLzUvMjAyNAEAAAB1j7kQAgAAAAk5My40Njc2NjcB</t>
  </si>
  <si>
    <t>BgAAAAUAAAABMQEAAAALLTIwMTg5ODE5NzMDAAAAAzE2MAIAAAAGMTAwMDU0BAAAAAEwBwAAAAgxLzUvMjAyNL2dxhMiE94I6HEJFiIT3ggeQ0lRLk5PVk4uSVFfTUFSS0VUQ0FQLjEvNS8yMDI0AQAAAFnWBQACAAAADTE4NTgzNC4xODIyNjgBBgAAAAUAAAABMQEAAAALLTIwMjMzMTAwOTYDAAAAAjI5AgAAAAYxMDAwNTQEAAAAATAHAAAACDEvNS8yMDI07w/HEyIT3gjocQkWIhPeCB5DSVEuTEdORC5JUV9NQVJLRVRDQVAuMS81LzIwMjQBAAAAZHgAAAIAAAALMTIzNC45ODg5MDUBBgAAAAUAAAABMQEAAAALLTIwMTk5MTQ2MjYDAAAAAzE2MAIAAAAGMTAwMDU0BAAAAAEwBwAAAAgxLzUvMjAyNL2dxhMiE94I6HEJFiIT3ggeQ0lRLlBUSFMuSVFfTUFSS0VUQ0FQLjEvNS8yMDI0AQAAAGvWf2sDAAAAAADvD8cTIhPeCOhxCRYiE94IHkNJUS5WSU5DLklRX01BUktFVENBUC4xLzgvMjAyNAEAAADkNSMpAgAAAAkyOS4wNzc1NjIBBgAAAAUAAAABMQEAAAALLTIwMTkxMDMyNjYDAAAAAzE2MAIAAAAGMTAwMDU0BAAAAAEwBwAAAAgxLzgvMjAyNLrExhMiE94I6HEJFiIT3ggeQ0lRLkFSR1guSVFfTUFSS0VUQ0FQLjEvOC8yMDI0AQAAAL3iswMCAAAADDIxNjEwLjkyNTE3NwEGAAAABQAAAAExAQAAAAstMjAyMjMyNDk0MwMAAAACNTACAAAABjEwMDA1NAQAAAABMAcAAAAIMS84LzIwMjRxdsYTIhPeCOhxCRYi</t>
  </si>
  <si>
    <t>E94IHkNJUS5BQlNJLklRX01BUktFVENBUC4xLzgvMjAyNAEAAADeDNsPAgAAAAozODguNDgyODM0AQYAAAAFAAAAATEBAAAACy0yMDE4NDEwOTY3AwAAAAMxNjACAAAABjEwMDA1NAQAAAABMAcAAAAIMS84LzIwMjTtO/8TIhPeCOhxCRYiE94IHkNJUS5WRVJVLklRX01BUktFVENBUC4xLzgvMjAyNAEAAAA30wQAAgAAAAk3Ny44NDQ0NDgBBgAAAAUAAAABMQEAAAALLTIwMTUzNTEwMjkDAAAAAzE2MAIAAAAGMTAwMDU0BAAAAAEwBwAAAAgxLzgvMjAyNHF2xhMiE94I6HEJFiIT3ggeQ0lRLkJJT1IuSVFfTUFSS0VUQ0FQLjEvOC8yMDI0AQAAAA7v/gICAAAACTEzLjIwNTAwMwEGAAAABQAAAAExAQAAAAstMjAxOTM4MDAyMwMAAAADMTYwAgAAAAYxMDAwNTQEAAAAATAHAAAACDEvOC8yMDI07w/HEyIT3gjocQkWIhPeCB1DSVEuQUxULklRX01BUktFVENBUC4xLzgvMjAyNAEAAAD3QkoAAgAAAAo2MTEuOTcxODQxAQYAAAAFAAAAATEBAAAACy0yMDIwNTUwMjA4AwAAAAMxNjACAAAABjEwMDA1NAQAAAABMAcAAAAIMS84LzIwMjTvD8cTIhPeCOhxCRYiE94IHkNJUS5DTFJCLklRX01BUktFVENBUC4xLzgvMjAyNAEAAADz7j0CAgAAAAkzOS4zMjI1OTkBBgAAAAUAAAABMQEAAAALLTIwMTk1OTMyMjIDAAAAAzE2MAIAAAAGMTAwMDU0BAAAAAEwBwAAAAgxLzgvMjAyNNTrxhMiE94I6HEJFiIT3ggeQ0lRLklU</t>
  </si>
  <si>
    <t>T1MuSVFfTUFSS0VUQ0FQLjEvOC8yMDI0BQAAAAAAAAAIAAAAFChJbnZhbGlkIElkZW50aWZpZXIpusTGEyIT3gjocQkWIhPeCB1DSVEuQk1ZLklRX01BUktFVENBUC4xLzgvMjAyNAEAAADGZAAAAgAAAA0xMDUzODAuMTAzNDU4AQYAAAAFAAAAATEBAAAACy0yMDIyNzUwNTA5AwAAAAMxNjACAAAABjEwMDA1NAQAAAABMAcAAAAIMS84LzIwMjRhS8YTIhPeCOhxCRYiE94IHUNJUS5HU0suSVFfTUFSS0VUQ0FQLjEvOC8yMDI0AQAAAPIzBAACAAAADDYzMTM5Ljk5NDMzOQEGAAAABQAAAAExAQAAAAstMjAyMTkwOTY2NAMAAAACNTUCAAAABjEwMDA1NAQAAAABMAcAAAAIMS84LzIwMjTtO/8TIhPeCOhxCRYiE94IHkNJUS5DTE5OLklRX01BUktFVENBUC4xLzgvMjAyNAEAAABkSTsUAgAAAAk0NS40NTkxMjIBBgAAAAUAAAABMQEAAAALLTIwMjA4NjAyNjMDAAAAAzE2MAIAAAAGMTAwMDU0BAAAAAEwBwAAAAgxLzgvMjAyNL2dxhMiE94I6HEJFiIT3ggeQ0lRLkFCQlYuSVFfTUFSS0VUQ0FQLjEvOC8yMDI0AQAAAAoBdQgCAAAADTI4NTAxMC43MDU4NzIBBgAAAAUAAAABMQEAAAALLTIwMjA5MzYwNTUDAAAAAzE2MAIAAAAGMTAwMDU0BAAAAAEwBwAAAAgxLzgvMjAyNLrExhMiE94I6HEJFiIT3ggeQ0lRLk9LWU8uSVFfTUFSS0VUQ0FQLjEvOC8yMDI0AQAAAEvPtgICAAAACTYyLjgxNjEzNQEGAAAABQAAAAEx</t>
  </si>
  <si>
    <t>AQAAAAstMjAzMjUwNDY3MAMAAAADMTYwAgAAAAYxMDAwNTQEAAAAATAHAAAACDEvOC8yMDI07Tv/EyIT3gjocQkWIhPeCB1DSVEuTlZPLklRX01BUktFVENBUC4xLzgvMjAyNAEAAAB87wQAAgAAAA0zMjA5NjQzLjMyMTEyAQYAAAAFAAAAATEBAAAACy0yMDIxNTUwNjU1AwAAAAI0MgIAAAAGMTAwMDU0BAAAAAEwBwAAAAgxLzgvMjAyNNTrxhMiE94I6HEJFiIT3ggeQ0lRLk1OTUQuSVFfTUFSS0VUQ0FQLjEvOC8yMDI0AQAAAKL8nCUCAAAACjE3Ni4wMTU3NjgBBgAAAAUAAAABMQEAAAALLTIwMjA0MDQ3NjgDAAAAAzE2MAIAAAAGMTAwMDU0BAAAAAEwBwAAAAgxLzgvMjAyNLrExhMiE94I6HEJFiIT3ggeQ0lRLk5SSVguSVFfTUFSS0VUQ0FQLjEvOC8yMDI0AQAAAEwqVQwCAAAACjQ4My4wOTc1MjkBBgAAAAUAAAABMQEAAAALLTIwMjQxNDQ1ODQDAAAAAzE2MAIAAAAGMTAwMDU0BAAAAAEwBwAAAAgxLzgvMjAyNO8PxxMiE94I6HEJFiIT3ggeQ0lRLklOQ1kuSVFfTUFSS0VUQ0FQLjEvOC8yMDI0AQAAAJoUBQACAAAADDE0NzUwLjg3MDA0NQEGAAAABQAAAAExAQAAAAstMjAyMTg2OTcwMQMAAAADMTYwAgAAAAYxMDAwNTQEAAAAATAHAAAACDEvOC8yMDI0usTGEyIT3gjocQkWIhPeCB1DSVEuTlZTLklRX01BUktFVENBUC4xLzgvMjAyNAEAAACptegPAgAAAAoxNDExLjE2Njc1AQYAAAAFAAAAATEBAAAA</t>
  </si>
  <si>
    <t>Cy0yMDE4ODkyNzk0AwAAAAMxNzQCAAAABjEwMDA1NAQAAAABMAcAAAAIMS84LzIwMjTvD8cTIhPeCCL4BhYiE94IHkNJUS5DWUJOLklRX01BUktFVENBUC4xLzgvMjAyNAEAAAD+y74nAgAAAAoxNjEuMDU3NjAxAQYAAAAFAAAAATEBAAAACy0yMDE5MjY3NDMyAwAAAAMxNjACAAAABjEwMDA1NAQAAAABMAcAAAAIMS84LzIwMjTU68YTIhPeCCL4BhYiE94IHkNJUS5GQVRFLklRX01BUktFVENBUC4xLzgvMjAyNAEAAABoMVcCAgAAAAg0MDYuMjQwMQEGAAAABQAAAAExAQAAAAstMjAyMDUxMDM5OQMAAAADMTYwAgAAAAYxMDAwNTQEAAAAATAHAAAACDEvOC8yMDI07Tv/EyIT3ggi+AYWIhPeCB5DSVEuQlBNQy5JUV9NQVJLRVRDQVAuMS84LzIwMjQBAAAA+qG8BwIAAAALNTE4NS45NzAzMzEBBgAAAAUAAAABMQEAAAALLTIwMjI3MDU3MDgDAAAAAzE2MAIAAAAGMTAwMDU0BAAAAAEwBwAAAAgxLzgvMjAyNO8PxxMiE94IIvgGFiIT3ggeQ0lRLlNNTVQuSVFfTUFSS0VUQ0FQLjEvOC8yMDI0AQAAAMMtsQACAAAACzIwODEuNTAzNDA3AQYAAAAFAAAAATEBAAAACy0yMDIwODQ4Nzc4AwAAAAMxNjACAAAABjEwMDA1NAQAAAABMAcAAAAIMS84LzIwMjS6xMYTIhPeCCL4BhYiE94IHkNJUS5PUklDLklRX01BUktFVENBUC4xLzgvMjAyNAEAAABUSxoSAgAAAAo0NDkuNTA3NDAxAQYAAAAFAAAAATEBAAAACy0yMDIw</t>
  </si>
  <si>
    <t>OTcyNjI3AwAAAAMxNjACAAAABjEwMDA1NAQAAAABMAcAAAAIMS84LzIwMjRhS8YTIhPeCCL4BhYiE94IHkNJUS5CTUVBLklRX01BUktFVENBUC4xLzgvMjAyNAEAAADHmHEpAgAAAAo1NjkuMTUwMjI5AQYAAAAFAAAAATEBAAAACy0yMDIyMzYwNzU5AwAAAAMxNjACAAAABjEwMDA1NAQAAAABMAcAAAAIMS84LzIwMjTtO/8TIhPeCCL4BhYiE94IHkNJUS5OVVZCLklRX01BUktFVENBUC4xLzgvMjAyNAEAAAA/7RYmAgAAAAozMzkuMzYzMjgyAQYAAAAFAAAAATEBAAAACy0yMDIxNTkxMjg3AwAAAAMxNjACAAAABjEwMDA1NAQAAAABMAcAAAAIMS84LzIwMjTtO/8TIhPeCCL4BhYiE94IHkNJUS5BRk1ELklRX01BUktFVENBUC4xLzgvMjAyNAEAAADb9wwAAgAAAAk5OC43NDMxNjUBBgAAAAUAAAABMQEAAAALLTIwMTg1NDcyOTIDAAAAAzE2MAIAAAAGMTAwMDU0BAAAAAEwBwAAAAgxLzgvMjAyNLrExhMiE94IIvgGFiIT3ggeQ0lRLkFWSVIuSVFfTUFSS0VUQ0FQLjEvOC8yMDI0AQAAAFnKEQ8CAAAACTI1OC42NTAwOQEGAAAABQAAAAExAQAAAAstMjAyMDUxNjMwNAMAAAADMTYwAgAAAAYxMDAwNTQEAAAAATAHAAAACDEvOC8yMDI07Tv/EyIT3ggi+AYWIhPeCB5DSVEuRUxUWC5JUV9NQVJLRVRDQVAuMS85LzIwMjQBAAAAQKrPDAIAAAAJNTIuMzUwNzk4AQYAAAAFAAAAATEBAAAACy0xOTYzMDE1NzQ2AwAA</t>
  </si>
  <si>
    <t>AAMxNjACAAAABjEwMDA1NAQAAAABMAcAAAAIMS85LzIwMjTvD8cTIhPeCCL4BhYiE94IH0NJUS5BTFBNWS5JUV9NQVJLRVRDQVAuMS85LzIwMjQBAAAAkVgNAAIAAAAOMzExNjg5OC40Njc2MjEBBgAAAAUAAAABMQEAAAALLTIwMjA1OTg3MDcDAAAAAjc5AgAAAAYxMDAwNTQEAAAAATAHAAAACDEvOS8yMDI01OvGEyIT3ggi+AYWIhPeCB5DSVEuVkNFTC5JUV9NQVJLRVRDQVAuMS85LzIwMjQBAAAAWV4AAAIAAAALMTc4MC42MDI2OTkBBgAAAAUAAAABMQEAAAALLTIwMjA2MTEyMzIDAAAAAzE2MAIAAAAGMTAwMDU0BAAAAAEwBwAAAAgxLzkvMjAyNO8PxxMiE94IIvgGFiIT3ggeQ0lRLk1EV0QuSVFfTUFSS0VUQ0FQLjEvOS8yMDI0AQAAAEH4FwACAAAACTExNS4xNDg1NwEGAAAABQAAAAExAQAAAAstMjAxNzQyNjUzMgMAAAADMTYwAgAAAAYxMDAwNTQEAAAAATAHAAAACDEvOS8yMDI0cXbGEyIT3ggi+AYWIhPeCB5DSVEuQ1JCUC5JUV9NQVJLRVRDQVAuMS85LzIwMjQBAAAAJG8kDwIAAAAJMzEuOTM4OTkxAQYAAAAFAAAAATEBAAAACy0yMDIwNjUzNjA5AwAAAAMxNjACAAAABjEwMDA1NAQAAAABMAcAAAAIMS85LzIwMjTvD8cTIhPeCCL4BhYiE94IHUNJUS5BTEMuSVFfTUFSS0VUQ0FQLjEvOS8yMDI0AQAAANNs6goCAAAACTkzLjk3MzEyNQEGAAAABQAAAAExAQAAAAstMjAzMDgxODYwNQMAAAABOQIA</t>
  </si>
  <si>
    <t>AAAGMTAwMDU0BAAAAAEwBwAAAAgxLzkvMjAyNO8PxxMiE94IIvgGFiIT3ggfQ0lRLk1SU04uSVFfTUFSS0VUQ0FQLjEvMTAvMjAyNAEAAADmxRgAAgAAAAozOTEuODkxODI1AQYAAAAFAAAAATEBAAAACy0yMDIwODQ4OTQyAwAAAAMxNjACAAAABjEwMDA1NAQAAAABMAcAAAAJMS8xMC8yMDI0YUvGEyIT3ggi+AYWIhPeCB9DSVEuRkRNVC5JUV9NQVJLRVRDQVAuMS8xMC8yMDI0AQAAACXQQxACAAAACjgxOC4zMDQwMzgBBgAAAAUAAAABMQEAAAALLTIwMjAyMzE5MDEDAAAAAzE2MAIAAAAGMTAwMDU0BAAAAAEwBwAAAAkxLzEwLzIwMjTU68YTIhPeCCL4BhYiE94IH0NJUS5DTU5ELklRX01BUktFVENBUC4xLzEwLzIwMjQBAAAAP/aPIAIAAAAINC45NjA5MjEBBgAAAAUAAAABMQEAAAALLTIwMjcwNDcwNzIDAAAAAzE2MAIAAAAGMTAwMDU0BAAAAAEwBwAAAAkxLzEwLzIwMjTtO/8TIhPeCCL4BhYiE94IH0NJUS5BQ1JTLklRX01BUktFVENBUC4xLzEwLzIwMjQBAAAAy1LtDAIAAAAJNzEuMTkwMzc1AQYAAAAFAAAAATEBAAAACy0yMDIxMDU4NzAxAwAAAAMxNjACAAAABjEwMDA1NAQAAAABMAcAAAAJMS8xMC8yMDI01OvGEyIT3ggi+AYWIhPeCB9DSVEuVllORS5JUV9NQVJLRVRDQVAuMS8xMC8yMDI0AQAAACpdYwACAAAACTMxLjI2NDQwNgEGAAAABQAAAAExAQAAAAstMjAxOTU4NTExMAMAAAADMTYwAgAA</t>
  </si>
  <si>
    <t>AAYxMDAwNTQEAAAAATAHAAAACTEvMTAvMjAyNHF2xhMiE94IMpAEFiIT3ggfQ0lRLkVZUFQuSVFfTUFSS0VUQ0FQLjEvMTAvMjAyNAEAAACvYEQAAgAAAAo5NTIuMzA5ODEyAQYAAAAFAAAAATEBAAAACy0yMDIxMjE4ODg3AwAAAAMxNjACAAAABjEwMDA1NAQAAAABMAcAAAAJMS8xMC8yMDI0YUvGEyIT3ggykAQWIhPeCB9DSVEuQlBUSC5JUV9NQVJLRVRDQVAuMS8xMC8yMDI0AQAAALJlPAICAAAABzYuOTE3NDkBBgAAAAUAAAABMQEAAAALLTIwMTg1MDE2NjQDAAAAAzE2MAIAAAAGMTAwMDU0BAAAAAEwBwAAAAkxLzEwLzIwMjTtO/8TIhPeCDKQBBYiE94IH0NJUS5TQU5BLklRX01BUktFVENBUC4xLzEwLzIwMjQBAAAAMUiaIwIAAAALMTQxNS40MDQzODUBBgAAAAUAAAABMQEAAAALLTIwMjA1MDQ4NDMDAAAAAzE2MAIAAAAGMTAwMDU0BAAAAAEwBwAAAAkxLzEwLzIwMjS6xMYTIhPeCDKQBBYiE94IHkNJUS5NUksuSVFfTUFSS0VUQ0FQLjEvMTIvMjAyNAEAAAD2ZgQAAgAAAA0zMDA2MTEuMTU4NDU1AQYAAAAFAAAAATEBAAAACy0yMDIxMjYzNDgzAwAAAAMxNjACAAAABjEwMDA1NAQAAAABMAcAAAAJMS8xMi8yMDI0YUvGEyIT3ggykAQWIhPeCB9DSVEuQVJRVC5JUV9NQVJLRVRDQVAuMS8xNS8yMDI0AQAAAChhuSACAAAACjM0My41NTA3NDkBBgAAAAUAAAABMQEAAAALLTIwMjEzMDk1MTgDAAAAAzE2</t>
  </si>
  <si>
    <t>MAIAAAAGMTAwMDU0BAAAAAEwBwAAAAkxLzE1LzIwMjTU68YTIhPeCDKQBBYiE94IH0NJUS5BTklQLklRX01BUktFVENBUC4xLzE2LzIwMjQBAAAA+FMXAAIAAAALMTA1Ny4zNzE0NjUBBgAAAAUAAAABMQEAAAALLTIwMjA2MjY1MjgDAAAAAzE2MAIAAAAGMTAwMDU0BAAAAAEwBwAAAAkxLzE2LzIwMjRxdsYTIhPeCDKQBBYiE94IH0NJUS5DTFJCLklRX01BUktFVENBUC4xLzE2LzIwMjQBAAAA8+49AgIAAAAJNDUuNDY2NzU1AQYAAAAFAAAAATEBAAAACy0yMDE5NTkzMjIyAwAAAAMxNjACAAAABjEwMDA1NAQAAAABMAcAAAAJMS8xNi8yMDI07Tv/EyIT3ggykAQWIhPeCB5DSVEuQVZYTC5JUV9NQVJLRVRDQVAuMS8yLzIwMjQBAAAAYzjPAAIAAAAKNDk2LjIxMjk1OQEGAAAABQAAAAExAQAAAAstMjAxNjU5MDU4NAMAAAADMTYwAgAAAAYxMDAwNTQEAAAAATAHAAAACDEvMi8yMDI07w/HEyIT3giTFg8WIhPeCB5DSVEuVEVWQS5JUV9NQVJLRVRDQVAuMS8zLzIwMjQBAAAAT7MEAAIAAAAMMTIyNzQuNjM0NjYyAQYAAAAFAAAAATEBAAAACy0yMDE5ODQ2MjA1AwAAAAMxNjACAAAABjEwMDA1NAQAAAABMAcAAAAIMS8zLzIwMjTvD8cTIhPeCMl6DhYiE94IHkNJUS5BTFZPLklRX01BUktFVENBUC4xLzMvMjAyNAEAAAA9iVEpAgAAAAszMTAxLjM4NzE1MwEGAAAABQAAAAExAQAAAAstMjAxNjUyMzk1MQMAAAAD</t>
  </si>
  <si>
    <t>MTYwAgAAAAYxMDAwNTQEAAAAATAHAAAACDEvMy8yMDI0MU/HEyIT3ggaRA4WIhPeCB1DSVEuTlZTLklRX01BUktFVENBUC4xLzIvMjAyNAEAAACptegPAgAAAAoxNDExLjE2Njc1AQYAAAAFAAAAATEBAAAACy0yMDE4ODkyNzk0AwAAAAMxNzQCAAAABjEwMDA1NAQAAAABMAcAAAAIMS8yLzIwMjTvD8cTIhPeCNehDhYiE94IHkNJUS5TTkRYLklRX01BUktFVENBUC4xLzIvMjAyNAEAAADKpp8BAgAAAAsxODUzLjk0MDgyOQEGAAAABQAAAAExAQAAAAstMjAyMTU1Mjk3MQMAAAADMTYwAgAAAAYxMDAwNTQEAAAAATAHAAAACDEvMi8yMDI07w/HEyIT3ggQZQ8WIhPeCB5DSVEuQ1RYUi5JUV9NQVJLRVRDQVAuMS8yLzIwMjQBAAAAG5c9EAIAAAAKMTI4LjU1NjI2OQEGAAAABQAAAAExAQAAAAstMjAxNDE1MzA0MgMAAAADMTYwAgAAAAYxMDAwNTQEAAAAATAHAAAACDEvMi8yMDI07w/HEyIT3ghZyQ4WIhPeCB5DSVEuU1BSTy5JUV9NQVJLRVRDQVAuMS8yLzIwMjQBAAAAs9xWDgIAAAAJODAuNTU4OTYyAQYAAAAFAAAAATEBAAAACy0yMDE5NDUwMzcwAwAAAAMxNjACAAAABjEwMDA1NAQAAAABMAcAAAAIMS8yLzIwMjTvD8cTIhPeCFnJDhYiE94IHkNJUS5MQlBILklRX01BUktFVENBUC4xLzIvMjAyNAUAAAAAAAAACAAAABQoSW52YWxpZCBJZGVudGlmaWVyKe8PxxMiE94IVjwPFiIT3ggfQ0lRLlNORFguSVFf</t>
  </si>
  <si>
    <t>TEFTVFNBTEVQUklDRS40NTMwMAEAAADKpp8BAgAAAAUyMi42NADvD8cTIhPeCBBlDxYiE94IHkNJUS5BVFhJLklRX01BUktFVENBUC4xLzIvMjAyNAEAAADSqoYSAgAAAAgyLjExOTYxMwEGAAAABQAAAAExAQAAAAstMjAxNzUyODg5NAMAAAADMTYwAgAAAAYxMDAwNTQEAAAAATAHAAAACDEvMi8yMDI07w/HEyIT3gjG7w4WIhPeCB5DSVEuSU5DWS5JUV9NQVJLRVRDQVAuMS8yLzIwMjQBAAAAmhQFAAIAAAAMMTQ2NjcuOTQ5NjI3AQYAAAAFAAAAATEBAAAACy0yMDIxODY5NzAxAwAAAAMxNjACAAAABjEwMDA1NAQAAAABMAcAAAAIMS8yLzIwMjTvD8cTIhPeCBBlDxYiE94IH0NJUS5TTkRYLklRX0xBU1RTQUxFUFJJQ0UuNDUyOTIBAAAAyqafAQIAAAAFMjEuNjEA7w/HEyIT3ggQZQ8WIhPeCB5DSVEuQUdJTy5JUV9NQVJLRVRDQVAuMS8zLzIwMjQBAAAACyTGAgIAAAALMTM0Mi41MDg2NDIBBgAAAAUAAAABMQEAAAALLTIwMjE2NTAyMjQDAAAAAzE2MAIAAAAGMTAwMDU0BAAAAAEwBwAAAAgxLzMvMjAyNO8PxxMiE94IyXoOFiIT3ggoQ0lRLlNORFguSVFfUFJJQ0VfVk9MX0hJU1RfNk1USC4xLzIvMjAyNAEAAADKpp8BAgAAAAc0Ny44MDg5AO07/xMiE94IEGUPFiIT3ggiQ0lRLlNORFguSVFfTEFTVFNBTEVQUklDRS4xLzIvMjAyNAEAAADKpp8BAgAAAAUyMS44NgDtO/8TIhPeCBBlDxYiE94IHkNJUS5B</t>
  </si>
  <si>
    <t>VEFJLklRX01BUktFVENBUC4xLzIvMjAyNAEAAADtN1cqAgAAAAoyODAuNTU3NzA0AQYAAAAFAAAAATEBAAAACy0yMDE4MTcyMjUyAwAAAAMxNjACAAAABjEwMDA1NAQAAAABMAcAAAAIMS8yLzIwMjTtO/8TIhPeCJMWDxYiE94I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</si>
</sst>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2DE9-1F10-406B-B9EF-2A31B1BE1F8C}">
  <dimension ref="A1:IV3"/>
  <sheetViews>
    <sheetView workbookViewId="0"/>
  </sheetViews>
  <sheetFormatPr defaultRowHeight="14.4" x14ac:dyDescent="0.3"/>
  <sheetData>
    <row r="1" spans="1:256" x14ac:dyDescent="0.3">
      <c r="A1">
        <v>707</v>
      </c>
      <c r="B1" t="s">
        <v>3258</v>
      </c>
      <c r="C1" t="s">
        <v>3259</v>
      </c>
      <c r="D1" t="s">
        <v>3260</v>
      </c>
      <c r="E1" t="s">
        <v>3261</v>
      </c>
      <c r="F1" t="s">
        <v>3262</v>
      </c>
      <c r="G1" t="s">
        <v>3263</v>
      </c>
      <c r="H1" t="s">
        <v>3264</v>
      </c>
      <c r="I1" t="s">
        <v>3265</v>
      </c>
      <c r="J1" t="s">
        <v>3266</v>
      </c>
      <c r="K1" t="s">
        <v>3267</v>
      </c>
      <c r="L1" t="s">
        <v>3268</v>
      </c>
      <c r="M1" t="s">
        <v>3269</v>
      </c>
      <c r="N1" t="s">
        <v>3270</v>
      </c>
      <c r="O1" t="s">
        <v>3271</v>
      </c>
      <c r="P1" t="s">
        <v>3272</v>
      </c>
      <c r="Q1" t="s">
        <v>3273</v>
      </c>
      <c r="R1" t="s">
        <v>3274</v>
      </c>
      <c r="S1" t="s">
        <v>3275</v>
      </c>
      <c r="T1" t="s">
        <v>3276</v>
      </c>
      <c r="U1" t="s">
        <v>3277</v>
      </c>
      <c r="V1" t="s">
        <v>3278</v>
      </c>
      <c r="W1" t="s">
        <v>3279</v>
      </c>
      <c r="X1" t="s">
        <v>3280</v>
      </c>
      <c r="Y1" t="s">
        <v>3281</v>
      </c>
      <c r="Z1" t="s">
        <v>3282</v>
      </c>
      <c r="AA1" t="s">
        <v>3283</v>
      </c>
      <c r="AB1" t="s">
        <v>3284</v>
      </c>
      <c r="AC1" t="s">
        <v>3285</v>
      </c>
      <c r="AD1" t="s">
        <v>3286</v>
      </c>
      <c r="AE1" t="s">
        <v>3287</v>
      </c>
      <c r="AF1" t="s">
        <v>3288</v>
      </c>
      <c r="AG1" t="s">
        <v>3289</v>
      </c>
      <c r="AH1" t="s">
        <v>3290</v>
      </c>
      <c r="AI1" t="s">
        <v>3291</v>
      </c>
      <c r="AJ1" t="s">
        <v>3292</v>
      </c>
      <c r="AK1" t="s">
        <v>3293</v>
      </c>
      <c r="AL1" t="s">
        <v>3294</v>
      </c>
      <c r="AM1" t="s">
        <v>3295</v>
      </c>
      <c r="AN1" t="s">
        <v>3296</v>
      </c>
      <c r="AO1" t="s">
        <v>3297</v>
      </c>
      <c r="AP1" t="s">
        <v>3298</v>
      </c>
      <c r="AQ1" t="s">
        <v>3299</v>
      </c>
      <c r="AR1" t="s">
        <v>3300</v>
      </c>
      <c r="AS1" t="s">
        <v>3301</v>
      </c>
      <c r="AT1" t="s">
        <v>3302</v>
      </c>
      <c r="AU1" t="s">
        <v>3303</v>
      </c>
      <c r="AV1" t="s">
        <v>3304</v>
      </c>
      <c r="AW1" t="s">
        <v>3305</v>
      </c>
      <c r="AX1" t="s">
        <v>3306</v>
      </c>
      <c r="AY1" t="s">
        <v>3307</v>
      </c>
      <c r="AZ1" t="s">
        <v>3308</v>
      </c>
      <c r="BA1" t="s">
        <v>3309</v>
      </c>
      <c r="BB1" t="s">
        <v>3310</v>
      </c>
      <c r="BC1" t="s">
        <v>3311</v>
      </c>
      <c r="BD1" t="s">
        <v>3312</v>
      </c>
      <c r="BE1" t="s">
        <v>3313</v>
      </c>
      <c r="BF1" t="s">
        <v>3314</v>
      </c>
      <c r="BG1" t="s">
        <v>3315</v>
      </c>
      <c r="BH1" t="s">
        <v>3316</v>
      </c>
      <c r="BI1" t="s">
        <v>3317</v>
      </c>
      <c r="BJ1" t="s">
        <v>3318</v>
      </c>
      <c r="BK1" t="s">
        <v>3319</v>
      </c>
      <c r="BL1" t="s">
        <v>3320</v>
      </c>
      <c r="BM1" t="s">
        <v>3321</v>
      </c>
      <c r="BN1" t="s">
        <v>3322</v>
      </c>
      <c r="BO1" t="s">
        <v>3323</v>
      </c>
      <c r="BP1" t="s">
        <v>3324</v>
      </c>
      <c r="BQ1" t="s">
        <v>3325</v>
      </c>
      <c r="BR1" t="s">
        <v>3326</v>
      </c>
      <c r="BS1" t="s">
        <v>3327</v>
      </c>
      <c r="BT1" t="s">
        <v>3328</v>
      </c>
      <c r="BU1" t="s">
        <v>3329</v>
      </c>
      <c r="BV1" t="s">
        <v>3330</v>
      </c>
      <c r="BW1" t="s">
        <v>3331</v>
      </c>
      <c r="BX1" t="s">
        <v>3332</v>
      </c>
      <c r="BY1" t="s">
        <v>3333</v>
      </c>
      <c r="BZ1" t="s">
        <v>3334</v>
      </c>
      <c r="CA1" t="s">
        <v>3335</v>
      </c>
      <c r="CB1" t="s">
        <v>3336</v>
      </c>
      <c r="CC1" t="s">
        <v>3337</v>
      </c>
      <c r="CD1" t="s">
        <v>3338</v>
      </c>
      <c r="CE1" t="s">
        <v>3339</v>
      </c>
      <c r="CF1" t="s">
        <v>3340</v>
      </c>
      <c r="CG1" t="s">
        <v>3341</v>
      </c>
      <c r="CH1" t="s">
        <v>3342</v>
      </c>
      <c r="CI1" t="s">
        <v>3343</v>
      </c>
      <c r="CJ1" t="s">
        <v>3344</v>
      </c>
      <c r="CK1" t="s">
        <v>3345</v>
      </c>
      <c r="CL1" t="s">
        <v>3346</v>
      </c>
      <c r="CM1" t="s">
        <v>3347</v>
      </c>
      <c r="CN1" t="s">
        <v>3348</v>
      </c>
      <c r="CO1" t="s">
        <v>3349</v>
      </c>
      <c r="CP1" t="s">
        <v>3350</v>
      </c>
      <c r="CQ1" t="s">
        <v>3351</v>
      </c>
      <c r="CR1" t="s">
        <v>3352</v>
      </c>
      <c r="CS1" t="s">
        <v>3353</v>
      </c>
      <c r="CT1" t="s">
        <v>3354</v>
      </c>
      <c r="CU1" t="s">
        <v>3355</v>
      </c>
      <c r="CV1" t="s">
        <v>3356</v>
      </c>
      <c r="CW1" t="s">
        <v>3357</v>
      </c>
      <c r="CX1" t="s">
        <v>3358</v>
      </c>
      <c r="CY1" t="s">
        <v>3359</v>
      </c>
      <c r="CZ1" t="s">
        <v>3360</v>
      </c>
      <c r="DA1" t="s">
        <v>3361</v>
      </c>
      <c r="DB1" t="s">
        <v>3362</v>
      </c>
      <c r="DC1" t="s">
        <v>3363</v>
      </c>
      <c r="DD1" t="s">
        <v>3364</v>
      </c>
      <c r="DE1" t="s">
        <v>3365</v>
      </c>
      <c r="DF1" t="s">
        <v>3366</v>
      </c>
      <c r="DG1" t="s">
        <v>3367</v>
      </c>
      <c r="DH1" t="s">
        <v>3368</v>
      </c>
      <c r="DI1" t="s">
        <v>3369</v>
      </c>
      <c r="DJ1" t="s">
        <v>3370</v>
      </c>
      <c r="DK1" t="s">
        <v>3371</v>
      </c>
      <c r="DL1" t="s">
        <v>3372</v>
      </c>
      <c r="DM1" t="s">
        <v>3373</v>
      </c>
      <c r="DN1" t="s">
        <v>3374</v>
      </c>
      <c r="DO1" t="s">
        <v>3375</v>
      </c>
      <c r="DP1" t="s">
        <v>3376</v>
      </c>
      <c r="DQ1" t="s">
        <v>3377</v>
      </c>
      <c r="DR1" t="s">
        <v>3378</v>
      </c>
      <c r="DS1" t="s">
        <v>3379</v>
      </c>
      <c r="DT1" t="s">
        <v>3380</v>
      </c>
      <c r="DU1" t="s">
        <v>3381</v>
      </c>
      <c r="DV1" t="s">
        <v>3382</v>
      </c>
      <c r="DW1" t="s">
        <v>3383</v>
      </c>
      <c r="DX1" t="s">
        <v>3384</v>
      </c>
      <c r="DY1" t="s">
        <v>3385</v>
      </c>
      <c r="DZ1" t="s">
        <v>3386</v>
      </c>
      <c r="EA1" t="s">
        <v>3387</v>
      </c>
      <c r="EB1" t="s">
        <v>3388</v>
      </c>
      <c r="EC1" t="s">
        <v>3389</v>
      </c>
      <c r="ED1" t="s">
        <v>3390</v>
      </c>
      <c r="EE1" t="s">
        <v>3391</v>
      </c>
      <c r="EF1" t="s">
        <v>3392</v>
      </c>
      <c r="EG1" t="s">
        <v>3393</v>
      </c>
      <c r="EH1" t="s">
        <v>3394</v>
      </c>
      <c r="EI1" t="s">
        <v>3395</v>
      </c>
      <c r="EJ1" t="s">
        <v>3396</v>
      </c>
      <c r="EK1" t="s">
        <v>3397</v>
      </c>
      <c r="EL1" t="s">
        <v>3398</v>
      </c>
      <c r="EM1" t="s">
        <v>3399</v>
      </c>
      <c r="EN1" t="s">
        <v>3400</v>
      </c>
      <c r="EO1" t="s">
        <v>3401</v>
      </c>
      <c r="EP1" t="s">
        <v>3402</v>
      </c>
      <c r="EQ1" t="s">
        <v>3403</v>
      </c>
      <c r="ER1" t="s">
        <v>3404</v>
      </c>
      <c r="ES1" t="s">
        <v>3405</v>
      </c>
      <c r="ET1" t="s">
        <v>3406</v>
      </c>
      <c r="EU1" t="s">
        <v>3407</v>
      </c>
      <c r="EV1" t="s">
        <v>3408</v>
      </c>
      <c r="EW1" t="s">
        <v>3409</v>
      </c>
      <c r="EX1" t="s">
        <v>3410</v>
      </c>
      <c r="EY1" t="s">
        <v>3411</v>
      </c>
      <c r="EZ1" t="s">
        <v>3412</v>
      </c>
      <c r="FA1" t="s">
        <v>3413</v>
      </c>
      <c r="FB1" t="s">
        <v>3414</v>
      </c>
      <c r="FC1" t="s">
        <v>3415</v>
      </c>
      <c r="FD1" t="s">
        <v>3416</v>
      </c>
      <c r="FE1" t="s">
        <v>3417</v>
      </c>
      <c r="FF1" t="s">
        <v>3418</v>
      </c>
      <c r="FG1" t="s">
        <v>3419</v>
      </c>
      <c r="FH1" t="s">
        <v>3420</v>
      </c>
      <c r="FI1" t="s">
        <v>3421</v>
      </c>
      <c r="FJ1" t="s">
        <v>3422</v>
      </c>
      <c r="FK1" t="s">
        <v>3423</v>
      </c>
      <c r="FL1" t="s">
        <v>3424</v>
      </c>
      <c r="FM1" t="s">
        <v>3425</v>
      </c>
      <c r="FN1" t="s">
        <v>3426</v>
      </c>
      <c r="FO1" t="s">
        <v>3427</v>
      </c>
      <c r="FP1" t="s">
        <v>3428</v>
      </c>
      <c r="FQ1" t="s">
        <v>3429</v>
      </c>
      <c r="FR1" t="s">
        <v>3430</v>
      </c>
      <c r="FS1" t="s">
        <v>3431</v>
      </c>
      <c r="FT1" t="s">
        <v>3432</v>
      </c>
      <c r="FU1" t="s">
        <v>3433</v>
      </c>
      <c r="FV1" t="s">
        <v>3434</v>
      </c>
      <c r="FW1" t="s">
        <v>3435</v>
      </c>
      <c r="FX1" t="s">
        <v>3436</v>
      </c>
      <c r="FY1" t="s">
        <v>3437</v>
      </c>
      <c r="FZ1" t="s">
        <v>3438</v>
      </c>
      <c r="GA1" t="s">
        <v>3439</v>
      </c>
      <c r="GB1" t="s">
        <v>3440</v>
      </c>
      <c r="GC1" t="s">
        <v>3441</v>
      </c>
      <c r="GD1" t="s">
        <v>3442</v>
      </c>
      <c r="GE1" t="s">
        <v>3443</v>
      </c>
      <c r="GF1" t="s">
        <v>3444</v>
      </c>
      <c r="GG1" t="s">
        <v>3445</v>
      </c>
      <c r="GH1" t="s">
        <v>3446</v>
      </c>
      <c r="GI1" t="s">
        <v>3447</v>
      </c>
      <c r="GJ1" t="s">
        <v>3448</v>
      </c>
      <c r="GK1" t="s">
        <v>3449</v>
      </c>
      <c r="GL1" t="s">
        <v>3450</v>
      </c>
      <c r="GM1" t="s">
        <v>3451</v>
      </c>
      <c r="GN1" t="s">
        <v>3452</v>
      </c>
      <c r="GO1" t="s">
        <v>3453</v>
      </c>
      <c r="GP1" t="s">
        <v>3454</v>
      </c>
      <c r="GQ1" t="s">
        <v>3455</v>
      </c>
      <c r="GR1" t="s">
        <v>3456</v>
      </c>
      <c r="GS1" t="s">
        <v>3457</v>
      </c>
      <c r="GT1" t="s">
        <v>3458</v>
      </c>
      <c r="GU1" t="s">
        <v>3459</v>
      </c>
      <c r="GV1" t="s">
        <v>3460</v>
      </c>
      <c r="GW1" t="s">
        <v>3461</v>
      </c>
      <c r="GX1" t="s">
        <v>3462</v>
      </c>
      <c r="GY1" t="s">
        <v>3463</v>
      </c>
      <c r="GZ1" t="s">
        <v>3464</v>
      </c>
      <c r="HA1" t="s">
        <v>3465</v>
      </c>
      <c r="HB1" t="s">
        <v>3466</v>
      </c>
      <c r="HC1" t="s">
        <v>3467</v>
      </c>
      <c r="HD1" t="s">
        <v>3468</v>
      </c>
      <c r="HE1" t="s">
        <v>3469</v>
      </c>
      <c r="HF1" t="s">
        <v>3470</v>
      </c>
      <c r="HG1" t="s">
        <v>3471</v>
      </c>
      <c r="HH1" t="s">
        <v>3472</v>
      </c>
      <c r="HI1" t="s">
        <v>3473</v>
      </c>
      <c r="HJ1" t="s">
        <v>3474</v>
      </c>
      <c r="HK1" t="s">
        <v>3475</v>
      </c>
      <c r="HL1" t="s">
        <v>3476</v>
      </c>
      <c r="HM1" t="s">
        <v>3477</v>
      </c>
      <c r="HN1" t="s">
        <v>3478</v>
      </c>
      <c r="HO1" t="s">
        <v>3479</v>
      </c>
      <c r="HP1" t="s">
        <v>3480</v>
      </c>
      <c r="HQ1" t="s">
        <v>3481</v>
      </c>
      <c r="HR1" t="s">
        <v>3482</v>
      </c>
      <c r="HS1" t="s">
        <v>3483</v>
      </c>
      <c r="HT1" t="s">
        <v>3484</v>
      </c>
      <c r="HU1" t="s">
        <v>3485</v>
      </c>
      <c r="HV1" t="s">
        <v>3486</v>
      </c>
      <c r="HW1" t="s">
        <v>3487</v>
      </c>
      <c r="HX1" t="s">
        <v>3488</v>
      </c>
      <c r="HY1" t="s">
        <v>3489</v>
      </c>
      <c r="HZ1" t="s">
        <v>3490</v>
      </c>
      <c r="IA1" t="s">
        <v>3491</v>
      </c>
      <c r="IB1" t="s">
        <v>3492</v>
      </c>
      <c r="IC1" t="s">
        <v>3493</v>
      </c>
      <c r="ID1" t="s">
        <v>3494</v>
      </c>
      <c r="IE1" t="s">
        <v>3495</v>
      </c>
      <c r="IF1" t="s">
        <v>3496</v>
      </c>
      <c r="IG1" t="s">
        <v>3497</v>
      </c>
      <c r="IH1" t="s">
        <v>3498</v>
      </c>
      <c r="II1" t="s">
        <v>3499</v>
      </c>
      <c r="IJ1" t="s">
        <v>3500</v>
      </c>
      <c r="IK1" t="s">
        <v>3501</v>
      </c>
      <c r="IL1" t="s">
        <v>3502</v>
      </c>
      <c r="IM1" t="s">
        <v>3503</v>
      </c>
      <c r="IN1" t="s">
        <v>3504</v>
      </c>
      <c r="IO1" t="s">
        <v>3505</v>
      </c>
      <c r="IP1" t="s">
        <v>3506</v>
      </c>
      <c r="IQ1" t="s">
        <v>3507</v>
      </c>
      <c r="IR1" t="s">
        <v>3508</v>
      </c>
      <c r="IS1" t="s">
        <v>3509</v>
      </c>
      <c r="IT1" t="s">
        <v>3510</v>
      </c>
      <c r="IU1" t="s">
        <v>3511</v>
      </c>
      <c r="IV1" t="s">
        <v>3512</v>
      </c>
    </row>
    <row r="2" spans="1:256" x14ac:dyDescent="0.3">
      <c r="A2" t="s">
        <v>3513</v>
      </c>
      <c r="B2" t="s">
        <v>3514</v>
      </c>
      <c r="C2" t="s">
        <v>3515</v>
      </c>
      <c r="D2" t="s">
        <v>3516</v>
      </c>
      <c r="E2" t="s">
        <v>3517</v>
      </c>
      <c r="F2" t="s">
        <v>3518</v>
      </c>
      <c r="G2" t="s">
        <v>3519</v>
      </c>
      <c r="H2" t="s">
        <v>3520</v>
      </c>
      <c r="I2" t="s">
        <v>3521</v>
      </c>
      <c r="J2" t="s">
        <v>3522</v>
      </c>
      <c r="K2" t="s">
        <v>3523</v>
      </c>
      <c r="L2" t="s">
        <v>3524</v>
      </c>
      <c r="M2" t="s">
        <v>3525</v>
      </c>
      <c r="N2" t="s">
        <v>3526</v>
      </c>
      <c r="O2" t="s">
        <v>3527</v>
      </c>
      <c r="P2" t="s">
        <v>3528</v>
      </c>
      <c r="Q2" t="s">
        <v>3529</v>
      </c>
      <c r="R2" t="s">
        <v>3530</v>
      </c>
      <c r="S2" t="s">
        <v>3531</v>
      </c>
      <c r="T2" t="s">
        <v>3532</v>
      </c>
      <c r="U2" t="s">
        <v>3533</v>
      </c>
      <c r="V2" t="s">
        <v>3534</v>
      </c>
      <c r="W2" t="s">
        <v>3535</v>
      </c>
      <c r="X2" t="s">
        <v>3536</v>
      </c>
      <c r="Y2" t="s">
        <v>3537</v>
      </c>
      <c r="Z2" t="s">
        <v>3538</v>
      </c>
      <c r="AA2" t="s">
        <v>3539</v>
      </c>
      <c r="AB2" t="s">
        <v>3540</v>
      </c>
      <c r="AC2" t="s">
        <v>3541</v>
      </c>
      <c r="AD2" t="s">
        <v>3542</v>
      </c>
      <c r="AE2" t="s">
        <v>3543</v>
      </c>
      <c r="AF2" t="s">
        <v>3544</v>
      </c>
      <c r="AG2" t="s">
        <v>3545</v>
      </c>
      <c r="AH2" t="s">
        <v>3546</v>
      </c>
      <c r="AI2" t="s">
        <v>3547</v>
      </c>
      <c r="AJ2" t="s">
        <v>3548</v>
      </c>
      <c r="AK2" t="s">
        <v>3549</v>
      </c>
      <c r="AL2" t="s">
        <v>3550</v>
      </c>
      <c r="AM2" t="s">
        <v>3551</v>
      </c>
      <c r="AN2" t="s">
        <v>3552</v>
      </c>
      <c r="AO2" t="s">
        <v>3553</v>
      </c>
      <c r="AP2" t="s">
        <v>3554</v>
      </c>
      <c r="AQ2" t="s">
        <v>3555</v>
      </c>
      <c r="AR2" t="s">
        <v>3556</v>
      </c>
      <c r="AS2" t="s">
        <v>3557</v>
      </c>
      <c r="AT2" t="s">
        <v>3558</v>
      </c>
      <c r="AU2" t="s">
        <v>3559</v>
      </c>
      <c r="AV2" t="s">
        <v>3560</v>
      </c>
      <c r="AW2" t="s">
        <v>3561</v>
      </c>
      <c r="AX2" t="s">
        <v>3562</v>
      </c>
      <c r="AY2" t="s">
        <v>3563</v>
      </c>
      <c r="AZ2" t="s">
        <v>3564</v>
      </c>
      <c r="BA2" t="s">
        <v>3565</v>
      </c>
      <c r="BB2" t="s">
        <v>3566</v>
      </c>
      <c r="BC2" t="s">
        <v>3567</v>
      </c>
      <c r="BD2" t="s">
        <v>3568</v>
      </c>
      <c r="BE2" t="s">
        <v>3569</v>
      </c>
      <c r="BF2" t="s">
        <v>3570</v>
      </c>
      <c r="BG2" t="s">
        <v>3571</v>
      </c>
      <c r="BH2" t="s">
        <v>3572</v>
      </c>
      <c r="BI2" t="s">
        <v>3573</v>
      </c>
      <c r="BJ2" t="s">
        <v>3574</v>
      </c>
      <c r="BK2" t="s">
        <v>3575</v>
      </c>
      <c r="BL2" t="s">
        <v>3576</v>
      </c>
      <c r="BM2" t="s">
        <v>3577</v>
      </c>
      <c r="BN2" t="s">
        <v>3578</v>
      </c>
      <c r="BO2" t="s">
        <v>3579</v>
      </c>
      <c r="BP2" t="s">
        <v>3580</v>
      </c>
      <c r="BQ2" t="s">
        <v>3581</v>
      </c>
      <c r="BR2" t="s">
        <v>3582</v>
      </c>
      <c r="BS2" t="s">
        <v>3583</v>
      </c>
      <c r="BT2" t="s">
        <v>3584</v>
      </c>
      <c r="BU2" t="s">
        <v>3585</v>
      </c>
      <c r="BV2" t="s">
        <v>3586</v>
      </c>
      <c r="BW2" t="s">
        <v>3587</v>
      </c>
      <c r="BX2" t="s">
        <v>3588</v>
      </c>
      <c r="BY2" t="s">
        <v>3589</v>
      </c>
      <c r="BZ2" t="s">
        <v>3590</v>
      </c>
      <c r="CA2" t="s">
        <v>3591</v>
      </c>
      <c r="CB2" t="s">
        <v>3592</v>
      </c>
      <c r="CC2" t="s">
        <v>3593</v>
      </c>
      <c r="CD2" t="s">
        <v>3594</v>
      </c>
      <c r="CE2" t="s">
        <v>3595</v>
      </c>
      <c r="CF2" t="s">
        <v>3596</v>
      </c>
      <c r="CG2" t="s">
        <v>3597</v>
      </c>
      <c r="CH2" t="s">
        <v>3598</v>
      </c>
      <c r="CI2" t="s">
        <v>3599</v>
      </c>
      <c r="CJ2" t="s">
        <v>3600</v>
      </c>
      <c r="CK2" t="s">
        <v>3601</v>
      </c>
      <c r="CL2" t="s">
        <v>3602</v>
      </c>
      <c r="CM2" t="s">
        <v>3603</v>
      </c>
      <c r="CN2" t="s">
        <v>3604</v>
      </c>
      <c r="CO2" t="s">
        <v>3605</v>
      </c>
      <c r="CP2" t="s">
        <v>3606</v>
      </c>
      <c r="CQ2" t="s">
        <v>3607</v>
      </c>
      <c r="CR2" t="s">
        <v>3608</v>
      </c>
      <c r="CS2" t="s">
        <v>3609</v>
      </c>
      <c r="CT2" t="s">
        <v>3610</v>
      </c>
      <c r="CU2" t="s">
        <v>3611</v>
      </c>
      <c r="CV2" t="s">
        <v>3612</v>
      </c>
      <c r="CW2" t="s">
        <v>3613</v>
      </c>
      <c r="CX2" t="s">
        <v>3614</v>
      </c>
      <c r="CY2" t="s">
        <v>3615</v>
      </c>
      <c r="CZ2" t="s">
        <v>3616</v>
      </c>
      <c r="DA2" t="s">
        <v>3617</v>
      </c>
      <c r="DB2" t="s">
        <v>3618</v>
      </c>
      <c r="DC2" t="s">
        <v>3619</v>
      </c>
      <c r="DD2" t="s">
        <v>3620</v>
      </c>
      <c r="DE2" t="s">
        <v>3621</v>
      </c>
      <c r="DF2" t="s">
        <v>3622</v>
      </c>
      <c r="DG2" t="s">
        <v>3623</v>
      </c>
      <c r="DH2" t="s">
        <v>3624</v>
      </c>
      <c r="DI2" t="s">
        <v>3625</v>
      </c>
      <c r="DJ2" t="s">
        <v>3626</v>
      </c>
      <c r="DK2" t="s">
        <v>3627</v>
      </c>
      <c r="DL2" t="s">
        <v>3628</v>
      </c>
      <c r="DM2" t="s">
        <v>3629</v>
      </c>
      <c r="DN2" t="s">
        <v>3630</v>
      </c>
      <c r="DO2" t="s">
        <v>3631</v>
      </c>
      <c r="DP2" t="s">
        <v>3632</v>
      </c>
      <c r="DQ2" t="s">
        <v>3633</v>
      </c>
      <c r="DR2" t="s">
        <v>3634</v>
      </c>
      <c r="DS2" t="s">
        <v>3635</v>
      </c>
      <c r="DT2" t="s">
        <v>3636</v>
      </c>
      <c r="DU2" t="s">
        <v>3637</v>
      </c>
      <c r="DV2" t="s">
        <v>3638</v>
      </c>
      <c r="DW2" t="s">
        <v>3639</v>
      </c>
      <c r="DX2" t="s">
        <v>3640</v>
      </c>
      <c r="DY2" t="s">
        <v>3641</v>
      </c>
      <c r="DZ2" t="s">
        <v>3642</v>
      </c>
      <c r="EA2" t="s">
        <v>3643</v>
      </c>
      <c r="EB2" t="s">
        <v>3644</v>
      </c>
      <c r="EC2" t="s">
        <v>3645</v>
      </c>
      <c r="ED2" t="s">
        <v>3646</v>
      </c>
      <c r="EE2" t="s">
        <v>3647</v>
      </c>
      <c r="EF2" t="s">
        <v>3648</v>
      </c>
      <c r="EG2" t="s">
        <v>3649</v>
      </c>
      <c r="EH2" t="s">
        <v>3650</v>
      </c>
      <c r="EI2" t="s">
        <v>3651</v>
      </c>
      <c r="EJ2" t="s">
        <v>3652</v>
      </c>
      <c r="EK2" t="s">
        <v>3653</v>
      </c>
      <c r="EL2" t="s">
        <v>3654</v>
      </c>
      <c r="EM2" t="s">
        <v>3655</v>
      </c>
      <c r="EN2" t="s">
        <v>3656</v>
      </c>
      <c r="EO2" t="s">
        <v>3657</v>
      </c>
      <c r="EP2" t="s">
        <v>3658</v>
      </c>
      <c r="EQ2" t="s">
        <v>3659</v>
      </c>
      <c r="ER2" t="s">
        <v>3660</v>
      </c>
      <c r="ES2" t="s">
        <v>3661</v>
      </c>
      <c r="ET2" t="s">
        <v>3662</v>
      </c>
      <c r="EU2" t="s">
        <v>3663</v>
      </c>
      <c r="EV2" t="s">
        <v>3664</v>
      </c>
      <c r="EW2" t="s">
        <v>3665</v>
      </c>
      <c r="EX2" t="s">
        <v>3666</v>
      </c>
      <c r="EY2" t="s">
        <v>3667</v>
      </c>
      <c r="EZ2" t="s">
        <v>3668</v>
      </c>
      <c r="FA2" t="s">
        <v>3669</v>
      </c>
      <c r="FB2" t="s">
        <v>3670</v>
      </c>
      <c r="FC2" t="s">
        <v>3671</v>
      </c>
      <c r="FD2" t="s">
        <v>3672</v>
      </c>
      <c r="FE2" t="s">
        <v>3673</v>
      </c>
      <c r="FF2" t="s">
        <v>3674</v>
      </c>
      <c r="FG2" t="s">
        <v>3675</v>
      </c>
      <c r="FH2" t="s">
        <v>3676</v>
      </c>
      <c r="FI2" t="s">
        <v>3677</v>
      </c>
      <c r="FJ2" t="s">
        <v>3678</v>
      </c>
      <c r="FK2" t="s">
        <v>3679</v>
      </c>
      <c r="FL2" t="s">
        <v>3680</v>
      </c>
      <c r="FM2" t="s">
        <v>3681</v>
      </c>
      <c r="FN2" t="s">
        <v>3682</v>
      </c>
      <c r="FO2" t="s">
        <v>3683</v>
      </c>
      <c r="FP2" t="s">
        <v>3684</v>
      </c>
      <c r="FQ2" t="s">
        <v>3685</v>
      </c>
      <c r="FR2" t="s">
        <v>3686</v>
      </c>
      <c r="FS2" t="s">
        <v>3687</v>
      </c>
      <c r="FT2" t="s">
        <v>3688</v>
      </c>
      <c r="FU2" t="s">
        <v>3689</v>
      </c>
      <c r="FV2" t="s">
        <v>3690</v>
      </c>
      <c r="FW2" t="s">
        <v>3691</v>
      </c>
      <c r="FX2" t="s">
        <v>3692</v>
      </c>
      <c r="FY2" t="s">
        <v>3693</v>
      </c>
      <c r="FZ2" t="s">
        <v>3694</v>
      </c>
      <c r="GA2" t="s">
        <v>3695</v>
      </c>
      <c r="GB2" t="s">
        <v>3696</v>
      </c>
      <c r="GC2" t="s">
        <v>3697</v>
      </c>
      <c r="GD2" t="s">
        <v>3698</v>
      </c>
      <c r="GE2" t="s">
        <v>3699</v>
      </c>
      <c r="GF2" t="s">
        <v>3700</v>
      </c>
      <c r="GG2" t="s">
        <v>3701</v>
      </c>
      <c r="GH2" t="s">
        <v>3702</v>
      </c>
      <c r="GI2" t="s">
        <v>3703</v>
      </c>
      <c r="GJ2" t="s">
        <v>3704</v>
      </c>
      <c r="GK2" t="s">
        <v>3705</v>
      </c>
      <c r="GL2" t="s">
        <v>3706</v>
      </c>
      <c r="GM2" t="s">
        <v>3707</v>
      </c>
      <c r="GN2" t="s">
        <v>3708</v>
      </c>
      <c r="GO2" t="s">
        <v>3709</v>
      </c>
      <c r="GP2" t="s">
        <v>3710</v>
      </c>
      <c r="GQ2" t="s">
        <v>3711</v>
      </c>
      <c r="GR2" t="s">
        <v>3712</v>
      </c>
      <c r="GS2" t="s">
        <v>3713</v>
      </c>
      <c r="GT2" t="s">
        <v>3714</v>
      </c>
      <c r="GU2" t="s">
        <v>3715</v>
      </c>
      <c r="GV2" t="s">
        <v>3716</v>
      </c>
      <c r="GW2" t="s">
        <v>3717</v>
      </c>
      <c r="GX2" t="s">
        <v>3718</v>
      </c>
      <c r="GY2" t="s">
        <v>3719</v>
      </c>
      <c r="GZ2" t="s">
        <v>3720</v>
      </c>
      <c r="HA2" t="s">
        <v>3721</v>
      </c>
      <c r="HB2" t="s">
        <v>3722</v>
      </c>
      <c r="HC2" t="s">
        <v>3723</v>
      </c>
      <c r="HD2" t="s">
        <v>3724</v>
      </c>
      <c r="HE2" t="s">
        <v>3725</v>
      </c>
      <c r="HF2" t="s">
        <v>3726</v>
      </c>
      <c r="HG2" t="s">
        <v>3727</v>
      </c>
      <c r="HH2" t="s">
        <v>3728</v>
      </c>
      <c r="HI2" t="s">
        <v>3729</v>
      </c>
      <c r="HJ2" t="s">
        <v>3730</v>
      </c>
      <c r="HK2" t="s">
        <v>3731</v>
      </c>
      <c r="HL2" t="s">
        <v>3732</v>
      </c>
      <c r="HM2" t="s">
        <v>3733</v>
      </c>
      <c r="HN2" t="s">
        <v>3734</v>
      </c>
      <c r="HO2" t="s">
        <v>3735</v>
      </c>
      <c r="HP2" t="s">
        <v>3736</v>
      </c>
      <c r="HQ2" t="s">
        <v>3737</v>
      </c>
      <c r="HR2" t="s">
        <v>3738</v>
      </c>
      <c r="HS2" t="s">
        <v>3739</v>
      </c>
      <c r="HT2" t="s">
        <v>3740</v>
      </c>
      <c r="HU2" t="s">
        <v>3741</v>
      </c>
      <c r="HV2" t="s">
        <v>3742</v>
      </c>
      <c r="HW2" t="s">
        <v>3743</v>
      </c>
      <c r="HX2" t="s">
        <v>3744</v>
      </c>
      <c r="HY2" t="s">
        <v>3745</v>
      </c>
      <c r="HZ2" t="s">
        <v>3746</v>
      </c>
      <c r="IA2" t="s">
        <v>3747</v>
      </c>
      <c r="IB2" t="s">
        <v>3748</v>
      </c>
      <c r="IC2" t="s">
        <v>3749</v>
      </c>
      <c r="ID2" t="s">
        <v>3750</v>
      </c>
      <c r="IE2" t="s">
        <v>3751</v>
      </c>
      <c r="IF2" t="s">
        <v>3752</v>
      </c>
      <c r="IG2" t="s">
        <v>3753</v>
      </c>
      <c r="IH2" t="s">
        <v>3754</v>
      </c>
      <c r="II2" t="s">
        <v>3755</v>
      </c>
      <c r="IJ2" t="s">
        <v>3756</v>
      </c>
      <c r="IK2" t="s">
        <v>3757</v>
      </c>
      <c r="IL2" t="s">
        <v>3758</v>
      </c>
      <c r="IM2" t="s">
        <v>3759</v>
      </c>
      <c r="IN2" t="s">
        <v>3760</v>
      </c>
      <c r="IO2" t="s">
        <v>3761</v>
      </c>
      <c r="IP2" t="s">
        <v>3762</v>
      </c>
      <c r="IQ2" t="s">
        <v>3763</v>
      </c>
      <c r="IR2" t="s">
        <v>3764</v>
      </c>
      <c r="IS2" t="s">
        <v>3765</v>
      </c>
      <c r="IT2" t="s">
        <v>3766</v>
      </c>
      <c r="IU2" t="s">
        <v>3767</v>
      </c>
      <c r="IV2" t="s">
        <v>3768</v>
      </c>
    </row>
    <row r="3" spans="1:256" x14ac:dyDescent="0.3">
      <c r="A3" t="s">
        <v>3769</v>
      </c>
      <c r="B3" t="s">
        <v>3770</v>
      </c>
      <c r="C3" t="s">
        <v>3771</v>
      </c>
      <c r="D3" t="s">
        <v>3772</v>
      </c>
      <c r="E3" t="s">
        <v>3773</v>
      </c>
      <c r="F3" t="s">
        <v>3774</v>
      </c>
      <c r="G3" t="s">
        <v>3775</v>
      </c>
      <c r="H3" t="s">
        <v>3776</v>
      </c>
      <c r="I3" t="s">
        <v>3777</v>
      </c>
      <c r="J3" t="s">
        <v>3778</v>
      </c>
      <c r="K3" t="s">
        <v>3779</v>
      </c>
      <c r="L3" t="s">
        <v>3780</v>
      </c>
      <c r="M3" t="s">
        <v>3781</v>
      </c>
      <c r="N3" t="s">
        <v>3782</v>
      </c>
      <c r="O3" t="s">
        <v>3783</v>
      </c>
      <c r="P3" t="s">
        <v>3784</v>
      </c>
      <c r="Q3" t="s">
        <v>3785</v>
      </c>
      <c r="R3" t="s">
        <v>3786</v>
      </c>
      <c r="S3" t="s">
        <v>3787</v>
      </c>
      <c r="T3" t="s">
        <v>3788</v>
      </c>
      <c r="U3" t="s">
        <v>3789</v>
      </c>
      <c r="V3" t="s">
        <v>3790</v>
      </c>
      <c r="W3" t="s">
        <v>3791</v>
      </c>
      <c r="X3" t="s">
        <v>3792</v>
      </c>
      <c r="Y3" t="s">
        <v>3793</v>
      </c>
      <c r="Z3" t="s">
        <v>3794</v>
      </c>
      <c r="AA3" t="s">
        <v>3795</v>
      </c>
      <c r="AB3" t="s">
        <v>3796</v>
      </c>
      <c r="AC3" t="s">
        <v>3797</v>
      </c>
      <c r="AD3" t="s">
        <v>3798</v>
      </c>
      <c r="AE3" t="s">
        <v>3799</v>
      </c>
      <c r="AF3" t="s">
        <v>3800</v>
      </c>
      <c r="AG3" t="s">
        <v>3801</v>
      </c>
      <c r="AH3" t="s">
        <v>3802</v>
      </c>
      <c r="AI3" t="s">
        <v>3803</v>
      </c>
      <c r="AJ3" t="s">
        <v>3804</v>
      </c>
      <c r="AK3" t="s">
        <v>3805</v>
      </c>
      <c r="AL3" t="s">
        <v>3806</v>
      </c>
      <c r="AM3" t="s">
        <v>3807</v>
      </c>
      <c r="AN3" t="s">
        <v>3808</v>
      </c>
      <c r="AO3" t="s">
        <v>3809</v>
      </c>
      <c r="AP3" t="s">
        <v>3810</v>
      </c>
      <c r="AQ3" t="s">
        <v>3811</v>
      </c>
      <c r="AR3" t="s">
        <v>3812</v>
      </c>
      <c r="AS3" t="s">
        <v>3813</v>
      </c>
      <c r="AT3" t="s">
        <v>3814</v>
      </c>
      <c r="AU3" t="s">
        <v>3815</v>
      </c>
      <c r="AV3" t="s">
        <v>3816</v>
      </c>
      <c r="AW3" t="s">
        <v>3817</v>
      </c>
      <c r="AX3" t="s">
        <v>3818</v>
      </c>
      <c r="AY3" t="s">
        <v>3819</v>
      </c>
      <c r="AZ3" t="s">
        <v>3820</v>
      </c>
      <c r="BA3" t="s">
        <v>3821</v>
      </c>
      <c r="BB3" t="s">
        <v>3822</v>
      </c>
      <c r="BC3" t="s">
        <v>3823</v>
      </c>
      <c r="BD3" t="s">
        <v>3824</v>
      </c>
      <c r="BE3" t="s">
        <v>3825</v>
      </c>
      <c r="BF3" t="s">
        <v>3826</v>
      </c>
      <c r="BG3" t="s">
        <v>3827</v>
      </c>
      <c r="BH3" t="s">
        <v>3828</v>
      </c>
      <c r="BI3" t="s">
        <v>3829</v>
      </c>
      <c r="BJ3" t="s">
        <v>3830</v>
      </c>
      <c r="BK3" t="s">
        <v>3831</v>
      </c>
      <c r="BL3" t="s">
        <v>3832</v>
      </c>
      <c r="BM3" t="s">
        <v>3833</v>
      </c>
      <c r="BN3" t="s">
        <v>3834</v>
      </c>
      <c r="BO3" t="s">
        <v>3835</v>
      </c>
      <c r="BP3" t="s">
        <v>3836</v>
      </c>
      <c r="BQ3" t="s">
        <v>3837</v>
      </c>
      <c r="BR3" t="s">
        <v>3838</v>
      </c>
      <c r="BS3" t="s">
        <v>3839</v>
      </c>
      <c r="BT3" t="s">
        <v>3840</v>
      </c>
      <c r="BU3" t="s">
        <v>3841</v>
      </c>
      <c r="BV3" t="s">
        <v>3842</v>
      </c>
      <c r="BW3" t="s">
        <v>3843</v>
      </c>
      <c r="BX3" t="s">
        <v>3844</v>
      </c>
      <c r="BY3" t="s">
        <v>3845</v>
      </c>
      <c r="BZ3" t="s">
        <v>3846</v>
      </c>
      <c r="CA3" t="s">
        <v>3847</v>
      </c>
      <c r="CB3" t="s">
        <v>3848</v>
      </c>
      <c r="CC3" t="s">
        <v>3849</v>
      </c>
      <c r="CD3" t="s">
        <v>3850</v>
      </c>
      <c r="CE3" t="s">
        <v>3851</v>
      </c>
      <c r="CF3" t="s">
        <v>3852</v>
      </c>
      <c r="CG3" t="s">
        <v>3853</v>
      </c>
      <c r="CH3" t="s">
        <v>3854</v>
      </c>
      <c r="CI3" t="s">
        <v>3855</v>
      </c>
      <c r="CJ3" t="s">
        <v>3856</v>
      </c>
      <c r="CK3" t="s">
        <v>3857</v>
      </c>
      <c r="CL3" t="s">
        <v>3858</v>
      </c>
      <c r="CM3" t="s">
        <v>3859</v>
      </c>
      <c r="CN3" t="s">
        <v>3860</v>
      </c>
      <c r="CO3" t="s">
        <v>3861</v>
      </c>
      <c r="CP3" t="s">
        <v>3862</v>
      </c>
      <c r="CQ3" t="s">
        <v>3863</v>
      </c>
      <c r="CR3" t="s">
        <v>3864</v>
      </c>
      <c r="CS3" t="s">
        <v>3865</v>
      </c>
      <c r="CT3" t="s">
        <v>3866</v>
      </c>
      <c r="CU3" t="s">
        <v>3867</v>
      </c>
      <c r="CV3" t="s">
        <v>3868</v>
      </c>
      <c r="CW3" t="s">
        <v>3869</v>
      </c>
      <c r="CX3" t="s">
        <v>3870</v>
      </c>
      <c r="CY3" t="s">
        <v>3871</v>
      </c>
      <c r="CZ3" t="s">
        <v>3872</v>
      </c>
      <c r="DA3" t="s">
        <v>3873</v>
      </c>
      <c r="DB3" t="s">
        <v>3874</v>
      </c>
      <c r="DC3" t="s">
        <v>3875</v>
      </c>
      <c r="DD3" t="s">
        <v>3876</v>
      </c>
      <c r="DE3" t="s">
        <v>3877</v>
      </c>
      <c r="DF3" t="s">
        <v>3878</v>
      </c>
      <c r="DG3" t="s">
        <v>3879</v>
      </c>
      <c r="DH3" t="s">
        <v>3880</v>
      </c>
      <c r="DI3" t="s">
        <v>3881</v>
      </c>
      <c r="DJ3" t="s">
        <v>3882</v>
      </c>
      <c r="DK3" t="s">
        <v>3883</v>
      </c>
      <c r="DL3" t="s">
        <v>3884</v>
      </c>
      <c r="DM3" t="s">
        <v>3885</v>
      </c>
      <c r="DN3" t="s">
        <v>3886</v>
      </c>
      <c r="DO3" t="s">
        <v>3887</v>
      </c>
      <c r="DP3" t="s">
        <v>3888</v>
      </c>
      <c r="DQ3" t="s">
        <v>3889</v>
      </c>
      <c r="DR3" t="s">
        <v>3890</v>
      </c>
      <c r="DS3" t="s">
        <v>3891</v>
      </c>
      <c r="DT3" t="s">
        <v>3892</v>
      </c>
      <c r="DU3" t="s">
        <v>3893</v>
      </c>
      <c r="DV3" t="s">
        <v>3894</v>
      </c>
      <c r="DW3" t="s">
        <v>3895</v>
      </c>
      <c r="DX3" t="s">
        <v>3896</v>
      </c>
      <c r="DY3" t="s">
        <v>3897</v>
      </c>
      <c r="DZ3" t="s">
        <v>3898</v>
      </c>
      <c r="EA3" t="s">
        <v>3899</v>
      </c>
      <c r="EB3" t="s">
        <v>3900</v>
      </c>
      <c r="EC3" t="s">
        <v>3901</v>
      </c>
      <c r="ED3" t="s">
        <v>3902</v>
      </c>
      <c r="EE3" t="s">
        <v>3903</v>
      </c>
      <c r="EF3" t="s">
        <v>3904</v>
      </c>
      <c r="EG3" t="s">
        <v>3905</v>
      </c>
      <c r="EH3" t="s">
        <v>3906</v>
      </c>
      <c r="EI3" t="s">
        <v>3907</v>
      </c>
      <c r="EJ3" t="s">
        <v>3908</v>
      </c>
      <c r="EK3" t="s">
        <v>3909</v>
      </c>
      <c r="EL3" t="s">
        <v>3910</v>
      </c>
      <c r="EM3" t="s">
        <v>3911</v>
      </c>
      <c r="EN3" t="s">
        <v>3912</v>
      </c>
      <c r="EO3" t="s">
        <v>3913</v>
      </c>
      <c r="EP3" t="s">
        <v>3914</v>
      </c>
      <c r="EQ3" t="s">
        <v>3915</v>
      </c>
      <c r="ER3" t="s">
        <v>3916</v>
      </c>
      <c r="ES3" t="s">
        <v>3917</v>
      </c>
      <c r="ET3" t="s">
        <v>3918</v>
      </c>
      <c r="EU3" t="s">
        <v>3919</v>
      </c>
      <c r="EV3" t="s">
        <v>3920</v>
      </c>
      <c r="EW3" t="s">
        <v>3921</v>
      </c>
      <c r="EX3" t="s">
        <v>3922</v>
      </c>
      <c r="EY3" t="s">
        <v>3923</v>
      </c>
      <c r="EZ3" t="s">
        <v>3924</v>
      </c>
      <c r="FA3" t="s">
        <v>3925</v>
      </c>
      <c r="FB3" t="s">
        <v>3926</v>
      </c>
      <c r="FC3" t="s">
        <v>3927</v>
      </c>
      <c r="FD3" t="s">
        <v>3928</v>
      </c>
      <c r="FE3" t="s">
        <v>3929</v>
      </c>
      <c r="FF3" t="s">
        <v>3930</v>
      </c>
      <c r="FG3" t="s">
        <v>3931</v>
      </c>
      <c r="FH3" t="s">
        <v>3932</v>
      </c>
      <c r="FI3" t="s">
        <v>3933</v>
      </c>
      <c r="FJ3" t="s">
        <v>3934</v>
      </c>
      <c r="FK3" t="s">
        <v>3935</v>
      </c>
      <c r="FL3" t="s">
        <v>3936</v>
      </c>
      <c r="FM3" t="s">
        <v>3937</v>
      </c>
      <c r="FN3" t="s">
        <v>3938</v>
      </c>
      <c r="FO3" t="s">
        <v>3939</v>
      </c>
      <c r="FP3" t="s">
        <v>3940</v>
      </c>
      <c r="FQ3" t="s">
        <v>3941</v>
      </c>
      <c r="FR3" t="s">
        <v>3942</v>
      </c>
      <c r="FS3" t="s">
        <v>3943</v>
      </c>
      <c r="FT3" t="s">
        <v>3944</v>
      </c>
      <c r="FU3" t="s">
        <v>3945</v>
      </c>
      <c r="FV3" t="s">
        <v>3946</v>
      </c>
      <c r="FW3" t="s">
        <v>3947</v>
      </c>
      <c r="FX3" t="s">
        <v>3948</v>
      </c>
      <c r="FY3" t="s">
        <v>3949</v>
      </c>
      <c r="FZ3" t="s">
        <v>3950</v>
      </c>
      <c r="GA3" t="s">
        <v>3951</v>
      </c>
      <c r="GB3" t="s">
        <v>3952</v>
      </c>
      <c r="GC3" t="s">
        <v>3953</v>
      </c>
      <c r="GD3" t="s">
        <v>3954</v>
      </c>
      <c r="GE3" t="s">
        <v>3955</v>
      </c>
      <c r="GF3" t="s">
        <v>3956</v>
      </c>
      <c r="GG3" t="s">
        <v>3957</v>
      </c>
      <c r="GH3" t="s">
        <v>3958</v>
      </c>
      <c r="GI3" t="s">
        <v>3959</v>
      </c>
      <c r="GJ3" t="s">
        <v>3960</v>
      </c>
      <c r="GK3" t="s">
        <v>3961</v>
      </c>
      <c r="GL3" t="s">
        <v>3962</v>
      </c>
      <c r="GM3" t="s">
        <v>3963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23DE-9195-42CF-B795-0B379C303D5F}">
  <dimension ref="A1:T1224"/>
  <sheetViews>
    <sheetView tabSelected="1" topLeftCell="A253" workbookViewId="0">
      <selection activeCell="O268" sqref="O268"/>
    </sheetView>
  </sheetViews>
  <sheetFormatPr defaultRowHeight="14.4" x14ac:dyDescent="0.3"/>
  <cols>
    <col min="6" max="6" width="16.44140625" customWidth="1"/>
  </cols>
  <sheetData>
    <row r="1" spans="1:20" x14ac:dyDescent="0.3">
      <c r="A1" t="s">
        <v>0</v>
      </c>
      <c r="B1" t="s">
        <v>1</v>
      </c>
      <c r="C1" t="s">
        <v>2</v>
      </c>
      <c r="D1" t="s">
        <v>3</v>
      </c>
      <c r="E1" t="s">
        <v>4</v>
      </c>
      <c r="F1" t="s">
        <v>5</v>
      </c>
      <c r="G1" t="s">
        <v>6</v>
      </c>
      <c r="H1" t="s">
        <v>7</v>
      </c>
      <c r="I1" t="s">
        <v>3246</v>
      </c>
      <c r="J1" t="s">
        <v>3247</v>
      </c>
      <c r="K1" t="s">
        <v>3248</v>
      </c>
      <c r="L1" t="s">
        <v>3249</v>
      </c>
      <c r="M1" t="s">
        <v>3250</v>
      </c>
      <c r="N1" t="s">
        <v>3251</v>
      </c>
      <c r="O1" t="s">
        <v>3252</v>
      </c>
      <c r="P1" t="s">
        <v>3253</v>
      </c>
      <c r="Q1" t="s">
        <v>3254</v>
      </c>
      <c r="R1" t="s">
        <v>3255</v>
      </c>
      <c r="S1" t="s">
        <v>3256</v>
      </c>
      <c r="T1" t="s">
        <v>3257</v>
      </c>
    </row>
    <row r="2" spans="1:20" x14ac:dyDescent="0.3">
      <c r="A2" t="s">
        <v>8</v>
      </c>
      <c r="B2">
        <v>21.86</v>
      </c>
      <c r="C2" t="s">
        <v>9</v>
      </c>
      <c r="D2" t="s">
        <v>10</v>
      </c>
      <c r="E2" t="s">
        <v>11</v>
      </c>
      <c r="F2" s="1">
        <v>45293</v>
      </c>
      <c r="G2" t="s">
        <v>12</v>
      </c>
      <c r="H2">
        <v>86</v>
      </c>
      <c r="I2">
        <f>_xll.ciqfunctions.udf.CIQ(A2, "IQ_MARKETCAP", F2)</f>
        <v>1853.94083</v>
      </c>
      <c r="J2">
        <f>_xll.ciqfunctions.udf.CIQ(A2, "IQ_PRICE_VOL_HIST_6MTH", F2)</f>
        <v>47.808900000000001</v>
      </c>
      <c r="K2">
        <f>_xll.ciqfunctions.udf.CIQ(A2, "IQ_LASTSALEPRICE", WORKDAY(F2,-1))</f>
        <v>21.61</v>
      </c>
      <c r="L2">
        <f>_xll.ciqfunctions.udf.CIQ(A2, "IQ_LASTSALEPRICE", F2)</f>
        <v>21.86</v>
      </c>
      <c r="M2">
        <f>_xll.ciqfunctions.udf.CIQ(A2, "IQ_LASTSALEPRICE", WORKDAY(F2,5))</f>
        <v>22.64</v>
      </c>
      <c r="N2">
        <f>LN(L2/K2)</f>
        <v>1.1502312229597803E-2</v>
      </c>
      <c r="O2">
        <f>LN(M2/K2)</f>
        <v>4.6562082816187567E-2</v>
      </c>
      <c r="P2">
        <f>LN(_xll.ciqfunctions.udf.CIQ("XBI", "IQ_LASTSALEPRICE", WORKDAY(F2,-1))/_xll.ciqfunctions.udf.CIQ("XBI", "IQ_LASTSALEPRICE", WORKDAY(F2,1)))</f>
        <v>1.2282536516379425E-2</v>
      </c>
      <c r="Q2">
        <f>LN(_xll.ciqfunctions.udf.CIQ("XBI", "IQ_LASTSALEPRICE", WORKDAY(F2,-1))/_xll.ciqfunctions.udf.CIQ("XBI", "IQ_LASTSALEPRICE", WORKDAY(F2,5)))</f>
        <v>-4.7140883954421134E-2</v>
      </c>
      <c r="R2">
        <f>_xll.ciqfunctions.udf.CIQ(A2, "IQ_SHORT_INTEREST_PERCENT", F2)</f>
        <v>12.186669999999999</v>
      </c>
      <c r="S2">
        <f>_xll.ciqfunctions.udf.CIQ(A2, "IQ_BETA_1YR_RSQ", F2)</f>
        <v>0.32229999999999998</v>
      </c>
      <c r="T2">
        <f>_xll.ciqfunctions.udf.CIQ(A2, "IQ_VALUE_TRADED", F2)</f>
        <v>27.4223</v>
      </c>
    </row>
    <row r="3" spans="1:20" x14ac:dyDescent="0.3">
      <c r="A3" t="s">
        <v>13</v>
      </c>
      <c r="B3">
        <v>65.45</v>
      </c>
      <c r="C3" t="s">
        <v>9</v>
      </c>
      <c r="D3" t="s">
        <v>10</v>
      </c>
      <c r="E3" t="s">
        <v>11</v>
      </c>
      <c r="F3" s="1">
        <v>45293</v>
      </c>
      <c r="G3" t="s">
        <v>12</v>
      </c>
      <c r="H3">
        <v>195</v>
      </c>
      <c r="I3">
        <f>_xll.ciqfunctions.udf.CIQ(A3, "IQ_MARKETCAP", F3)</f>
        <v>14667.949629999999</v>
      </c>
      <c r="J3">
        <f>_xll.ciqfunctions.udf.CIQ(A3, "IQ_PRICE_VOL_HIST_6MTH", F3)</f>
        <v>26.2121</v>
      </c>
      <c r="K3">
        <f>_xll.ciqfunctions.udf.CIQ(A3, "IQ_LASTSALEPRICE", WORKDAY(F3,-1))</f>
        <v>62.79</v>
      </c>
      <c r="L3">
        <f>_xll.ciqfunctions.udf.CIQ(A3, "IQ_LASTSALEPRICE", F3)</f>
        <v>65.45</v>
      </c>
      <c r="M3">
        <f>_xll.ciqfunctions.udf.CIQ(A3, "IQ_LASTSALEPRICE", WORKDAY(F3,5))</f>
        <v>64.38</v>
      </c>
      <c r="N3">
        <f t="shared" ref="N3:N66" si="0">LN(L3/K3)</f>
        <v>4.1490667229890997E-2</v>
      </c>
      <c r="O3">
        <f t="shared" ref="O3:O66" si="1">LN(M3/K3)</f>
        <v>2.5007200744643972E-2</v>
      </c>
      <c r="P3">
        <f>LN(_xll.ciqfunctions.udf.CIQ("XBI", "IQ_LASTSALEPRICE", WORKDAY(F3,-1))/_xll.ciqfunctions.udf.CIQ("XBI", "IQ_LASTSALEPRICE", WORKDAY(F3,1)))</f>
        <v>1.2282536516379425E-2</v>
      </c>
      <c r="Q3">
        <f>LN(_xll.ciqfunctions.udf.CIQ("XBI", "IQ_LASTSALEPRICE", WORKDAY(F3,-1))/_xll.ciqfunctions.udf.CIQ("XBI", "IQ_LASTSALEPRICE", WORKDAY(F3,5)))</f>
        <v>-4.7140883954421134E-2</v>
      </c>
      <c r="R3">
        <f>_xll.ciqfunctions.udf.CIQ(A3, "IQ_SHORT_INTEREST_PERCENT", F3)</f>
        <v>3.1109200000000001</v>
      </c>
      <c r="S3">
        <f>_xll.ciqfunctions.udf.CIQ(A3, "IQ_BETA_1YR_RSQ", F3)</f>
        <v>0.29538999999999999</v>
      </c>
      <c r="T3">
        <f>_xll.ciqfunctions.udf.CIQ(A3, "IQ_VALUE_TRADED", F3)</f>
        <v>95.478920000000002</v>
      </c>
    </row>
    <row r="4" spans="1:20" x14ac:dyDescent="0.3">
      <c r="A4" t="s">
        <v>14</v>
      </c>
      <c r="B4">
        <v>25.1</v>
      </c>
      <c r="C4" t="s">
        <v>15</v>
      </c>
      <c r="D4" t="s">
        <v>16</v>
      </c>
      <c r="E4" t="s">
        <v>17</v>
      </c>
      <c r="F4" s="1">
        <v>45293</v>
      </c>
      <c r="G4" t="s">
        <v>18</v>
      </c>
      <c r="H4">
        <v>39</v>
      </c>
      <c r="I4" t="str">
        <f>_xll.ciqfunctions.udf.CIQ(A4, "IQ_MARKETCAP", F4)</f>
        <v>(Invalid Identifier)</v>
      </c>
      <c r="J4" t="str">
        <f>_xll.ciqfunctions.udf.CIQ(A4, "IQ_PRICE_VOL_HIST_6MTH", F4)</f>
        <v>(Invalid Identifier)</v>
      </c>
      <c r="K4" t="str">
        <f>_xll.ciqfunctions.udf.CIQ(A4, "IQ_LASTSALEPRICE", WORKDAY(F4,-1))</f>
        <v>(Invalid Identifier)</v>
      </c>
      <c r="L4" t="str">
        <f>_xll.ciqfunctions.udf.CIQ(A4, "IQ_LASTSALEPRICE", F4)</f>
        <v>(Invalid Identifier)</v>
      </c>
      <c r="M4" t="str">
        <f>_xll.ciqfunctions.udf.CIQ(A4, "IQ_LASTSALEPRICE", WORKDAY(F4,5))</f>
        <v>(Invalid Identifier)</v>
      </c>
      <c r="N4" t="e">
        <f t="shared" si="0"/>
        <v>#VALUE!</v>
      </c>
      <c r="O4" t="e">
        <f t="shared" si="1"/>
        <v>#VALUE!</v>
      </c>
      <c r="P4">
        <f>LN(_xll.ciqfunctions.udf.CIQ("XBI", "IQ_LASTSALEPRICE", WORKDAY(F4,-1))/_xll.ciqfunctions.udf.CIQ("XBI", "IQ_LASTSALEPRICE", WORKDAY(F4,1)))</f>
        <v>1.2282536516379425E-2</v>
      </c>
      <c r="Q4">
        <f>LN(_xll.ciqfunctions.udf.CIQ("XBI", "IQ_LASTSALEPRICE", WORKDAY(F4,-1))/_xll.ciqfunctions.udf.CIQ("XBI", "IQ_LASTSALEPRICE", WORKDAY(F4,5)))</f>
        <v>-4.7140883954421134E-2</v>
      </c>
      <c r="R4" t="str">
        <f>_xll.ciqfunctions.udf.CIQ(A4, "IQ_SHORT_INTEREST_PERCENT", F4)</f>
        <v>(Invalid Identifier)</v>
      </c>
      <c r="S4" t="str">
        <f>_xll.ciqfunctions.udf.CIQ(A4, "IQ_BETA_1YR_RSQ", F4)</f>
        <v>(Invalid Identifier)</v>
      </c>
      <c r="T4" t="str">
        <f>_xll.ciqfunctions.udf.CIQ(A4, "IQ_VALUE_TRADED", F4)</f>
        <v>(Invalid Identifier)</v>
      </c>
    </row>
    <row r="5" spans="1:20" x14ac:dyDescent="0.3">
      <c r="A5" t="s">
        <v>19</v>
      </c>
      <c r="B5">
        <v>1.69</v>
      </c>
      <c r="C5" t="s">
        <v>20</v>
      </c>
      <c r="D5" t="s">
        <v>21</v>
      </c>
      <c r="E5" t="s">
        <v>22</v>
      </c>
      <c r="F5" s="1">
        <v>45293</v>
      </c>
      <c r="G5" t="s">
        <v>23</v>
      </c>
      <c r="H5">
        <v>214</v>
      </c>
      <c r="I5">
        <f>_xll.ciqfunctions.udf.CIQ(A5, "IQ_MARKETCAP", F5)</f>
        <v>280.55770000000001</v>
      </c>
      <c r="J5">
        <f>_xll.ciqfunctions.udf.CIQ(A5, "IQ_PRICE_VOL_HIST_6MTH", F5)</f>
        <v>76.773799999999994</v>
      </c>
      <c r="K5">
        <f>_xll.ciqfunctions.udf.CIQ(A5, "IQ_LASTSALEPRICE", WORKDAY(F5,-1))</f>
        <v>1.41</v>
      </c>
      <c r="L5">
        <f>_xll.ciqfunctions.udf.CIQ(A5, "IQ_LASTSALEPRICE", F5)</f>
        <v>1.69</v>
      </c>
      <c r="M5">
        <f>_xll.ciqfunctions.udf.CIQ(A5, "IQ_LASTSALEPRICE", WORKDAY(F5,5))</f>
        <v>2.19</v>
      </c>
      <c r="N5">
        <f t="shared" si="0"/>
        <v>0.18113882454490524</v>
      </c>
      <c r="O5">
        <f t="shared" si="1"/>
        <v>0.44031183943833263</v>
      </c>
      <c r="P5">
        <f>LN(_xll.ciqfunctions.udf.CIQ("XBI", "IQ_LASTSALEPRICE", WORKDAY(F5,-1))/_xll.ciqfunctions.udf.CIQ("XBI", "IQ_LASTSALEPRICE", WORKDAY(F5,1)))</f>
        <v>1.2282536516379425E-2</v>
      </c>
      <c r="Q5">
        <f>LN(_xll.ciqfunctions.udf.CIQ("XBI", "IQ_LASTSALEPRICE", WORKDAY(F5,-1))/_xll.ciqfunctions.udf.CIQ("XBI", "IQ_LASTSALEPRICE", WORKDAY(F5,5)))</f>
        <v>-4.7140883954421134E-2</v>
      </c>
      <c r="R5">
        <f>_xll.ciqfunctions.udf.CIQ(A5, "IQ_SHORT_INTEREST_PERCENT", F5)</f>
        <v>2.7209400000000001</v>
      </c>
      <c r="S5">
        <f>_xll.ciqfunctions.udf.CIQ(A5, "IQ_BETA_1YR_RSQ", F5)</f>
        <v>0.19037999999999999</v>
      </c>
      <c r="T5">
        <f>_xll.ciqfunctions.udf.CIQ(A5, "IQ_VALUE_TRADED", F5)</f>
        <v>5.2209399999999997</v>
      </c>
    </row>
    <row r="6" spans="1:20" x14ac:dyDescent="0.3">
      <c r="A6" t="s">
        <v>24</v>
      </c>
      <c r="B6">
        <v>6.05</v>
      </c>
      <c r="C6" t="s">
        <v>25</v>
      </c>
      <c r="D6" t="s">
        <v>26</v>
      </c>
      <c r="E6" t="s">
        <v>27</v>
      </c>
      <c r="F6" s="1">
        <v>45293</v>
      </c>
      <c r="G6" t="s">
        <v>28</v>
      </c>
      <c r="H6">
        <v>85</v>
      </c>
      <c r="I6">
        <f>_xll.ciqfunctions.udf.CIQ(A6, "IQ_MARKETCAP", F6)</f>
        <v>496.21296000000001</v>
      </c>
      <c r="J6">
        <f>_xll.ciqfunctions.udf.CIQ(A6, "IQ_PRICE_VOL_HIST_6MTH", F6)</f>
        <v>88.648099999999999</v>
      </c>
      <c r="K6">
        <f>_xll.ciqfunctions.udf.CIQ(A6, "IQ_LASTSALEPRICE", WORKDAY(F6,-1))</f>
        <v>9.31</v>
      </c>
      <c r="L6">
        <f>_xll.ciqfunctions.udf.CIQ(A6, "IQ_LASTSALEPRICE", F6)</f>
        <v>6.0449999999999999</v>
      </c>
      <c r="M6">
        <f>_xll.ciqfunctions.udf.CIQ(A6, "IQ_LASTSALEPRICE", WORKDAY(F6,5))</f>
        <v>6.41</v>
      </c>
      <c r="N6">
        <f t="shared" si="0"/>
        <v>-0.43185760722221983</v>
      </c>
      <c r="O6">
        <f t="shared" si="1"/>
        <v>-0.37322982035639707</v>
      </c>
      <c r="P6">
        <f>LN(_xll.ciqfunctions.udf.CIQ("XBI", "IQ_LASTSALEPRICE", WORKDAY(F6,-1))/_xll.ciqfunctions.udf.CIQ("XBI", "IQ_LASTSALEPRICE", WORKDAY(F6,1)))</f>
        <v>1.2282536516379425E-2</v>
      </c>
      <c r="Q6">
        <f>LN(_xll.ciqfunctions.udf.CIQ("XBI", "IQ_LASTSALEPRICE", WORKDAY(F6,-1))/_xll.ciqfunctions.udf.CIQ("XBI", "IQ_LASTSALEPRICE", WORKDAY(F6,5)))</f>
        <v>-4.7140883954421134E-2</v>
      </c>
      <c r="R6">
        <f>_xll.ciqfunctions.udf.CIQ(A6, "IQ_SHORT_INTEREST_PERCENT", F6)</f>
        <v>22.076370000000001</v>
      </c>
      <c r="S6">
        <f>_xll.ciqfunctions.udf.CIQ(A6, "IQ_BETA_1YR_RSQ", F6)</f>
        <v>0.29289999999999999</v>
      </c>
      <c r="T6">
        <f>_xll.ciqfunctions.udf.CIQ(A6, "IQ_VALUE_TRADED", F6)</f>
        <v>56.00573</v>
      </c>
    </row>
    <row r="7" spans="1:20" x14ac:dyDescent="0.3">
      <c r="A7" t="s">
        <v>29</v>
      </c>
      <c r="B7">
        <v>12</v>
      </c>
      <c r="C7" t="s">
        <v>30</v>
      </c>
      <c r="D7" t="s">
        <v>31</v>
      </c>
      <c r="E7" t="s">
        <v>17</v>
      </c>
      <c r="F7" s="1">
        <v>45293</v>
      </c>
      <c r="G7" t="s">
        <v>32</v>
      </c>
      <c r="H7">
        <v>3</v>
      </c>
      <c r="I7">
        <f>_xll.ciqfunctions.udf.CIQ(A7, "IQ_MARKETCAP", F7)</f>
        <v>2.1196100000000002</v>
      </c>
      <c r="J7">
        <f>_xll.ciqfunctions.udf.CIQ(A7, "IQ_PRICE_VOL_HIST_6MTH", F7)</f>
        <v>106.41379999999999</v>
      </c>
      <c r="K7">
        <f>_xll.ciqfunctions.udf.CIQ(A7, "IQ_LASTSALEPRICE", WORKDAY(F7,-1))</f>
        <v>12.07503</v>
      </c>
      <c r="L7">
        <f>_xll.ciqfunctions.udf.CIQ(A7, "IQ_LASTSALEPRICE", F7)</f>
        <v>12.000030000000001</v>
      </c>
      <c r="M7">
        <f>_xll.ciqfunctions.udf.CIQ(A7, "IQ_LASTSALEPRICE", WORKDAY(F7,5))</f>
        <v>14.13754</v>
      </c>
      <c r="N7">
        <f t="shared" si="0"/>
        <v>-6.2305342227244442E-3</v>
      </c>
      <c r="O7">
        <f t="shared" si="1"/>
        <v>0.15769398678518987</v>
      </c>
      <c r="P7">
        <f>LN(_xll.ciqfunctions.udf.CIQ("XBI", "IQ_LASTSALEPRICE", WORKDAY(F7,-1))/_xll.ciqfunctions.udf.CIQ("XBI", "IQ_LASTSALEPRICE", WORKDAY(F7,1)))</f>
        <v>1.2282536516379425E-2</v>
      </c>
      <c r="Q7">
        <f>LN(_xll.ciqfunctions.udf.CIQ("XBI", "IQ_LASTSALEPRICE", WORKDAY(F7,-1))/_xll.ciqfunctions.udf.CIQ("XBI", "IQ_LASTSALEPRICE", WORKDAY(F7,5)))</f>
        <v>-4.7140883954421134E-2</v>
      </c>
      <c r="R7">
        <f>_xll.ciqfunctions.udf.CIQ(A7, "IQ_SHORT_INTEREST_PERCENT", F7)</f>
        <v>1.7293000000000001</v>
      </c>
      <c r="S7">
        <f>_xll.ciqfunctions.udf.CIQ(A7, "IQ_BETA_1YR_RSQ", F7)</f>
        <v>0</v>
      </c>
      <c r="T7">
        <f>_xll.ciqfunctions.udf.CIQ(A7, "IQ_VALUE_TRADED", F7)</f>
        <v>0.16552</v>
      </c>
    </row>
    <row r="8" spans="1:20" x14ac:dyDescent="0.3">
      <c r="A8" t="s">
        <v>33</v>
      </c>
      <c r="B8">
        <v>1.52</v>
      </c>
      <c r="C8" t="s">
        <v>34</v>
      </c>
      <c r="D8" t="s">
        <v>35</v>
      </c>
      <c r="E8" t="s">
        <v>36</v>
      </c>
      <c r="F8" s="1">
        <v>45293</v>
      </c>
      <c r="G8" t="s">
        <v>37</v>
      </c>
      <c r="H8">
        <v>56</v>
      </c>
      <c r="I8">
        <f>_xll.ciqfunctions.udf.CIQ(A8, "IQ_MARKETCAP", F8)</f>
        <v>80.558959999999999</v>
      </c>
      <c r="J8">
        <f>_xll.ciqfunctions.udf.CIQ(A8, "IQ_PRICE_VOL_HIST_6MTH", F8)</f>
        <v>48.297499999999999</v>
      </c>
      <c r="K8">
        <f>_xll.ciqfunctions.udf.CIQ(A8, "IQ_LASTSALEPRICE", WORKDAY(F8,-1))</f>
        <v>1.47</v>
      </c>
      <c r="L8">
        <f>_xll.ciqfunctions.udf.CIQ(A8, "IQ_LASTSALEPRICE", F8)</f>
        <v>1.52</v>
      </c>
      <c r="M8">
        <f>_xll.ciqfunctions.udf.CIQ(A8, "IQ_LASTSALEPRICE", WORKDAY(F8,5))</f>
        <v>1.46</v>
      </c>
      <c r="N8">
        <f t="shared" si="0"/>
        <v>3.3447934067540125E-2</v>
      </c>
      <c r="O8">
        <f t="shared" si="1"/>
        <v>-6.8259650703998706E-3</v>
      </c>
      <c r="P8">
        <f>LN(_xll.ciqfunctions.udf.CIQ("XBI", "IQ_LASTSALEPRICE", WORKDAY(F8,-1))/_xll.ciqfunctions.udf.CIQ("XBI", "IQ_LASTSALEPRICE", WORKDAY(F8,1)))</f>
        <v>1.2282536516379425E-2</v>
      </c>
      <c r="Q8">
        <f>LN(_xll.ciqfunctions.udf.CIQ("XBI", "IQ_LASTSALEPRICE", WORKDAY(F8,-1))/_xll.ciqfunctions.udf.CIQ("XBI", "IQ_LASTSALEPRICE", WORKDAY(F8,5)))</f>
        <v>-4.7140883954421134E-2</v>
      </c>
      <c r="R8">
        <f>_xll.ciqfunctions.udf.CIQ(A8, "IQ_SHORT_INTEREST_PERCENT", F8)</f>
        <v>1.84249</v>
      </c>
      <c r="S8">
        <f>_xll.ciqfunctions.udf.CIQ(A8, "IQ_BETA_1YR_RSQ", F8)</f>
        <v>0.13336999999999999</v>
      </c>
      <c r="T8">
        <f>_xll.ciqfunctions.udf.CIQ(A8, "IQ_VALUE_TRADED", F8)</f>
        <v>0.65181999999999995</v>
      </c>
    </row>
    <row r="9" spans="1:20" x14ac:dyDescent="0.3">
      <c r="A9" t="s">
        <v>38</v>
      </c>
      <c r="B9">
        <v>0.81</v>
      </c>
      <c r="C9" t="s">
        <v>39</v>
      </c>
      <c r="D9" t="s">
        <v>40</v>
      </c>
      <c r="E9" t="s">
        <v>36</v>
      </c>
      <c r="F9" s="1">
        <v>45293</v>
      </c>
      <c r="G9" t="s">
        <v>41</v>
      </c>
      <c r="H9">
        <v>17</v>
      </c>
      <c r="I9">
        <f>_xll.ciqfunctions.udf.CIQ(A9, "IQ_MARKETCAP", F9)</f>
        <v>128.55627000000001</v>
      </c>
      <c r="J9">
        <f>_xll.ciqfunctions.udf.CIQ(A9, "IQ_PRICE_VOL_HIST_6MTH", F9)</f>
        <v>58.411999999999999</v>
      </c>
      <c r="K9">
        <f>_xll.ciqfunctions.udf.CIQ(A9, "IQ_LASTSALEPRICE", WORKDAY(F9,-1))</f>
        <v>18.912500000000001</v>
      </c>
      <c r="L9">
        <f>_xll.ciqfunctions.udf.CIQ(A9, "IQ_LASTSALEPRICE", F9)</f>
        <v>20.217500000000001</v>
      </c>
      <c r="M9">
        <f>_xll.ciqfunctions.udf.CIQ(A9, "IQ_LASTSALEPRICE", WORKDAY(F9,5))</f>
        <v>18.662500000000001</v>
      </c>
      <c r="N9">
        <f t="shared" si="0"/>
        <v>6.6725486873365811E-2</v>
      </c>
      <c r="O9">
        <f t="shared" si="1"/>
        <v>-1.3306916249165579E-2</v>
      </c>
      <c r="P9">
        <f>LN(_xll.ciqfunctions.udf.CIQ("XBI", "IQ_LASTSALEPRICE", WORKDAY(F9,-1))/_xll.ciqfunctions.udf.CIQ("XBI", "IQ_LASTSALEPRICE", WORKDAY(F9,1)))</f>
        <v>1.2282536516379425E-2</v>
      </c>
      <c r="Q9">
        <f>LN(_xll.ciqfunctions.udf.CIQ("XBI", "IQ_LASTSALEPRICE", WORKDAY(F9,-1))/_xll.ciqfunctions.udf.CIQ("XBI", "IQ_LASTSALEPRICE", WORKDAY(F9,5)))</f>
        <v>-4.7140883954421134E-2</v>
      </c>
      <c r="R9">
        <f>_xll.ciqfunctions.udf.CIQ(A9, "IQ_SHORT_INTEREST_PERCENT", F9)</f>
        <v>8.4680099999999996</v>
      </c>
      <c r="S9">
        <f>_xll.ciqfunctions.udf.CIQ(A9, "IQ_BETA_1YR_RSQ", F9)</f>
        <v>3.9370000000000002E-2</v>
      </c>
      <c r="T9">
        <f>_xll.ciqfunctions.udf.CIQ(A9, "IQ_VALUE_TRADED", F9)</f>
        <v>0.58330000000000004</v>
      </c>
    </row>
    <row r="10" spans="1:20" x14ac:dyDescent="0.3">
      <c r="A10" t="s">
        <v>42</v>
      </c>
      <c r="B10" t="s">
        <v>43</v>
      </c>
      <c r="C10" t="s">
        <v>44</v>
      </c>
      <c r="D10" t="s">
        <v>45</v>
      </c>
      <c r="E10" t="s">
        <v>46</v>
      </c>
      <c r="F10" s="1">
        <v>45293</v>
      </c>
      <c r="G10" t="s">
        <v>47</v>
      </c>
      <c r="I10">
        <f>_xll.ciqfunctions.udf.CIQ(A10, "IQ_MARKETCAP", F10)</f>
        <v>1411.1667500000001</v>
      </c>
      <c r="J10">
        <f>_xll.ciqfunctions.udf.CIQ(A10, "IQ_PRICE_VOL_HIST_6MTH", F10)</f>
        <v>47.772500000000001</v>
      </c>
      <c r="K10">
        <f>_xll.ciqfunctions.udf.CIQ(A10, "IQ_LASTSALEPRICE", WORKDAY(F10,-1))</f>
        <v>4.5199999999999996</v>
      </c>
      <c r="L10">
        <f>_xll.ciqfunctions.udf.CIQ(A10, "IQ_LASTSALEPRICE", F10)</f>
        <v>4.4000000000000004</v>
      </c>
      <c r="M10">
        <f>_xll.ciqfunctions.udf.CIQ(A10, "IQ_LASTSALEPRICE", WORKDAY(F10,5))</f>
        <v>4.45</v>
      </c>
      <c r="N10">
        <f t="shared" si="0"/>
        <v>-2.6907452919924156E-2</v>
      </c>
      <c r="O10">
        <f t="shared" si="1"/>
        <v>-1.5607897665990829E-2</v>
      </c>
      <c r="P10">
        <f>LN(_xll.ciqfunctions.udf.CIQ("XBI", "IQ_LASTSALEPRICE", WORKDAY(F10,-1))/_xll.ciqfunctions.udf.CIQ("XBI", "IQ_LASTSALEPRICE", WORKDAY(F10,1)))</f>
        <v>1.2282536516379425E-2</v>
      </c>
      <c r="Q10">
        <f>LN(_xll.ciqfunctions.udf.CIQ("XBI", "IQ_LASTSALEPRICE", WORKDAY(F10,-1))/_xll.ciqfunctions.udf.CIQ("XBI", "IQ_LASTSALEPRICE", WORKDAY(F10,5)))</f>
        <v>-4.7140883954421134E-2</v>
      </c>
      <c r="R10">
        <f>_xll.ciqfunctions.udf.CIQ(A10, "IQ_SHORT_INTEREST_PERCENT", F10)</f>
        <v>0</v>
      </c>
      <c r="S10">
        <f>_xll.ciqfunctions.udf.CIQ(A10, "IQ_BETA_1YR_RSQ", F10)</f>
        <v>1.319E-2</v>
      </c>
      <c r="T10">
        <f>_xll.ciqfunctions.udf.CIQ(A10, "IQ_VALUE_TRADED", F10)</f>
        <v>3.0779999999999998E-2</v>
      </c>
    </row>
    <row r="11" spans="1:20" x14ac:dyDescent="0.3">
      <c r="A11" t="s">
        <v>48</v>
      </c>
      <c r="B11">
        <v>24.02</v>
      </c>
      <c r="C11" t="s">
        <v>49</v>
      </c>
      <c r="D11" t="s">
        <v>50</v>
      </c>
      <c r="E11" t="s">
        <v>36</v>
      </c>
      <c r="F11" s="1">
        <v>45294</v>
      </c>
      <c r="G11" t="s">
        <v>51</v>
      </c>
      <c r="H11">
        <v>58</v>
      </c>
      <c r="I11">
        <f>_xll.ciqfunctions.udf.CIQ(A11, "IQ_MARKETCAP", F11)</f>
        <v>1342.50864</v>
      </c>
      <c r="J11">
        <f>_xll.ciqfunctions.udf.CIQ(A11, "IQ_PRICE_VOL_HIST_6MTH", F11)</f>
        <v>35.5535</v>
      </c>
      <c r="K11">
        <f>_xll.ciqfunctions.udf.CIQ(A11, "IQ_LASTSALEPRICE", WORKDAY(F11,-1))</f>
        <v>22.83</v>
      </c>
      <c r="L11">
        <f>_xll.ciqfunctions.udf.CIQ(A11, "IQ_LASTSALEPRICE", F11)</f>
        <v>24.02</v>
      </c>
      <c r="M11">
        <f>_xll.ciqfunctions.udf.CIQ(A11, "IQ_LASTSALEPRICE", WORKDAY(F11,5))</f>
        <v>23.4</v>
      </c>
      <c r="N11">
        <f t="shared" si="0"/>
        <v>5.0811356110133467E-2</v>
      </c>
      <c r="O11">
        <f t="shared" si="1"/>
        <v>2.4660561821951622E-2</v>
      </c>
      <c r="P11">
        <f>LN(_xll.ciqfunctions.udf.CIQ("XBI", "IQ_LASTSALEPRICE", WORKDAY(F11,-1))/_xll.ciqfunctions.udf.CIQ("XBI", "IQ_LASTSALEPRICE", WORKDAY(F11,1)))</f>
        <v>8.6821560516810881E-3</v>
      </c>
      <c r="Q11">
        <f>LN(_xll.ciqfunctions.udf.CIQ("XBI", "IQ_LASTSALEPRICE", WORKDAY(F11,-1))/_xll.ciqfunctions.udf.CIQ("XBI", "IQ_LASTSALEPRICE", WORKDAY(F11,5)))</f>
        <v>-2.5170950254529499E-2</v>
      </c>
      <c r="R11">
        <f>_xll.ciqfunctions.udf.CIQ(A11, "IQ_SHORT_INTEREST_PERCENT", F11)</f>
        <v>12.29495</v>
      </c>
      <c r="S11">
        <f>_xll.ciqfunctions.udf.CIQ(A11, "IQ_BETA_1YR_RSQ", F11)</f>
        <v>0.42335</v>
      </c>
      <c r="T11">
        <f>_xll.ciqfunctions.udf.CIQ(A11, "IQ_VALUE_TRADED", F11)</f>
        <v>64.615600000000001</v>
      </c>
    </row>
    <row r="12" spans="1:20" x14ac:dyDescent="0.3">
      <c r="A12" t="s">
        <v>52</v>
      </c>
      <c r="B12">
        <v>10.95</v>
      </c>
      <c r="C12" t="s">
        <v>53</v>
      </c>
      <c r="D12" t="s">
        <v>54</v>
      </c>
      <c r="E12" t="s">
        <v>36</v>
      </c>
      <c r="F12" s="1">
        <v>45294</v>
      </c>
      <c r="G12" t="s">
        <v>55</v>
      </c>
      <c r="I12">
        <f>_xll.ciqfunctions.udf.CIQ(A12, "IQ_MARKETCAP", F12)</f>
        <v>12274.63466</v>
      </c>
      <c r="J12">
        <f>_xll.ciqfunctions.udf.CIQ(A12, "IQ_PRICE_VOL_HIST_6MTH", F12)</f>
        <v>37.722799999999999</v>
      </c>
      <c r="K12">
        <f>_xll.ciqfunctions.udf.CIQ(A12, "IQ_LASTSALEPRICE", WORKDAY(F12,-1))</f>
        <v>10.67</v>
      </c>
      <c r="L12">
        <f>_xll.ciqfunctions.udf.CIQ(A12, "IQ_LASTSALEPRICE", F12)</f>
        <v>10.95</v>
      </c>
      <c r="M12">
        <f>_xll.ciqfunctions.udf.CIQ(A12, "IQ_LASTSALEPRICE", WORKDAY(F12,5))</f>
        <v>11.49</v>
      </c>
      <c r="N12">
        <f t="shared" si="0"/>
        <v>2.5903390948847679E-2</v>
      </c>
      <c r="O12">
        <f t="shared" si="1"/>
        <v>7.4041026547002328E-2</v>
      </c>
      <c r="P12">
        <f>LN(_xll.ciqfunctions.udf.CIQ("XBI", "IQ_LASTSALEPRICE", WORKDAY(F12,-1))/_xll.ciqfunctions.udf.CIQ("XBI", "IQ_LASTSALEPRICE", WORKDAY(F12,1)))</f>
        <v>8.6821560516810881E-3</v>
      </c>
      <c r="Q12">
        <f>LN(_xll.ciqfunctions.udf.CIQ("XBI", "IQ_LASTSALEPRICE", WORKDAY(F12,-1))/_xll.ciqfunctions.udf.CIQ("XBI", "IQ_LASTSALEPRICE", WORKDAY(F12,5)))</f>
        <v>-2.5170950254529499E-2</v>
      </c>
      <c r="R12">
        <f>_xll.ciqfunctions.udf.CIQ(A12, "IQ_SHORT_INTEREST_PERCENT", F12)</f>
        <v>1.25926</v>
      </c>
      <c r="S12">
        <f>_xll.ciqfunctions.udf.CIQ(A12, "IQ_BETA_1YR_RSQ", F12)</f>
        <v>0.10705000000000001</v>
      </c>
      <c r="T12">
        <f>_xll.ciqfunctions.udf.CIQ(A12, "IQ_VALUE_TRADED", F12)</f>
        <v>159.06764999999999</v>
      </c>
    </row>
    <row r="13" spans="1:20" x14ac:dyDescent="0.3">
      <c r="A13" t="s">
        <v>56</v>
      </c>
      <c r="B13">
        <v>11.68</v>
      </c>
      <c r="C13" t="s">
        <v>53</v>
      </c>
      <c r="D13" t="s">
        <v>54</v>
      </c>
      <c r="E13" t="s">
        <v>36</v>
      </c>
      <c r="F13" s="1">
        <v>45294</v>
      </c>
      <c r="G13" t="s">
        <v>55</v>
      </c>
      <c r="H13">
        <v>301</v>
      </c>
      <c r="I13">
        <f>_xll.ciqfunctions.udf.CIQ(A13, "IQ_MARKETCAP", F13)</f>
        <v>3101.38715</v>
      </c>
      <c r="J13">
        <f>_xll.ciqfunctions.udf.CIQ(A13, "IQ_PRICE_VOL_HIST_6MTH", F13)</f>
        <v>40.854999999999997</v>
      </c>
      <c r="K13">
        <f>_xll.ciqfunctions.udf.CIQ(A13, "IQ_LASTSALEPRICE", WORKDAY(F13,-1))</f>
        <v>11.36</v>
      </c>
      <c r="L13">
        <f>_xll.ciqfunctions.udf.CIQ(A13, "IQ_LASTSALEPRICE", F13)</f>
        <v>11.68</v>
      </c>
      <c r="M13">
        <f>_xll.ciqfunctions.udf.CIQ(A13, "IQ_LASTSALEPRICE", WORKDAY(F13,5))</f>
        <v>12.21</v>
      </c>
      <c r="N13">
        <f t="shared" si="0"/>
        <v>2.7779564107075671E-2</v>
      </c>
      <c r="O13">
        <f t="shared" si="1"/>
        <v>7.2156874829608156E-2</v>
      </c>
      <c r="P13">
        <f>LN(_xll.ciqfunctions.udf.CIQ("XBI", "IQ_LASTSALEPRICE", WORKDAY(F13,-1))/_xll.ciqfunctions.udf.CIQ("XBI", "IQ_LASTSALEPRICE", WORKDAY(F13,1)))</f>
        <v>8.6821560516810881E-3</v>
      </c>
      <c r="Q13">
        <f>LN(_xll.ciqfunctions.udf.CIQ("XBI", "IQ_LASTSALEPRICE", WORKDAY(F13,-1))/_xll.ciqfunctions.udf.CIQ("XBI", "IQ_LASTSALEPRICE", WORKDAY(F13,5)))</f>
        <v>-2.5170950254529499E-2</v>
      </c>
      <c r="R13">
        <f>_xll.ciqfunctions.udf.CIQ(A13, "IQ_SHORT_INTEREST_PERCENT", F13)</f>
        <v>2.7560000000000001E-2</v>
      </c>
      <c r="S13">
        <f>_xll.ciqfunctions.udf.CIQ(A13, "IQ_BETA_1YR_RSQ", F13)</f>
        <v>3.2809999999999999E-2</v>
      </c>
      <c r="T13">
        <f>_xll.ciqfunctions.udf.CIQ(A13, "IQ_VALUE_TRADED", F13)</f>
        <v>0.63090999999999997</v>
      </c>
    </row>
    <row r="14" spans="1:20" x14ac:dyDescent="0.3">
      <c r="A14" t="s">
        <v>57</v>
      </c>
      <c r="B14">
        <v>14.77</v>
      </c>
      <c r="C14" t="s">
        <v>58</v>
      </c>
      <c r="D14" t="s">
        <v>59</v>
      </c>
      <c r="E14" t="s">
        <v>17</v>
      </c>
      <c r="F14" s="1">
        <v>45294</v>
      </c>
      <c r="G14" t="s">
        <v>60</v>
      </c>
      <c r="H14">
        <v>142</v>
      </c>
      <c r="I14">
        <f>_xll.ciqfunctions.udf.CIQ(A14, "IQ_MARKETCAP", F14)</f>
        <v>906.63648000000001</v>
      </c>
      <c r="J14">
        <f>_xll.ciqfunctions.udf.CIQ(A14, "IQ_PRICE_VOL_HIST_6MTH", F14)</f>
        <v>83.400300000000001</v>
      </c>
      <c r="K14">
        <f>_xll.ciqfunctions.udf.CIQ(A14, "IQ_LASTSALEPRICE", WORKDAY(F14,-1))</f>
        <v>13.06</v>
      </c>
      <c r="L14">
        <f>_xll.ciqfunctions.udf.CIQ(A14, "IQ_LASTSALEPRICE", F14)</f>
        <v>14.77</v>
      </c>
      <c r="M14">
        <f>_xll.ciqfunctions.udf.CIQ(A14, "IQ_LASTSALEPRICE", WORKDAY(F14,5))</f>
        <v>17.34</v>
      </c>
      <c r="N14">
        <f t="shared" si="0"/>
        <v>0.12304397269500328</v>
      </c>
      <c r="O14">
        <f t="shared" si="1"/>
        <v>0.28346184750411069</v>
      </c>
      <c r="P14">
        <f>LN(_xll.ciqfunctions.udf.CIQ("XBI", "IQ_LASTSALEPRICE", WORKDAY(F14,-1))/_xll.ciqfunctions.udf.CIQ("XBI", "IQ_LASTSALEPRICE", WORKDAY(F14,1)))</f>
        <v>8.6821560516810881E-3</v>
      </c>
      <c r="Q14">
        <f>LN(_xll.ciqfunctions.udf.CIQ("XBI", "IQ_LASTSALEPRICE", WORKDAY(F14,-1))/_xll.ciqfunctions.udf.CIQ("XBI", "IQ_LASTSALEPRICE", WORKDAY(F14,5)))</f>
        <v>-2.5170950254529499E-2</v>
      </c>
      <c r="R14">
        <f>_xll.ciqfunctions.udf.CIQ(A14, "IQ_SHORT_INTEREST_PERCENT", F14)</f>
        <v>15.85134</v>
      </c>
      <c r="S14">
        <f>_xll.ciqfunctions.udf.CIQ(A14, "IQ_BETA_1YR_RSQ", F14)</f>
        <v>0.17516000000000001</v>
      </c>
      <c r="T14">
        <f>_xll.ciqfunctions.udf.CIQ(A14, "IQ_VALUE_TRADED", F14)</f>
        <v>309.23750999999999</v>
      </c>
    </row>
    <row r="15" spans="1:20" x14ac:dyDescent="0.3">
      <c r="A15" t="s">
        <v>57</v>
      </c>
      <c r="B15">
        <v>14.77</v>
      </c>
      <c r="C15" t="s">
        <v>61</v>
      </c>
      <c r="D15" t="s">
        <v>62</v>
      </c>
      <c r="E15" t="s">
        <v>17</v>
      </c>
      <c r="F15" s="1">
        <v>45294</v>
      </c>
      <c r="G15" t="s">
        <v>63</v>
      </c>
      <c r="H15">
        <v>142</v>
      </c>
      <c r="I15">
        <f>_xll.ciqfunctions.udf.CIQ(A15, "IQ_MARKETCAP", F15)</f>
        <v>906.63648000000001</v>
      </c>
      <c r="J15">
        <f>_xll.ciqfunctions.udf.CIQ(A15, "IQ_PRICE_VOL_HIST_6MTH", F15)</f>
        <v>83.400300000000001</v>
      </c>
      <c r="K15">
        <f>_xll.ciqfunctions.udf.CIQ(A15, "IQ_LASTSALEPRICE", WORKDAY(F15,-1))</f>
        <v>13.06</v>
      </c>
      <c r="L15">
        <f>_xll.ciqfunctions.udf.CIQ(A15, "IQ_LASTSALEPRICE", F15)</f>
        <v>14.77</v>
      </c>
      <c r="M15">
        <f>_xll.ciqfunctions.udf.CIQ(A15, "IQ_LASTSALEPRICE", WORKDAY(F15,5))</f>
        <v>17.34</v>
      </c>
      <c r="N15">
        <f t="shared" si="0"/>
        <v>0.12304397269500328</v>
      </c>
      <c r="O15">
        <f t="shared" si="1"/>
        <v>0.28346184750411069</v>
      </c>
      <c r="P15">
        <f>LN(_xll.ciqfunctions.udf.CIQ("XBI", "IQ_LASTSALEPRICE", WORKDAY(F15,-1))/_xll.ciqfunctions.udf.CIQ("XBI", "IQ_LASTSALEPRICE", WORKDAY(F15,1)))</f>
        <v>8.6821560516810881E-3</v>
      </c>
      <c r="Q15">
        <f>LN(_xll.ciqfunctions.udf.CIQ("XBI", "IQ_LASTSALEPRICE", WORKDAY(F15,-1))/_xll.ciqfunctions.udf.CIQ("XBI", "IQ_LASTSALEPRICE", WORKDAY(F15,5)))</f>
        <v>-2.5170950254529499E-2</v>
      </c>
      <c r="R15">
        <f>_xll.ciqfunctions.udf.CIQ(A15, "IQ_SHORT_INTEREST_PERCENT", F15)</f>
        <v>15.85134</v>
      </c>
      <c r="S15">
        <f>_xll.ciqfunctions.udf.CIQ(A15, "IQ_BETA_1YR_RSQ", F15)</f>
        <v>0.17516000000000001</v>
      </c>
      <c r="T15">
        <f>_xll.ciqfunctions.udf.CIQ(A15, "IQ_VALUE_TRADED", F15)</f>
        <v>309.23750999999999</v>
      </c>
    </row>
    <row r="16" spans="1:20" x14ac:dyDescent="0.3">
      <c r="A16" t="s">
        <v>64</v>
      </c>
      <c r="B16">
        <v>3.03</v>
      </c>
      <c r="C16" t="s">
        <v>65</v>
      </c>
      <c r="D16" t="s">
        <v>66</v>
      </c>
      <c r="E16" t="s">
        <v>27</v>
      </c>
      <c r="F16" s="1">
        <v>45294</v>
      </c>
      <c r="G16" t="s">
        <v>67</v>
      </c>
      <c r="H16">
        <v>3</v>
      </c>
      <c r="I16">
        <f>_xll.ciqfunctions.udf.CIQ(A16, "IQ_MARKETCAP", F16)</f>
        <v>115.30538</v>
      </c>
      <c r="J16">
        <f>_xll.ciqfunctions.udf.CIQ(A16, "IQ_PRICE_VOL_HIST_6MTH", F16)</f>
        <v>69.753500000000003</v>
      </c>
      <c r="K16">
        <f>_xll.ciqfunctions.udf.CIQ(A16, "IQ_LASTSALEPRICE", WORKDAY(F16,-1))</f>
        <v>28.9</v>
      </c>
      <c r="L16">
        <f>_xll.ciqfunctions.udf.CIQ(A16, "IQ_LASTSALEPRICE", F16)</f>
        <v>30.3</v>
      </c>
      <c r="M16">
        <f>_xll.ciqfunctions.udf.CIQ(A16, "IQ_LASTSALEPRICE", WORKDAY(F16,5))</f>
        <v>28.8</v>
      </c>
      <c r="N16">
        <f t="shared" si="0"/>
        <v>4.7306117396937054E-2</v>
      </c>
      <c r="O16">
        <f t="shared" si="1"/>
        <v>-3.4662079764861725E-3</v>
      </c>
      <c r="P16">
        <f>LN(_xll.ciqfunctions.udf.CIQ("XBI", "IQ_LASTSALEPRICE", WORKDAY(F16,-1))/_xll.ciqfunctions.udf.CIQ("XBI", "IQ_LASTSALEPRICE", WORKDAY(F16,1)))</f>
        <v>8.6821560516810881E-3</v>
      </c>
      <c r="Q16">
        <f>LN(_xll.ciqfunctions.udf.CIQ("XBI", "IQ_LASTSALEPRICE", WORKDAY(F16,-1))/_xll.ciqfunctions.udf.CIQ("XBI", "IQ_LASTSALEPRICE", WORKDAY(F16,5)))</f>
        <v>-2.5170950254529499E-2</v>
      </c>
      <c r="R16">
        <f>_xll.ciqfunctions.udf.CIQ(A16, "IQ_SHORT_INTEREST_PERCENT", F16)</f>
        <v>1.2918499999999999</v>
      </c>
      <c r="S16">
        <f>_xll.ciqfunctions.udf.CIQ(A16, "IQ_BETA_1YR_RSQ", F16)</f>
        <v>0.13225999999999999</v>
      </c>
      <c r="T16">
        <f>_xll.ciqfunctions.udf.CIQ(A16, "IQ_VALUE_TRADED", F16)</f>
        <v>2.4200900000000001</v>
      </c>
    </row>
    <row r="17" spans="1:20" x14ac:dyDescent="0.3">
      <c r="A17" t="s">
        <v>68</v>
      </c>
      <c r="B17">
        <v>0.96</v>
      </c>
      <c r="C17" t="s">
        <v>69</v>
      </c>
      <c r="D17" t="s">
        <v>70</v>
      </c>
      <c r="E17" t="s">
        <v>36</v>
      </c>
      <c r="F17" s="1">
        <v>45294</v>
      </c>
      <c r="G17" t="s">
        <v>71</v>
      </c>
      <c r="H17">
        <v>1</v>
      </c>
      <c r="I17">
        <f>_xll.ciqfunctions.udf.CIQ(A17, "IQ_MARKETCAP", F17)</f>
        <v>85.501819999999995</v>
      </c>
      <c r="J17">
        <f>_xll.ciqfunctions.udf.CIQ(A17, "IQ_PRICE_VOL_HIST_6MTH", F17)</f>
        <v>138.93940000000001</v>
      </c>
      <c r="K17">
        <f>_xll.ciqfunctions.udf.CIQ(A17, "IQ_LASTSALEPRICE", WORKDAY(F17,-1))</f>
        <v>91.93</v>
      </c>
      <c r="L17">
        <f>_xll.ciqfunctions.udf.CIQ(A17, "IQ_LASTSALEPRICE", F17)</f>
        <v>95.5</v>
      </c>
      <c r="M17">
        <f>_xll.ciqfunctions.udf.CIQ(A17, "IQ_LASTSALEPRICE", WORKDAY(F17,5))</f>
        <v>94.739900000000006</v>
      </c>
      <c r="N17">
        <f t="shared" si="0"/>
        <v>3.809882961102122E-2</v>
      </c>
      <c r="O17">
        <f t="shared" si="1"/>
        <v>3.0107824099013927E-2</v>
      </c>
      <c r="P17">
        <f>LN(_xll.ciqfunctions.udf.CIQ("XBI", "IQ_LASTSALEPRICE", WORKDAY(F17,-1))/_xll.ciqfunctions.udf.CIQ("XBI", "IQ_LASTSALEPRICE", WORKDAY(F17,1)))</f>
        <v>8.6821560516810881E-3</v>
      </c>
      <c r="Q17">
        <f>LN(_xll.ciqfunctions.udf.CIQ("XBI", "IQ_LASTSALEPRICE", WORKDAY(F17,-1))/_xll.ciqfunctions.udf.CIQ("XBI", "IQ_LASTSALEPRICE", WORKDAY(F17,5)))</f>
        <v>-2.5170950254529499E-2</v>
      </c>
      <c r="R17">
        <f>_xll.ciqfunctions.udf.CIQ(A17, "IQ_SHORT_INTEREST_PERCENT", F17)</f>
        <v>8.8050000000000003E-2</v>
      </c>
      <c r="S17">
        <f>_xll.ciqfunctions.udf.CIQ(A17, "IQ_BETA_1YR_RSQ", F17)</f>
        <v>8.8050000000000003E-2</v>
      </c>
      <c r="T17">
        <f>_xll.ciqfunctions.udf.CIQ(A17, "IQ_VALUE_TRADED", F17)</f>
        <v>0.65608999999999995</v>
      </c>
    </row>
    <row r="18" spans="1:20" x14ac:dyDescent="0.3">
      <c r="A18" t="s">
        <v>72</v>
      </c>
      <c r="B18">
        <v>3.03</v>
      </c>
      <c r="C18" t="s">
        <v>69</v>
      </c>
      <c r="D18" t="s">
        <v>70</v>
      </c>
      <c r="E18" t="s">
        <v>36</v>
      </c>
      <c r="F18" s="1">
        <v>45294</v>
      </c>
      <c r="G18" t="s">
        <v>71</v>
      </c>
      <c r="H18">
        <v>13</v>
      </c>
      <c r="I18">
        <f>_xll.ciqfunctions.udf.CIQ(A18, "IQ_MARKETCAP", F18)</f>
        <v>195.1114</v>
      </c>
      <c r="J18">
        <f>_xll.ciqfunctions.udf.CIQ(A18, "IQ_PRICE_VOL_HIST_6MTH", F18)</f>
        <v>0</v>
      </c>
      <c r="K18">
        <f>_xll.ciqfunctions.udf.CIQ(A18, "IQ_LASTSALEPRICE", WORKDAY(F18,-1))</f>
        <v>0</v>
      </c>
      <c r="L18">
        <f>_xll.ciqfunctions.udf.CIQ(A18, "IQ_LASTSALEPRICE", F18)</f>
        <v>0</v>
      </c>
      <c r="M18">
        <f>_xll.ciqfunctions.udf.CIQ(A18, "IQ_LASTSALEPRICE", WORKDAY(F18,5))</f>
        <v>0</v>
      </c>
      <c r="N18" t="e">
        <f t="shared" si="0"/>
        <v>#DIV/0!</v>
      </c>
      <c r="O18" t="e">
        <f t="shared" si="1"/>
        <v>#DIV/0!</v>
      </c>
      <c r="P18">
        <f>LN(_xll.ciqfunctions.udf.CIQ("XBI", "IQ_LASTSALEPRICE", WORKDAY(F18,-1))/_xll.ciqfunctions.udf.CIQ("XBI", "IQ_LASTSALEPRICE", WORKDAY(F18,1)))</f>
        <v>8.6821560516810881E-3</v>
      </c>
      <c r="Q18">
        <f>LN(_xll.ciqfunctions.udf.CIQ("XBI", "IQ_LASTSALEPRICE", WORKDAY(F18,-1))/_xll.ciqfunctions.udf.CIQ("XBI", "IQ_LASTSALEPRICE", WORKDAY(F18,5)))</f>
        <v>-2.5170950254529499E-2</v>
      </c>
      <c r="R18">
        <f>_xll.ciqfunctions.udf.CIQ(A18, "IQ_SHORT_INTEREST_PERCENT", F18)</f>
        <v>0</v>
      </c>
      <c r="S18">
        <f>_xll.ciqfunctions.udf.CIQ(A18, "IQ_BETA_1YR_RSQ", F18)</f>
        <v>0</v>
      </c>
      <c r="T18">
        <f>_xll.ciqfunctions.udf.CIQ(A18, "IQ_VALUE_TRADED", F18)</f>
        <v>0</v>
      </c>
    </row>
    <row r="19" spans="1:20" x14ac:dyDescent="0.3">
      <c r="A19" t="s">
        <v>73</v>
      </c>
      <c r="B19">
        <v>0.53</v>
      </c>
      <c r="C19" t="s">
        <v>74</v>
      </c>
      <c r="D19" t="s">
        <v>75</v>
      </c>
      <c r="E19" t="s">
        <v>76</v>
      </c>
      <c r="F19" s="1">
        <v>45294</v>
      </c>
      <c r="G19" t="s">
        <v>77</v>
      </c>
      <c r="H19">
        <v>5</v>
      </c>
      <c r="I19">
        <f>_xll.ciqfunctions.udf.CIQ(A19, "IQ_MARKETCAP", F19)</f>
        <v>6.32064</v>
      </c>
      <c r="J19">
        <f>_xll.ciqfunctions.udf.CIQ(A19, "IQ_PRICE_VOL_HIST_6MTH", F19)</f>
        <v>82.660399999999996</v>
      </c>
      <c r="K19">
        <f>_xll.ciqfunctions.udf.CIQ(A19, "IQ_LASTSALEPRICE", WORKDAY(F19,-1))</f>
        <v>2.1511999999999998</v>
      </c>
      <c r="L19">
        <f>_xll.ciqfunctions.udf.CIQ(A19, "IQ_LASTSALEPRICE", F19)</f>
        <v>2.1387999999999998</v>
      </c>
      <c r="M19">
        <f>_xll.ciqfunctions.udf.CIQ(A19, "IQ_LASTSALEPRICE", WORKDAY(F19,5))</f>
        <v>2.1800000000000002</v>
      </c>
      <c r="N19">
        <f t="shared" si="0"/>
        <v>-5.7809018800784361E-3</v>
      </c>
      <c r="O19">
        <f t="shared" si="1"/>
        <v>1.329905082847988E-2</v>
      </c>
      <c r="P19">
        <f>LN(_xll.ciqfunctions.udf.CIQ("XBI", "IQ_LASTSALEPRICE", WORKDAY(F19,-1))/_xll.ciqfunctions.udf.CIQ("XBI", "IQ_LASTSALEPRICE", WORKDAY(F19,1)))</f>
        <v>8.6821560516810881E-3</v>
      </c>
      <c r="Q19">
        <f>LN(_xll.ciqfunctions.udf.CIQ("XBI", "IQ_LASTSALEPRICE", WORKDAY(F19,-1))/_xll.ciqfunctions.udf.CIQ("XBI", "IQ_LASTSALEPRICE", WORKDAY(F19,5)))</f>
        <v>-2.5170950254529499E-2</v>
      </c>
      <c r="R19">
        <f>_xll.ciqfunctions.udf.CIQ(A19, "IQ_SHORT_INTEREST_PERCENT", F19)</f>
        <v>0.15160000000000001</v>
      </c>
      <c r="S19">
        <f>_xll.ciqfunctions.udf.CIQ(A19, "IQ_BETA_1YR_RSQ", F19)</f>
        <v>0.11831</v>
      </c>
      <c r="T19">
        <f>_xll.ciqfunctions.udf.CIQ(A19, "IQ_VALUE_TRADED", F19)</f>
        <v>8.5269999999999999E-2</v>
      </c>
    </row>
    <row r="20" spans="1:20" x14ac:dyDescent="0.3">
      <c r="A20" t="s">
        <v>78</v>
      </c>
      <c r="B20">
        <v>0.64</v>
      </c>
      <c r="C20" t="s">
        <v>79</v>
      </c>
      <c r="D20" t="s">
        <v>80</v>
      </c>
      <c r="E20" t="s">
        <v>17</v>
      </c>
      <c r="F20" s="1">
        <v>45294</v>
      </c>
      <c r="G20" t="s">
        <v>81</v>
      </c>
      <c r="I20">
        <f>_xll.ciqfunctions.udf.CIQ(A20, "IQ_MARKETCAP", F20)</f>
        <v>2.5158499999999999</v>
      </c>
      <c r="J20">
        <f>_xll.ciqfunctions.udf.CIQ(A20, "IQ_PRICE_VOL_HIST_6MTH", F20)</f>
        <v>77.581699999999998</v>
      </c>
      <c r="K20">
        <f>_xll.ciqfunctions.udf.CIQ(A20, "IQ_LASTSALEPRICE", WORKDAY(F20,-1))</f>
        <v>76.811959999999999</v>
      </c>
      <c r="L20">
        <f>_xll.ciqfunctions.udf.CIQ(A20, "IQ_LASTSALEPRICE", F20)</f>
        <v>76.655959999999993</v>
      </c>
      <c r="M20">
        <f>_xll.ciqfunctions.udf.CIQ(A20, "IQ_LASTSALEPRICE", WORKDAY(F20,5))</f>
        <v>79.07996</v>
      </c>
      <c r="N20">
        <f t="shared" si="0"/>
        <v>-2.0329988668655106E-3</v>
      </c>
      <c r="O20">
        <f t="shared" si="1"/>
        <v>2.9099135289628722E-2</v>
      </c>
      <c r="P20">
        <f>LN(_xll.ciqfunctions.udf.CIQ("XBI", "IQ_LASTSALEPRICE", WORKDAY(F20,-1))/_xll.ciqfunctions.udf.CIQ("XBI", "IQ_LASTSALEPRICE", WORKDAY(F20,1)))</f>
        <v>8.6821560516810881E-3</v>
      </c>
      <c r="Q20">
        <f>LN(_xll.ciqfunctions.udf.CIQ("XBI", "IQ_LASTSALEPRICE", WORKDAY(F20,-1))/_xll.ciqfunctions.udf.CIQ("XBI", "IQ_LASTSALEPRICE", WORKDAY(F20,5)))</f>
        <v>-2.5170950254529499E-2</v>
      </c>
      <c r="R20">
        <f>_xll.ciqfunctions.udf.CIQ(A20, "IQ_SHORT_INTEREST_PERCENT", F20)</f>
        <v>0.17691999999999999</v>
      </c>
      <c r="S20">
        <f>_xll.ciqfunctions.udf.CIQ(A20, "IQ_BETA_1YR_RSQ", F20)</f>
        <v>2.7999999999999998E-4</v>
      </c>
      <c r="T20">
        <f>_xll.ciqfunctions.udf.CIQ(A20, "IQ_VALUE_TRADED", F20)</f>
        <v>1.6789999999999999E-2</v>
      </c>
    </row>
    <row r="21" spans="1:20" x14ac:dyDescent="0.3">
      <c r="A21" t="s">
        <v>82</v>
      </c>
      <c r="B21">
        <v>7.99</v>
      </c>
      <c r="C21" t="s">
        <v>83</v>
      </c>
      <c r="D21" t="s">
        <v>84</v>
      </c>
      <c r="E21" t="s">
        <v>36</v>
      </c>
      <c r="F21" s="1">
        <v>45294</v>
      </c>
      <c r="G21" t="s">
        <v>85</v>
      </c>
      <c r="H21">
        <v>47</v>
      </c>
      <c r="I21">
        <f>_xll.ciqfunctions.udf.CIQ(A21, "IQ_MARKETCAP", F21)</f>
        <v>109.53792</v>
      </c>
      <c r="J21">
        <f>_xll.ciqfunctions.udf.CIQ(A21, "IQ_PRICE_VOL_HIST_6MTH", F21)</f>
        <v>139.08330000000001</v>
      </c>
      <c r="K21">
        <f>_xll.ciqfunctions.udf.CIQ(A21, "IQ_LASTSALEPRICE", WORKDAY(F21,-1))</f>
        <v>8.67</v>
      </c>
      <c r="L21">
        <f>_xll.ciqfunctions.udf.CIQ(A21, "IQ_LASTSALEPRICE", F21)</f>
        <v>7.99</v>
      </c>
      <c r="M21">
        <f>_xll.ciqfunctions.udf.CIQ(A21, "IQ_LASTSALEPRICE", WORKDAY(F21,5))</f>
        <v>6</v>
      </c>
      <c r="N21">
        <f t="shared" si="0"/>
        <v>-8.1678031014267127E-2</v>
      </c>
      <c r="O21">
        <f t="shared" si="1"/>
        <v>-0.36810932156439541</v>
      </c>
      <c r="P21">
        <f>LN(_xll.ciqfunctions.udf.CIQ("XBI", "IQ_LASTSALEPRICE", WORKDAY(F21,-1))/_xll.ciqfunctions.udf.CIQ("XBI", "IQ_LASTSALEPRICE", WORKDAY(F21,1)))</f>
        <v>8.6821560516810881E-3</v>
      </c>
      <c r="Q21">
        <f>LN(_xll.ciqfunctions.udf.CIQ("XBI", "IQ_LASTSALEPRICE", WORKDAY(F21,-1))/_xll.ciqfunctions.udf.CIQ("XBI", "IQ_LASTSALEPRICE", WORKDAY(F21,5)))</f>
        <v>-2.5170950254529499E-2</v>
      </c>
      <c r="R21">
        <f>_xll.ciqfunctions.udf.CIQ(A21, "IQ_SHORT_INTEREST_PERCENT", F21)</f>
        <v>0.62219999999999998</v>
      </c>
      <c r="S21">
        <f>_xll.ciqfunctions.udf.CIQ(A21, "IQ_BETA_1YR_RSQ", F21)</f>
        <v>3.2799999999999999E-3</v>
      </c>
      <c r="T21">
        <f>_xll.ciqfunctions.udf.CIQ(A21, "IQ_VALUE_TRADED", F21)</f>
        <v>0.44292999999999999</v>
      </c>
    </row>
    <row r="22" spans="1:20" x14ac:dyDescent="0.3">
      <c r="A22" t="s">
        <v>86</v>
      </c>
      <c r="B22">
        <v>1.32</v>
      </c>
      <c r="C22" t="s">
        <v>87</v>
      </c>
      <c r="D22" t="s">
        <v>88</v>
      </c>
      <c r="E22" t="s">
        <v>89</v>
      </c>
      <c r="F22" s="1">
        <v>45294</v>
      </c>
      <c r="G22" t="s">
        <v>90</v>
      </c>
      <c r="H22">
        <v>3</v>
      </c>
      <c r="I22">
        <f>_xll.ciqfunctions.udf.CIQ(A22, "IQ_MARKETCAP", F22)</f>
        <v>3.06413</v>
      </c>
      <c r="J22">
        <f>_xll.ciqfunctions.udf.CIQ(A22, "IQ_PRICE_VOL_HIST_6MTH", F22)</f>
        <v>88.056799999999996</v>
      </c>
      <c r="K22">
        <f>_xll.ciqfunctions.udf.CIQ(A22, "IQ_LASTSALEPRICE", WORKDAY(F22,-1))</f>
        <v>18.899989999999999</v>
      </c>
      <c r="L22">
        <f>_xll.ciqfunctions.udf.CIQ(A22, "IQ_LASTSALEPRICE", F22)</f>
        <v>19.799990000000001</v>
      </c>
      <c r="M22">
        <f>_xll.ciqfunctions.udf.CIQ(A22, "IQ_LASTSALEPRICE", WORKDAY(F22,5))</f>
        <v>19.349989999999998</v>
      </c>
      <c r="N22">
        <f t="shared" si="0"/>
        <v>4.6520039684929522E-2</v>
      </c>
      <c r="O22">
        <f t="shared" si="1"/>
        <v>2.3530509714863892E-2</v>
      </c>
      <c r="P22">
        <f>LN(_xll.ciqfunctions.udf.CIQ("XBI", "IQ_LASTSALEPRICE", WORKDAY(F22,-1))/_xll.ciqfunctions.udf.CIQ("XBI", "IQ_LASTSALEPRICE", WORKDAY(F22,1)))</f>
        <v>8.6821560516810881E-3</v>
      </c>
      <c r="Q22">
        <f>LN(_xll.ciqfunctions.udf.CIQ("XBI", "IQ_LASTSALEPRICE", WORKDAY(F22,-1))/_xll.ciqfunctions.udf.CIQ("XBI", "IQ_LASTSALEPRICE", WORKDAY(F22,5)))</f>
        <v>-2.5170950254529499E-2</v>
      </c>
      <c r="R22">
        <f>_xll.ciqfunctions.udf.CIQ(A22, "IQ_SHORT_INTEREST_PERCENT", F22)</f>
        <v>0.51746999999999999</v>
      </c>
      <c r="S22">
        <f>_xll.ciqfunctions.udf.CIQ(A22, "IQ_BETA_1YR_RSQ", F22)</f>
        <v>2.5899999999999999E-2</v>
      </c>
      <c r="T22">
        <f>_xll.ciqfunctions.udf.CIQ(A22, "IQ_VALUE_TRADED", F22)</f>
        <v>7.7660000000000007E-2</v>
      </c>
    </row>
    <row r="23" spans="1:20" x14ac:dyDescent="0.3">
      <c r="A23" t="s">
        <v>91</v>
      </c>
      <c r="B23">
        <v>1.83</v>
      </c>
      <c r="C23" t="s">
        <v>92</v>
      </c>
      <c r="D23" t="s">
        <v>93</v>
      </c>
      <c r="E23" t="s">
        <v>22</v>
      </c>
      <c r="F23" s="1">
        <v>45295</v>
      </c>
      <c r="G23" t="s">
        <v>94</v>
      </c>
      <c r="H23">
        <v>59</v>
      </c>
      <c r="I23">
        <f>_xll.ciqfunctions.udf.CIQ(A23, "IQ_MARKETCAP", F23)</f>
        <v>107.75639</v>
      </c>
      <c r="J23">
        <f>_xll.ciqfunctions.udf.CIQ(A23, "IQ_PRICE_VOL_HIST_6MTH", F23)</f>
        <v>81.202500000000001</v>
      </c>
      <c r="K23">
        <f>_xll.ciqfunctions.udf.CIQ(A23, "IQ_LASTSALEPRICE", WORKDAY(F23,-1))</f>
        <v>1.6</v>
      </c>
      <c r="L23">
        <f>_xll.ciqfunctions.udf.CIQ(A23, "IQ_LASTSALEPRICE", F23)</f>
        <v>1.83</v>
      </c>
      <c r="M23">
        <f>_xll.ciqfunctions.udf.CIQ(A23, "IQ_LASTSALEPRICE", WORKDAY(F23,5))</f>
        <v>1.75</v>
      </c>
      <c r="N23">
        <f t="shared" si="0"/>
        <v>0.13431233760759406</v>
      </c>
      <c r="O23">
        <f t="shared" si="1"/>
        <v>8.9612158689687138E-2</v>
      </c>
      <c r="P23">
        <f>LN(_xll.ciqfunctions.udf.CIQ("XBI", "IQ_LASTSALEPRICE", WORKDAY(F23,-1))/_xll.ciqfunctions.udf.CIQ("XBI", "IQ_LASTSALEPRICE", WORKDAY(F23,1)))</f>
        <v>-1.2394524869707721E-2</v>
      </c>
      <c r="Q23">
        <f>LN(_xll.ciqfunctions.udf.CIQ("XBI", "IQ_LASTSALEPRICE", WORKDAY(F23,-1))/_xll.ciqfunctions.udf.CIQ("XBI", "IQ_LASTSALEPRICE", WORKDAY(F23,5)))</f>
        <v>-2.5411341024904596E-2</v>
      </c>
      <c r="R23">
        <f>_xll.ciqfunctions.udf.CIQ(A23, "IQ_SHORT_INTEREST_PERCENT", F23)</f>
        <v>1.07199</v>
      </c>
      <c r="S23">
        <f>_xll.ciqfunctions.udf.CIQ(A23, "IQ_BETA_1YR_RSQ", F23)</f>
        <v>9.3999999999999997E-4</v>
      </c>
      <c r="T23">
        <f>_xll.ciqfunctions.udf.CIQ(A23, "IQ_VALUE_TRADED", F23)</f>
        <v>1.89428</v>
      </c>
    </row>
    <row r="24" spans="1:20" x14ac:dyDescent="0.3">
      <c r="A24" t="s">
        <v>72</v>
      </c>
      <c r="B24">
        <v>3</v>
      </c>
      <c r="C24" t="s">
        <v>95</v>
      </c>
      <c r="D24" t="s">
        <v>96</v>
      </c>
      <c r="E24" t="s">
        <v>97</v>
      </c>
      <c r="F24" s="1">
        <v>45295</v>
      </c>
      <c r="G24" t="s">
        <v>98</v>
      </c>
      <c r="H24">
        <v>13</v>
      </c>
      <c r="I24">
        <f>_xll.ciqfunctions.udf.CIQ(A24, "IQ_MARKETCAP", F24)</f>
        <v>193.17959999999999</v>
      </c>
      <c r="J24">
        <f>_xll.ciqfunctions.udf.CIQ(A24, "IQ_PRICE_VOL_HIST_6MTH", F24)</f>
        <v>0</v>
      </c>
      <c r="K24">
        <f>_xll.ciqfunctions.udf.CIQ(A24, "IQ_LASTSALEPRICE", WORKDAY(F24,-1))</f>
        <v>0</v>
      </c>
      <c r="L24">
        <f>_xll.ciqfunctions.udf.CIQ(A24, "IQ_LASTSALEPRICE", F24)</f>
        <v>0</v>
      </c>
      <c r="M24">
        <f>_xll.ciqfunctions.udf.CIQ(A24, "IQ_LASTSALEPRICE", WORKDAY(F24,5))</f>
        <v>0</v>
      </c>
      <c r="N24" t="e">
        <f t="shared" si="0"/>
        <v>#DIV/0!</v>
      </c>
      <c r="O24" t="e">
        <f t="shared" si="1"/>
        <v>#DIV/0!</v>
      </c>
      <c r="P24">
        <f>LN(_xll.ciqfunctions.udf.CIQ("XBI", "IQ_LASTSALEPRICE", WORKDAY(F24,-1))/_xll.ciqfunctions.udf.CIQ("XBI", "IQ_LASTSALEPRICE", WORKDAY(F24,1)))</f>
        <v>-1.2394524869707721E-2</v>
      </c>
      <c r="Q24">
        <f>LN(_xll.ciqfunctions.udf.CIQ("XBI", "IQ_LASTSALEPRICE", WORKDAY(F24,-1))/_xll.ciqfunctions.udf.CIQ("XBI", "IQ_LASTSALEPRICE", WORKDAY(F24,5)))</f>
        <v>-2.5411341024904596E-2</v>
      </c>
      <c r="R24">
        <f>_xll.ciqfunctions.udf.CIQ(A24, "IQ_SHORT_INTEREST_PERCENT", F24)</f>
        <v>0</v>
      </c>
      <c r="S24">
        <f>_xll.ciqfunctions.udf.CIQ(A24, "IQ_BETA_1YR_RSQ", F24)</f>
        <v>0</v>
      </c>
      <c r="T24">
        <f>_xll.ciqfunctions.udf.CIQ(A24, "IQ_VALUE_TRADED", F24)</f>
        <v>0</v>
      </c>
    </row>
    <row r="25" spans="1:20" x14ac:dyDescent="0.3">
      <c r="A25" t="s">
        <v>99</v>
      </c>
      <c r="B25">
        <v>1.88</v>
      </c>
      <c r="C25" t="s">
        <v>100</v>
      </c>
      <c r="D25" t="s">
        <v>101</v>
      </c>
      <c r="E25" t="s">
        <v>46</v>
      </c>
      <c r="F25" s="1">
        <v>45295</v>
      </c>
      <c r="G25" t="s">
        <v>102</v>
      </c>
      <c r="H25">
        <v>112</v>
      </c>
      <c r="I25">
        <f>_xll.ciqfunctions.udf.CIQ(A25, "IQ_MARKETCAP", F25)</f>
        <v>151.86847</v>
      </c>
      <c r="J25">
        <f>_xll.ciqfunctions.udf.CIQ(A25, "IQ_PRICE_VOL_HIST_6MTH", F25)</f>
        <v>138.0034</v>
      </c>
      <c r="K25">
        <f>_xll.ciqfunctions.udf.CIQ(A25, "IQ_LASTSALEPRICE", WORKDAY(F25,-1))</f>
        <v>1.66</v>
      </c>
      <c r="L25">
        <f>_xll.ciqfunctions.udf.CIQ(A25, "IQ_LASTSALEPRICE", F25)</f>
        <v>1.88</v>
      </c>
      <c r="M25">
        <f>_xll.ciqfunctions.udf.CIQ(A25, "IQ_LASTSALEPRICE", WORKDAY(F25,5))</f>
        <v>2.0699999999999998</v>
      </c>
      <c r="N25">
        <f t="shared" si="0"/>
        <v>0.12445417447340605</v>
      </c>
      <c r="O25">
        <f t="shared" si="1"/>
        <v>0.2207310049088258</v>
      </c>
      <c r="P25">
        <f>LN(_xll.ciqfunctions.udf.CIQ("XBI", "IQ_LASTSALEPRICE", WORKDAY(F25,-1))/_xll.ciqfunctions.udf.CIQ("XBI", "IQ_LASTSALEPRICE", WORKDAY(F25,1)))</f>
        <v>-1.2394524869707721E-2</v>
      </c>
      <c r="Q25">
        <f>LN(_xll.ciqfunctions.udf.CIQ("XBI", "IQ_LASTSALEPRICE", WORKDAY(F25,-1))/_xll.ciqfunctions.udf.CIQ("XBI", "IQ_LASTSALEPRICE", WORKDAY(F25,5)))</f>
        <v>-2.5411341024904596E-2</v>
      </c>
      <c r="R25">
        <f>_xll.ciqfunctions.udf.CIQ(A25, "IQ_SHORT_INTEREST_PERCENT", F25)</f>
        <v>5.0140200000000004</v>
      </c>
      <c r="S25">
        <f>_xll.ciqfunctions.udf.CIQ(A25, "IQ_BETA_1YR_RSQ", F25)</f>
        <v>4.6429999999999999E-2</v>
      </c>
      <c r="T25">
        <f>_xll.ciqfunctions.udf.CIQ(A25, "IQ_VALUE_TRADED", F25)</f>
        <v>2.46834</v>
      </c>
    </row>
    <row r="26" spans="1:20" x14ac:dyDescent="0.3">
      <c r="A26" t="s">
        <v>99</v>
      </c>
      <c r="B26">
        <v>1.88</v>
      </c>
      <c r="C26" t="s">
        <v>103</v>
      </c>
      <c r="D26" t="s">
        <v>104</v>
      </c>
      <c r="E26" t="s">
        <v>22</v>
      </c>
      <c r="F26" s="1">
        <v>45295</v>
      </c>
      <c r="G26" t="s">
        <v>105</v>
      </c>
      <c r="H26">
        <v>112</v>
      </c>
      <c r="I26">
        <f>_xll.ciqfunctions.udf.CIQ(A26, "IQ_MARKETCAP", F26)</f>
        <v>151.86847</v>
      </c>
      <c r="J26">
        <f>_xll.ciqfunctions.udf.CIQ(A26, "IQ_PRICE_VOL_HIST_6MTH", F26)</f>
        <v>138.0034</v>
      </c>
      <c r="K26">
        <f>_xll.ciqfunctions.udf.CIQ(A26, "IQ_LASTSALEPRICE", WORKDAY(F26,-1))</f>
        <v>1.66</v>
      </c>
      <c r="L26">
        <f>_xll.ciqfunctions.udf.CIQ(A26, "IQ_LASTSALEPRICE", F26)</f>
        <v>1.88</v>
      </c>
      <c r="M26">
        <f>_xll.ciqfunctions.udf.CIQ(A26, "IQ_LASTSALEPRICE", WORKDAY(F26,5))</f>
        <v>2.0699999999999998</v>
      </c>
      <c r="N26">
        <f t="shared" si="0"/>
        <v>0.12445417447340605</v>
      </c>
      <c r="O26">
        <f t="shared" si="1"/>
        <v>0.2207310049088258</v>
      </c>
      <c r="P26">
        <f>LN(_xll.ciqfunctions.udf.CIQ("XBI", "IQ_LASTSALEPRICE", WORKDAY(F26,-1))/_xll.ciqfunctions.udf.CIQ("XBI", "IQ_LASTSALEPRICE", WORKDAY(F26,1)))</f>
        <v>-1.2394524869707721E-2</v>
      </c>
      <c r="Q26">
        <f>LN(_xll.ciqfunctions.udf.CIQ("XBI", "IQ_LASTSALEPRICE", WORKDAY(F26,-1))/_xll.ciqfunctions.udf.CIQ("XBI", "IQ_LASTSALEPRICE", WORKDAY(F26,5)))</f>
        <v>-2.5411341024904596E-2</v>
      </c>
      <c r="R26">
        <f>_xll.ciqfunctions.udf.CIQ(A26, "IQ_SHORT_INTEREST_PERCENT", F26)</f>
        <v>5.0140200000000004</v>
      </c>
      <c r="S26">
        <f>_xll.ciqfunctions.udf.CIQ(A26, "IQ_BETA_1YR_RSQ", F26)</f>
        <v>4.6429999999999999E-2</v>
      </c>
      <c r="T26">
        <f>_xll.ciqfunctions.udf.CIQ(A26, "IQ_VALUE_TRADED", F26)</f>
        <v>2.46834</v>
      </c>
    </row>
    <row r="27" spans="1:20" x14ac:dyDescent="0.3">
      <c r="A27" t="s">
        <v>106</v>
      </c>
      <c r="B27">
        <v>3.34</v>
      </c>
      <c r="C27" t="s">
        <v>107</v>
      </c>
      <c r="D27" t="s">
        <v>108</v>
      </c>
      <c r="E27" t="s">
        <v>17</v>
      </c>
      <c r="F27" s="1">
        <v>45295</v>
      </c>
      <c r="G27" t="s">
        <v>109</v>
      </c>
      <c r="H27">
        <v>59</v>
      </c>
      <c r="I27">
        <f>_xll.ciqfunctions.udf.CIQ(A27, "IQ_MARKETCAP", F27)</f>
        <v>196.46575999999999</v>
      </c>
      <c r="J27">
        <f>_xll.ciqfunctions.udf.CIQ(A27, "IQ_PRICE_VOL_HIST_6MTH", F27)</f>
        <v>180.33840000000001</v>
      </c>
      <c r="K27">
        <f>_xll.ciqfunctions.udf.CIQ(A27, "IQ_LASTSALEPRICE", WORKDAY(F27,-1))</f>
        <v>3.35</v>
      </c>
      <c r="L27">
        <f>_xll.ciqfunctions.udf.CIQ(A27, "IQ_LASTSALEPRICE", F27)</f>
        <v>3.34</v>
      </c>
      <c r="M27">
        <f>_xll.ciqfunctions.udf.CIQ(A27, "IQ_LASTSALEPRICE", WORKDAY(F27,5))</f>
        <v>3.2</v>
      </c>
      <c r="N27">
        <f t="shared" si="0"/>
        <v>-2.9895388483660483E-3</v>
      </c>
      <c r="O27">
        <f t="shared" si="1"/>
        <v>-4.5809536031294222E-2</v>
      </c>
      <c r="P27">
        <f>LN(_xll.ciqfunctions.udf.CIQ("XBI", "IQ_LASTSALEPRICE", WORKDAY(F27,-1))/_xll.ciqfunctions.udf.CIQ("XBI", "IQ_LASTSALEPRICE", WORKDAY(F27,1)))</f>
        <v>-1.2394524869707721E-2</v>
      </c>
      <c r="Q27">
        <f>LN(_xll.ciqfunctions.udf.CIQ("XBI", "IQ_LASTSALEPRICE", WORKDAY(F27,-1))/_xll.ciqfunctions.udf.CIQ("XBI", "IQ_LASTSALEPRICE", WORKDAY(F27,5)))</f>
        <v>-2.5411341024904596E-2</v>
      </c>
      <c r="R27">
        <f>_xll.ciqfunctions.udf.CIQ(A27, "IQ_SHORT_INTEREST_PERCENT", F27)</f>
        <v>6.0407900000000003</v>
      </c>
      <c r="S27">
        <f>_xll.ciqfunctions.udf.CIQ(A27, "IQ_BETA_1YR_RSQ", F27)</f>
        <v>0.25003999999999998</v>
      </c>
      <c r="T27">
        <f>_xll.ciqfunctions.udf.CIQ(A27, "IQ_VALUE_TRADED", F27)</f>
        <v>1.83975</v>
      </c>
    </row>
    <row r="28" spans="1:20" x14ac:dyDescent="0.3">
      <c r="A28" t="s">
        <v>106</v>
      </c>
      <c r="B28">
        <v>3.34</v>
      </c>
      <c r="C28" t="s">
        <v>110</v>
      </c>
      <c r="D28" t="s">
        <v>111</v>
      </c>
      <c r="E28" t="s">
        <v>22</v>
      </c>
      <c r="F28" s="1">
        <v>45295</v>
      </c>
      <c r="G28" t="s">
        <v>112</v>
      </c>
      <c r="H28">
        <v>59</v>
      </c>
      <c r="I28">
        <f>_xll.ciqfunctions.udf.CIQ(A28, "IQ_MARKETCAP", F28)</f>
        <v>196.46575999999999</v>
      </c>
      <c r="J28">
        <f>_xll.ciqfunctions.udf.CIQ(A28, "IQ_PRICE_VOL_HIST_6MTH", F28)</f>
        <v>180.33840000000001</v>
      </c>
      <c r="K28">
        <f>_xll.ciqfunctions.udf.CIQ(A28, "IQ_LASTSALEPRICE", WORKDAY(F28,-1))</f>
        <v>3.35</v>
      </c>
      <c r="L28">
        <f>_xll.ciqfunctions.udf.CIQ(A28, "IQ_LASTSALEPRICE", F28)</f>
        <v>3.34</v>
      </c>
      <c r="M28">
        <f>_xll.ciqfunctions.udf.CIQ(A28, "IQ_LASTSALEPRICE", WORKDAY(F28,5))</f>
        <v>3.2</v>
      </c>
      <c r="N28">
        <f t="shared" si="0"/>
        <v>-2.9895388483660483E-3</v>
      </c>
      <c r="O28">
        <f t="shared" si="1"/>
        <v>-4.5809536031294222E-2</v>
      </c>
      <c r="P28">
        <f>LN(_xll.ciqfunctions.udf.CIQ("XBI", "IQ_LASTSALEPRICE", WORKDAY(F28,-1))/_xll.ciqfunctions.udf.CIQ("XBI", "IQ_LASTSALEPRICE", WORKDAY(F28,1)))</f>
        <v>-1.2394524869707721E-2</v>
      </c>
      <c r="Q28">
        <f>LN(_xll.ciqfunctions.udf.CIQ("XBI", "IQ_LASTSALEPRICE", WORKDAY(F28,-1))/_xll.ciqfunctions.udf.CIQ("XBI", "IQ_LASTSALEPRICE", WORKDAY(F28,5)))</f>
        <v>-2.5411341024904596E-2</v>
      </c>
      <c r="R28">
        <f>_xll.ciqfunctions.udf.CIQ(A28, "IQ_SHORT_INTEREST_PERCENT", F28)</f>
        <v>6.0407900000000003</v>
      </c>
      <c r="S28">
        <f>_xll.ciqfunctions.udf.CIQ(A28, "IQ_BETA_1YR_RSQ", F28)</f>
        <v>0.25003999999999998</v>
      </c>
      <c r="T28">
        <f>_xll.ciqfunctions.udf.CIQ(A28, "IQ_VALUE_TRADED", F28)</f>
        <v>1.83975</v>
      </c>
    </row>
    <row r="29" spans="1:20" x14ac:dyDescent="0.3">
      <c r="A29" t="s">
        <v>113</v>
      </c>
      <c r="B29">
        <v>19.13</v>
      </c>
      <c r="C29" t="s">
        <v>114</v>
      </c>
      <c r="D29" t="s">
        <v>115</v>
      </c>
      <c r="E29" t="s">
        <v>76</v>
      </c>
      <c r="F29" s="1">
        <v>45295</v>
      </c>
      <c r="G29" t="s">
        <v>116</v>
      </c>
      <c r="H29">
        <v>74</v>
      </c>
      <c r="I29">
        <f>_xll.ciqfunctions.udf.CIQ(A29, "IQ_MARKETCAP", F29)</f>
        <v>1345.22102</v>
      </c>
      <c r="J29">
        <f>_xll.ciqfunctions.udf.CIQ(A29, "IQ_PRICE_VOL_HIST_6MTH", F29)</f>
        <v>58.664999999999999</v>
      </c>
      <c r="K29">
        <f>_xll.ciqfunctions.udf.CIQ(A29, "IQ_LASTSALEPRICE", WORKDAY(F29,-1))</f>
        <v>19.98</v>
      </c>
      <c r="L29">
        <f>_xll.ciqfunctions.udf.CIQ(A29, "IQ_LASTSALEPRICE", F29)</f>
        <v>19.125</v>
      </c>
      <c r="M29">
        <f>_xll.ciqfunctions.udf.CIQ(A29, "IQ_LASTSALEPRICE", WORKDAY(F29,5))</f>
        <v>19.28</v>
      </c>
      <c r="N29">
        <f t="shared" si="0"/>
        <v>-4.3735393507807932E-2</v>
      </c>
      <c r="O29">
        <f t="shared" si="1"/>
        <v>-3.5663484038007891E-2</v>
      </c>
      <c r="P29">
        <f>LN(_xll.ciqfunctions.udf.CIQ("XBI", "IQ_LASTSALEPRICE", WORKDAY(F29,-1))/_xll.ciqfunctions.udf.CIQ("XBI", "IQ_LASTSALEPRICE", WORKDAY(F29,1)))</f>
        <v>-1.2394524869707721E-2</v>
      </c>
      <c r="Q29">
        <f>LN(_xll.ciqfunctions.udf.CIQ("XBI", "IQ_LASTSALEPRICE", WORKDAY(F29,-1))/_xll.ciqfunctions.udf.CIQ("XBI", "IQ_LASTSALEPRICE", WORKDAY(F29,5)))</f>
        <v>-2.5411341024904596E-2</v>
      </c>
      <c r="R29">
        <f>_xll.ciqfunctions.udf.CIQ(A29, "IQ_SHORT_INTEREST_PERCENT", F29)</f>
        <v>4.6568899999999998</v>
      </c>
      <c r="S29">
        <f>_xll.ciqfunctions.udf.CIQ(A29, "IQ_BETA_1YR_RSQ", F29)</f>
        <v>2.2710000000000001E-2</v>
      </c>
      <c r="T29">
        <f>_xll.ciqfunctions.udf.CIQ(A29, "IQ_VALUE_TRADED", F29)</f>
        <v>26.436599999999999</v>
      </c>
    </row>
    <row r="30" spans="1:20" x14ac:dyDescent="0.3">
      <c r="A30" t="s">
        <v>117</v>
      </c>
      <c r="B30">
        <v>43.31</v>
      </c>
      <c r="C30" t="s">
        <v>118</v>
      </c>
      <c r="D30" t="s">
        <v>119</v>
      </c>
      <c r="E30" t="s">
        <v>22</v>
      </c>
      <c r="F30" s="1">
        <v>45295</v>
      </c>
      <c r="G30" t="s">
        <v>120</v>
      </c>
      <c r="H30">
        <v>66</v>
      </c>
      <c r="I30">
        <f>_xll.ciqfunctions.udf.CIQ(A30, "IQ_MARKETCAP", F30)</f>
        <v>2559.4674199999999</v>
      </c>
      <c r="J30">
        <f>_xll.ciqfunctions.udf.CIQ(A30, "IQ_PRICE_VOL_HIST_6MTH", F30)</f>
        <v>63.550699999999999</v>
      </c>
      <c r="K30">
        <f>_xll.ciqfunctions.udf.CIQ(A30, "IQ_LASTSALEPRICE", WORKDAY(F30,-1))</f>
        <v>43.88</v>
      </c>
      <c r="L30">
        <f>_xll.ciqfunctions.udf.CIQ(A30, "IQ_LASTSALEPRICE", F30)</f>
        <v>43.31</v>
      </c>
      <c r="M30">
        <f>_xll.ciqfunctions.udf.CIQ(A30, "IQ_LASTSALEPRICE", WORKDAY(F30,5))</f>
        <v>41.51</v>
      </c>
      <c r="N30">
        <f t="shared" si="0"/>
        <v>-1.307508018049424E-2</v>
      </c>
      <c r="O30">
        <f t="shared" si="1"/>
        <v>-5.5524273342082174E-2</v>
      </c>
      <c r="P30">
        <f>LN(_xll.ciqfunctions.udf.CIQ("XBI", "IQ_LASTSALEPRICE", WORKDAY(F30,-1))/_xll.ciqfunctions.udf.CIQ("XBI", "IQ_LASTSALEPRICE", WORKDAY(F30,1)))</f>
        <v>-1.2394524869707721E-2</v>
      </c>
      <c r="Q30">
        <f>LN(_xll.ciqfunctions.udf.CIQ("XBI", "IQ_LASTSALEPRICE", WORKDAY(F30,-1))/_xll.ciqfunctions.udf.CIQ("XBI", "IQ_LASTSALEPRICE", WORKDAY(F30,5)))</f>
        <v>-2.5411341024904596E-2</v>
      </c>
      <c r="R30">
        <f>_xll.ciqfunctions.udf.CIQ(A30, "IQ_SHORT_INTEREST_PERCENT", F30)</f>
        <v>14.61566</v>
      </c>
      <c r="S30">
        <f>_xll.ciqfunctions.udf.CIQ(A30, "IQ_BETA_1YR_RSQ", F30)</f>
        <v>0.13496</v>
      </c>
      <c r="T30">
        <f>_xll.ciqfunctions.udf.CIQ(A30, "IQ_VALUE_TRADED", F30)</f>
        <v>58.388849999999998</v>
      </c>
    </row>
    <row r="31" spans="1:20" x14ac:dyDescent="0.3">
      <c r="A31" t="s">
        <v>121</v>
      </c>
      <c r="B31">
        <v>0.91</v>
      </c>
      <c r="C31" t="s">
        <v>122</v>
      </c>
      <c r="D31" t="s">
        <v>123</v>
      </c>
      <c r="E31" t="s">
        <v>124</v>
      </c>
      <c r="F31" s="1">
        <v>45295</v>
      </c>
      <c r="G31" t="s">
        <v>125</v>
      </c>
      <c r="H31">
        <v>4</v>
      </c>
      <c r="I31">
        <f>_xll.ciqfunctions.udf.CIQ(A31, "IQ_MARKETCAP", F31)</f>
        <v>9.4161599999999996</v>
      </c>
      <c r="J31">
        <f>_xll.ciqfunctions.udf.CIQ(A31, "IQ_PRICE_VOL_HIST_6MTH", F31)</f>
        <v>145.02680000000001</v>
      </c>
      <c r="K31">
        <f>_xll.ciqfunctions.udf.CIQ(A31, "IQ_LASTSALEPRICE", WORKDAY(F31,-1))</f>
        <v>14.68</v>
      </c>
      <c r="L31">
        <f>_xll.ciqfunctions.udf.CIQ(A31, "IQ_LASTSALEPRICE", F31)</f>
        <v>14.5168</v>
      </c>
      <c r="M31">
        <f>_xll.ciqfunctions.udf.CIQ(A31, "IQ_LASTSALEPRICE", WORKDAY(F31,5))</f>
        <v>13.860799999999999</v>
      </c>
      <c r="N31">
        <f t="shared" si="0"/>
        <v>-1.1179423753142043E-2</v>
      </c>
      <c r="O31">
        <f t="shared" si="1"/>
        <v>-5.7421311032630776E-2</v>
      </c>
      <c r="P31">
        <f>LN(_xll.ciqfunctions.udf.CIQ("XBI", "IQ_LASTSALEPRICE", WORKDAY(F31,-1))/_xll.ciqfunctions.udf.CIQ("XBI", "IQ_LASTSALEPRICE", WORKDAY(F31,1)))</f>
        <v>-1.2394524869707721E-2</v>
      </c>
      <c r="Q31">
        <f>LN(_xll.ciqfunctions.udf.CIQ("XBI", "IQ_LASTSALEPRICE", WORKDAY(F31,-1))/_xll.ciqfunctions.udf.CIQ("XBI", "IQ_LASTSALEPRICE", WORKDAY(F31,5)))</f>
        <v>-2.5411341024904596E-2</v>
      </c>
      <c r="R31">
        <f>_xll.ciqfunctions.udf.CIQ(A31, "IQ_SHORT_INTEREST_PERCENT", F31)</f>
        <v>0.38244</v>
      </c>
      <c r="S31">
        <f>_xll.ciqfunctions.udf.CIQ(A31, "IQ_BETA_1YR_RSQ", F31)</f>
        <v>2.0000000000000001E-4</v>
      </c>
      <c r="T31">
        <f>_xll.ciqfunctions.udf.CIQ(A31, "IQ_VALUE_TRADED", F31)</f>
        <v>2.1545700000000001</v>
      </c>
    </row>
    <row r="32" spans="1:20" x14ac:dyDescent="0.3">
      <c r="A32" t="s">
        <v>126</v>
      </c>
      <c r="B32">
        <v>1.35</v>
      </c>
      <c r="C32" t="s">
        <v>127</v>
      </c>
      <c r="D32" t="s">
        <v>128</v>
      </c>
      <c r="E32" t="s">
        <v>22</v>
      </c>
      <c r="F32" s="1">
        <v>45295</v>
      </c>
      <c r="G32" t="s">
        <v>129</v>
      </c>
      <c r="H32">
        <v>2</v>
      </c>
      <c r="I32" t="str">
        <f>_xll.ciqfunctions.udf.CIQ(A32, "IQ_MARKETCAP", F32)</f>
        <v>(Invalid Identifier)</v>
      </c>
      <c r="J32" t="str">
        <f>_xll.ciqfunctions.udf.CIQ(A32, "IQ_PRICE_VOL_HIST_6MTH", F32)</f>
        <v>(Invalid Identifier)</v>
      </c>
      <c r="K32" t="str">
        <f>_xll.ciqfunctions.udf.CIQ(A32, "IQ_LASTSALEPRICE", WORKDAY(F32,-1))</f>
        <v>(Invalid Identifier)</v>
      </c>
      <c r="L32" t="str">
        <f>_xll.ciqfunctions.udf.CIQ(A32, "IQ_LASTSALEPRICE", F32)</f>
        <v>(Invalid Identifier)</v>
      </c>
      <c r="M32" t="str">
        <f>_xll.ciqfunctions.udf.CIQ(A32, "IQ_LASTSALEPRICE", WORKDAY(F32,5))</f>
        <v>(Invalid Identifier)</v>
      </c>
      <c r="N32" t="e">
        <f t="shared" si="0"/>
        <v>#VALUE!</v>
      </c>
      <c r="O32" t="e">
        <f t="shared" si="1"/>
        <v>#VALUE!</v>
      </c>
      <c r="P32">
        <f>LN(_xll.ciqfunctions.udf.CIQ("XBI", "IQ_LASTSALEPRICE", WORKDAY(F32,-1))/_xll.ciqfunctions.udf.CIQ("XBI", "IQ_LASTSALEPRICE", WORKDAY(F32,1)))</f>
        <v>-1.2394524869707721E-2</v>
      </c>
      <c r="Q32">
        <f>LN(_xll.ciqfunctions.udf.CIQ("XBI", "IQ_LASTSALEPRICE", WORKDAY(F32,-1))/_xll.ciqfunctions.udf.CIQ("XBI", "IQ_LASTSALEPRICE", WORKDAY(F32,5)))</f>
        <v>-2.5411341024904596E-2</v>
      </c>
      <c r="R32" t="str">
        <f>_xll.ciqfunctions.udf.CIQ(A32, "IQ_SHORT_INTEREST_PERCENT", F32)</f>
        <v>(Invalid Identifier)</v>
      </c>
      <c r="S32" t="str">
        <f>_xll.ciqfunctions.udf.CIQ(A32, "IQ_BETA_1YR_RSQ", F32)</f>
        <v>(Invalid Identifier)</v>
      </c>
      <c r="T32" t="str">
        <f>_xll.ciqfunctions.udf.CIQ(A32, "IQ_VALUE_TRADED", F32)</f>
        <v>(Invalid Identifier)</v>
      </c>
    </row>
    <row r="33" spans="1:20" x14ac:dyDescent="0.3">
      <c r="A33" t="s">
        <v>130</v>
      </c>
      <c r="B33">
        <v>116.27</v>
      </c>
      <c r="C33" t="s">
        <v>127</v>
      </c>
      <c r="D33" t="s">
        <v>128</v>
      </c>
      <c r="E33" t="s">
        <v>22</v>
      </c>
      <c r="F33" s="1">
        <v>45295</v>
      </c>
      <c r="G33" t="s">
        <v>129</v>
      </c>
      <c r="I33">
        <f>_xll.ciqfunctions.udf.CIQ(A33, "IQ_MARKETCAP", F33)</f>
        <v>296506.04106000002</v>
      </c>
      <c r="J33">
        <f>_xll.ciqfunctions.udf.CIQ(A33, "IQ_PRICE_VOL_HIST_6MTH", F33)</f>
        <v>18.186299999999999</v>
      </c>
      <c r="K33">
        <f>_xll.ciqfunctions.udf.CIQ(A33, "IQ_LASTSALEPRICE", WORKDAY(F33,-1))</f>
        <v>114.77</v>
      </c>
      <c r="L33">
        <f>_xll.ciqfunctions.udf.CIQ(A33, "IQ_LASTSALEPRICE", F33)</f>
        <v>117.01</v>
      </c>
      <c r="M33">
        <f>_xll.ciqfunctions.udf.CIQ(A33, "IQ_LASTSALEPRICE", WORKDAY(F33,5))</f>
        <v>118.43</v>
      </c>
      <c r="N33">
        <f t="shared" si="0"/>
        <v>1.9329275538289684E-2</v>
      </c>
      <c r="O33">
        <f t="shared" si="1"/>
        <v>3.1391943040826834E-2</v>
      </c>
      <c r="P33">
        <f>LN(_xll.ciqfunctions.udf.CIQ("XBI", "IQ_LASTSALEPRICE", WORKDAY(F33,-1))/_xll.ciqfunctions.udf.CIQ("XBI", "IQ_LASTSALEPRICE", WORKDAY(F33,1)))</f>
        <v>-1.2394524869707721E-2</v>
      </c>
      <c r="Q33">
        <f>LN(_xll.ciqfunctions.udf.CIQ("XBI", "IQ_LASTSALEPRICE", WORKDAY(F33,-1))/_xll.ciqfunctions.udf.CIQ("XBI", "IQ_LASTSALEPRICE", WORKDAY(F33,5)))</f>
        <v>-2.5411341024904596E-2</v>
      </c>
      <c r="R33">
        <f>_xll.ciqfunctions.udf.CIQ(A33, "IQ_SHORT_INTEREST_PERCENT", F33)</f>
        <v>0.53146000000000004</v>
      </c>
      <c r="S33">
        <f>_xll.ciqfunctions.udf.CIQ(A33, "IQ_BETA_1YR_RSQ", F33)</f>
        <v>7.8600000000000007E-3</v>
      </c>
      <c r="T33">
        <f>_xll.ciqfunctions.udf.CIQ(A33, "IQ_VALUE_TRADED", F33)</f>
        <v>1344.70361</v>
      </c>
    </row>
    <row r="34" spans="1:20" x14ac:dyDescent="0.3">
      <c r="A34" t="s">
        <v>131</v>
      </c>
      <c r="B34">
        <v>2.41</v>
      </c>
      <c r="C34" t="s">
        <v>132</v>
      </c>
      <c r="D34" t="s">
        <v>104</v>
      </c>
      <c r="E34" t="s">
        <v>22</v>
      </c>
      <c r="F34" s="1">
        <v>45295</v>
      </c>
      <c r="G34" t="s">
        <v>133</v>
      </c>
      <c r="H34">
        <v>145</v>
      </c>
      <c r="I34">
        <f>_xll.ciqfunctions.udf.CIQ(A34, "IQ_MARKETCAP", F34)</f>
        <v>398.25958000000003</v>
      </c>
      <c r="J34">
        <f>_xll.ciqfunctions.udf.CIQ(A34, "IQ_PRICE_VOL_HIST_6MTH", F34)</f>
        <v>47.012</v>
      </c>
      <c r="K34">
        <f>_xll.ciqfunctions.udf.CIQ(A34, "IQ_LASTSALEPRICE", WORKDAY(F34,-1))</f>
        <v>2.31</v>
      </c>
      <c r="L34">
        <f>_xll.ciqfunctions.udf.CIQ(A34, "IQ_LASTSALEPRICE", F34)</f>
        <v>2.41</v>
      </c>
      <c r="M34">
        <f>_xll.ciqfunctions.udf.CIQ(A34, "IQ_LASTSALEPRICE", WORKDAY(F34,5))</f>
        <v>2.56</v>
      </c>
      <c r="N34">
        <f t="shared" si="0"/>
        <v>4.2379222968861541E-2</v>
      </c>
      <c r="O34">
        <f t="shared" si="1"/>
        <v>0.10275973395776894</v>
      </c>
      <c r="P34">
        <f>LN(_xll.ciqfunctions.udf.CIQ("XBI", "IQ_LASTSALEPRICE", WORKDAY(F34,-1))/_xll.ciqfunctions.udf.CIQ("XBI", "IQ_LASTSALEPRICE", WORKDAY(F34,1)))</f>
        <v>-1.2394524869707721E-2</v>
      </c>
      <c r="Q34">
        <f>LN(_xll.ciqfunctions.udf.CIQ("XBI", "IQ_LASTSALEPRICE", WORKDAY(F34,-1))/_xll.ciqfunctions.udf.CIQ("XBI", "IQ_LASTSALEPRICE", WORKDAY(F34,5)))</f>
        <v>-2.5411341024904596E-2</v>
      </c>
      <c r="R34">
        <f>_xll.ciqfunctions.udf.CIQ(A34, "IQ_SHORT_INTEREST_PERCENT", F34)</f>
        <v>0</v>
      </c>
      <c r="S34">
        <f>_xll.ciqfunctions.udf.CIQ(A34, "IQ_BETA_1YR_RSQ", F34)</f>
        <v>0</v>
      </c>
      <c r="T34">
        <f>_xll.ciqfunctions.udf.CIQ(A34, "IQ_VALUE_TRADED", F34)</f>
        <v>0.38980999999999999</v>
      </c>
    </row>
    <row r="35" spans="1:20" x14ac:dyDescent="0.3">
      <c r="A35" t="s">
        <v>134</v>
      </c>
      <c r="B35">
        <v>3.79</v>
      </c>
      <c r="C35" t="s">
        <v>135</v>
      </c>
      <c r="D35" t="s">
        <v>136</v>
      </c>
      <c r="E35" t="s">
        <v>36</v>
      </c>
      <c r="F35" s="1">
        <v>45295</v>
      </c>
      <c r="G35" t="s">
        <v>137</v>
      </c>
      <c r="H35">
        <v>144</v>
      </c>
      <c r="I35">
        <f>_xll.ciqfunctions.udf.CIQ(A35, "IQ_MARKETCAP", F35)</f>
        <v>292.69869999999997</v>
      </c>
      <c r="J35">
        <f>_xll.ciqfunctions.udf.CIQ(A35, "IQ_PRICE_VOL_HIST_6MTH", F35)</f>
        <v>115.7805</v>
      </c>
      <c r="K35">
        <f>_xll.ciqfunctions.udf.CIQ(A35, "IQ_LASTSALEPRICE", WORKDAY(F35,-1))</f>
        <v>3.59</v>
      </c>
      <c r="L35">
        <f>_xll.ciqfunctions.udf.CIQ(A35, "IQ_LASTSALEPRICE", F35)</f>
        <v>3.79</v>
      </c>
      <c r="M35">
        <f>_xll.ciqfunctions.udf.CIQ(A35, "IQ_LASTSALEPRICE", WORKDAY(F35,5))</f>
        <v>2.44</v>
      </c>
      <c r="N35">
        <f t="shared" si="0"/>
        <v>5.4213816594147521E-2</v>
      </c>
      <c r="O35">
        <f t="shared" si="1"/>
        <v>-0.38615416319507689</v>
      </c>
      <c r="P35">
        <f>LN(_xll.ciqfunctions.udf.CIQ("XBI", "IQ_LASTSALEPRICE", WORKDAY(F35,-1))/_xll.ciqfunctions.udf.CIQ("XBI", "IQ_LASTSALEPRICE", WORKDAY(F35,1)))</f>
        <v>-1.2394524869707721E-2</v>
      </c>
      <c r="Q35">
        <f>LN(_xll.ciqfunctions.udf.CIQ("XBI", "IQ_LASTSALEPRICE", WORKDAY(F35,-1))/_xll.ciqfunctions.udf.CIQ("XBI", "IQ_LASTSALEPRICE", WORKDAY(F35,5)))</f>
        <v>-2.5411341024904596E-2</v>
      </c>
      <c r="R35">
        <f>_xll.ciqfunctions.udf.CIQ(A35, "IQ_SHORT_INTEREST_PERCENT", F35)</f>
        <v>2.7758600000000002</v>
      </c>
      <c r="S35">
        <f>_xll.ciqfunctions.udf.CIQ(A35, "IQ_BETA_1YR_RSQ", F35)</f>
        <v>2.1850000000000001E-2</v>
      </c>
      <c r="T35">
        <f>_xll.ciqfunctions.udf.CIQ(A35, "IQ_VALUE_TRADED", F35)</f>
        <v>15.36482</v>
      </c>
    </row>
    <row r="36" spans="1:20" x14ac:dyDescent="0.3">
      <c r="A36" t="s">
        <v>134</v>
      </c>
      <c r="B36">
        <v>3.79</v>
      </c>
      <c r="C36" t="s">
        <v>135</v>
      </c>
      <c r="D36" t="s">
        <v>136</v>
      </c>
      <c r="E36" t="s">
        <v>36</v>
      </c>
      <c r="F36" s="1">
        <v>45295</v>
      </c>
      <c r="G36" t="s">
        <v>137</v>
      </c>
      <c r="H36">
        <v>144</v>
      </c>
      <c r="I36">
        <f>_xll.ciqfunctions.udf.CIQ(A36, "IQ_MARKETCAP", F36)</f>
        <v>292.69869999999997</v>
      </c>
      <c r="J36">
        <f>_xll.ciqfunctions.udf.CIQ(A36, "IQ_PRICE_VOL_HIST_6MTH", F36)</f>
        <v>115.7805</v>
      </c>
      <c r="K36">
        <f>_xll.ciqfunctions.udf.CIQ(A36, "IQ_LASTSALEPRICE", WORKDAY(F36,-1))</f>
        <v>3.59</v>
      </c>
      <c r="L36">
        <f>_xll.ciqfunctions.udf.CIQ(A36, "IQ_LASTSALEPRICE", F36)</f>
        <v>3.79</v>
      </c>
      <c r="M36">
        <f>_xll.ciqfunctions.udf.CIQ(A36, "IQ_LASTSALEPRICE", WORKDAY(F36,5))</f>
        <v>2.44</v>
      </c>
      <c r="N36">
        <f t="shared" si="0"/>
        <v>5.4213816594147521E-2</v>
      </c>
      <c r="O36">
        <f t="shared" si="1"/>
        <v>-0.38615416319507689</v>
      </c>
      <c r="P36">
        <f>LN(_xll.ciqfunctions.udf.CIQ("XBI", "IQ_LASTSALEPRICE", WORKDAY(F36,-1))/_xll.ciqfunctions.udf.CIQ("XBI", "IQ_LASTSALEPRICE", WORKDAY(F36,1)))</f>
        <v>-1.2394524869707721E-2</v>
      </c>
      <c r="Q36">
        <f>LN(_xll.ciqfunctions.udf.CIQ("XBI", "IQ_LASTSALEPRICE", WORKDAY(F36,-1))/_xll.ciqfunctions.udf.CIQ("XBI", "IQ_LASTSALEPRICE", WORKDAY(F36,5)))</f>
        <v>-2.5411341024904596E-2</v>
      </c>
      <c r="R36">
        <f>_xll.ciqfunctions.udf.CIQ(A36, "IQ_SHORT_INTEREST_PERCENT", F36)</f>
        <v>2.7758600000000002</v>
      </c>
      <c r="S36">
        <f>_xll.ciqfunctions.udf.CIQ(A36, "IQ_BETA_1YR_RSQ", F36)</f>
        <v>2.1850000000000001E-2</v>
      </c>
      <c r="T36">
        <f>_xll.ciqfunctions.udf.CIQ(A36, "IQ_VALUE_TRADED", F36)</f>
        <v>15.36482</v>
      </c>
    </row>
    <row r="37" spans="1:20" x14ac:dyDescent="0.3">
      <c r="A37" t="s">
        <v>138</v>
      </c>
      <c r="B37">
        <v>10.37</v>
      </c>
      <c r="C37" t="s">
        <v>139</v>
      </c>
      <c r="D37" t="s">
        <v>140</v>
      </c>
      <c r="E37" t="s">
        <v>36</v>
      </c>
      <c r="F37" s="1">
        <v>45296</v>
      </c>
      <c r="G37" t="s">
        <v>141</v>
      </c>
      <c r="H37">
        <v>50</v>
      </c>
      <c r="I37">
        <f>_xll.ciqfunctions.udf.CIQ(A37, "IQ_MARKETCAP", F37)</f>
        <v>516.40386999999998</v>
      </c>
      <c r="J37">
        <f>_xll.ciqfunctions.udf.CIQ(A37, "IQ_PRICE_VOL_HIST_6MTH", F37)</f>
        <v>33.758899999999997</v>
      </c>
      <c r="K37">
        <f>_xll.ciqfunctions.udf.CIQ(A37, "IQ_LASTSALEPRICE", WORKDAY(F37,-1))</f>
        <v>11.52</v>
      </c>
      <c r="L37">
        <f>_xll.ciqfunctions.udf.CIQ(A37, "IQ_LASTSALEPRICE", F37)</f>
        <v>10.37</v>
      </c>
      <c r="M37">
        <f>_xll.ciqfunctions.udf.CIQ(A37, "IQ_LASTSALEPRICE", WORKDAY(F37,5))</f>
        <v>9.83</v>
      </c>
      <c r="N37">
        <f t="shared" si="0"/>
        <v>-0.10516763302630928</v>
      </c>
      <c r="O37">
        <f t="shared" si="1"/>
        <v>-0.15864572110866995</v>
      </c>
      <c r="P37">
        <f>LN(_xll.ciqfunctions.udf.CIQ("XBI", "IQ_LASTSALEPRICE", WORKDAY(F37,-1))/_xll.ciqfunctions.udf.CIQ("XBI", "IQ_LASTSALEPRICE", WORKDAY(F37,1)))</f>
        <v>-4.3425645119233747E-2</v>
      </c>
      <c r="Q37">
        <f>LN(_xll.ciqfunctions.udf.CIQ("XBI", "IQ_LASTSALEPRICE", WORKDAY(F37,-1))/_xll.ciqfunctions.udf.CIQ("XBI", "IQ_LASTSALEPRICE", WORKDAY(F37,5)))</f>
        <v>-1.0785671911730877E-2</v>
      </c>
      <c r="R37">
        <f>_xll.ciqfunctions.udf.CIQ(A37, "IQ_SHORT_INTEREST_PERCENT", F37)</f>
        <v>18.724460000000001</v>
      </c>
      <c r="S37">
        <f>_xll.ciqfunctions.udf.CIQ(A37, "IQ_BETA_1YR_RSQ", F37)</f>
        <v>7.4789999999999995E-2</v>
      </c>
      <c r="T37">
        <f>_xll.ciqfunctions.udf.CIQ(A37, "IQ_VALUE_TRADED", F37)</f>
        <v>14.80076</v>
      </c>
    </row>
    <row r="38" spans="1:20" x14ac:dyDescent="0.3">
      <c r="A38" t="s">
        <v>142</v>
      </c>
      <c r="B38">
        <v>4.34</v>
      </c>
      <c r="C38" t="s">
        <v>143</v>
      </c>
      <c r="D38" t="s">
        <v>144</v>
      </c>
      <c r="E38" t="s">
        <v>76</v>
      </c>
      <c r="F38" s="1">
        <v>45296</v>
      </c>
      <c r="G38" t="s">
        <v>145</v>
      </c>
      <c r="H38">
        <v>224</v>
      </c>
      <c r="I38">
        <f>_xll.ciqfunctions.udf.CIQ(A38, "IQ_MARKETCAP", F38)</f>
        <v>971.82889</v>
      </c>
      <c r="J38">
        <f>_xll.ciqfunctions.udf.CIQ(A38, "IQ_PRICE_VOL_HIST_6MTH", F38)</f>
        <v>66.8964</v>
      </c>
      <c r="K38">
        <f>_xll.ciqfunctions.udf.CIQ(A38, "IQ_LASTSALEPRICE", WORKDAY(F38,-1))</f>
        <v>4.22</v>
      </c>
      <c r="L38">
        <f>_xll.ciqfunctions.udf.CIQ(A38, "IQ_LASTSALEPRICE", F38)</f>
        <v>4.34</v>
      </c>
      <c r="M38">
        <f>_xll.ciqfunctions.udf.CIQ(A38, "IQ_LASTSALEPRICE", WORKDAY(F38,5))</f>
        <v>3.88</v>
      </c>
      <c r="N38">
        <f t="shared" si="0"/>
        <v>2.8039220064393126E-2</v>
      </c>
      <c r="O38">
        <f t="shared" si="1"/>
        <v>-8.3999974412738307E-2</v>
      </c>
      <c r="P38">
        <f>LN(_xll.ciqfunctions.udf.CIQ("XBI", "IQ_LASTSALEPRICE", WORKDAY(F38,-1))/_xll.ciqfunctions.udf.CIQ("XBI", "IQ_LASTSALEPRICE", WORKDAY(F38,1)))</f>
        <v>-4.3425645119233747E-2</v>
      </c>
      <c r="Q38">
        <f>LN(_xll.ciqfunctions.udf.CIQ("XBI", "IQ_LASTSALEPRICE", WORKDAY(F38,-1))/_xll.ciqfunctions.udf.CIQ("XBI", "IQ_LASTSALEPRICE", WORKDAY(F38,5)))</f>
        <v>-1.0785671911730877E-2</v>
      </c>
      <c r="R38">
        <f>_xll.ciqfunctions.udf.CIQ(A38, "IQ_SHORT_INTEREST_PERCENT", F38)</f>
        <v>1.6726000000000001</v>
      </c>
      <c r="S38">
        <f>_xll.ciqfunctions.udf.CIQ(A38, "IQ_BETA_1YR_RSQ", F38)</f>
        <v>8.8410000000000002E-2</v>
      </c>
      <c r="T38">
        <f>_xll.ciqfunctions.udf.CIQ(A38, "IQ_VALUE_TRADED", F38)</f>
        <v>8.8193000000000001</v>
      </c>
    </row>
    <row r="39" spans="1:20" x14ac:dyDescent="0.3">
      <c r="A39" t="s">
        <v>146</v>
      </c>
      <c r="B39">
        <v>38.51</v>
      </c>
      <c r="C39" t="s">
        <v>147</v>
      </c>
      <c r="D39" t="s">
        <v>148</v>
      </c>
      <c r="E39" t="s">
        <v>22</v>
      </c>
      <c r="F39" s="1">
        <v>45296</v>
      </c>
      <c r="G39" t="s">
        <v>149</v>
      </c>
      <c r="I39">
        <f>_xll.ciqfunctions.udf.CIQ(A39, "IQ_MARKETCAP", F39)</f>
        <v>62822.052470000002</v>
      </c>
      <c r="J39">
        <f>_xll.ciqfunctions.udf.CIQ(A39, "IQ_PRICE_VOL_HIST_6MTH", F39)</f>
        <v>17.5791</v>
      </c>
      <c r="K39">
        <f>_xll.ciqfunctions.udf.CIQ(A39, "IQ_LASTSALEPRICE", WORKDAY(F39,-1))</f>
        <v>15.398</v>
      </c>
      <c r="L39">
        <f>_xll.ciqfunctions.udf.CIQ(A39, "IQ_LASTSALEPRICE", F39)</f>
        <v>15.412000000000001</v>
      </c>
      <c r="M39">
        <f>_xll.ciqfunctions.udf.CIQ(A39, "IQ_LASTSALEPRICE", WORKDAY(F39,5))</f>
        <v>15.73</v>
      </c>
      <c r="N39">
        <f t="shared" si="0"/>
        <v>9.0879590805341935E-4</v>
      </c>
      <c r="O39">
        <f t="shared" si="1"/>
        <v>2.1332086214328753E-2</v>
      </c>
      <c r="P39">
        <f>LN(_xll.ciqfunctions.udf.CIQ("XBI", "IQ_LASTSALEPRICE", WORKDAY(F39,-1))/_xll.ciqfunctions.udf.CIQ("XBI", "IQ_LASTSALEPRICE", WORKDAY(F39,1)))</f>
        <v>-4.3425645119233747E-2</v>
      </c>
      <c r="Q39">
        <f>LN(_xll.ciqfunctions.udf.CIQ("XBI", "IQ_LASTSALEPRICE", WORKDAY(F39,-1))/_xll.ciqfunctions.udf.CIQ("XBI", "IQ_LASTSALEPRICE", WORKDAY(F39,5)))</f>
        <v>-1.0785671911730877E-2</v>
      </c>
      <c r="R39">
        <f>_xll.ciqfunctions.udf.CIQ(A39, "IQ_SHORT_INTEREST_PERCENT", F39)</f>
        <v>0</v>
      </c>
      <c r="S39">
        <f>_xll.ciqfunctions.udf.CIQ(A39, "IQ_BETA_1YR_RSQ", F39)</f>
        <v>2.7399999999999998E-3</v>
      </c>
      <c r="T39">
        <f>_xll.ciqfunctions.udf.CIQ(A39, "IQ_VALUE_TRADED", F39)</f>
        <v>97.319239999999994</v>
      </c>
    </row>
    <row r="40" spans="1:20" x14ac:dyDescent="0.3">
      <c r="A40" t="s">
        <v>150</v>
      </c>
      <c r="B40">
        <v>2.27</v>
      </c>
      <c r="C40" t="s">
        <v>147</v>
      </c>
      <c r="D40" t="s">
        <v>148</v>
      </c>
      <c r="E40" t="s">
        <v>22</v>
      </c>
      <c r="F40" s="1">
        <v>45296</v>
      </c>
      <c r="G40" t="s">
        <v>149</v>
      </c>
      <c r="H40">
        <v>4</v>
      </c>
      <c r="I40">
        <f>_xll.ciqfunctions.udf.CIQ(A40, "IQ_MARKETCAP", F40)</f>
        <v>273.72136999999998</v>
      </c>
      <c r="J40">
        <f>_xll.ciqfunctions.udf.CIQ(A40, "IQ_PRICE_VOL_HIST_6MTH", F40)</f>
        <v>200.1738</v>
      </c>
      <c r="K40">
        <f>_xll.ciqfunctions.udf.CIQ(A40, "IQ_LASTSALEPRICE", WORKDAY(F40,-1))</f>
        <v>57.75</v>
      </c>
      <c r="L40">
        <f>_xll.ciqfunctions.udf.CIQ(A40, "IQ_LASTSALEPRICE", F40)</f>
        <v>56.75</v>
      </c>
      <c r="M40">
        <f>_xll.ciqfunctions.udf.CIQ(A40, "IQ_LASTSALEPRICE", WORKDAY(F40,5))</f>
        <v>75.5</v>
      </c>
      <c r="N40">
        <f t="shared" si="0"/>
        <v>-1.7467693040390832E-2</v>
      </c>
      <c r="O40">
        <f t="shared" si="1"/>
        <v>0.26800930685307606</v>
      </c>
      <c r="P40">
        <f>LN(_xll.ciqfunctions.udf.CIQ("XBI", "IQ_LASTSALEPRICE", WORKDAY(F40,-1))/_xll.ciqfunctions.udf.CIQ("XBI", "IQ_LASTSALEPRICE", WORKDAY(F40,1)))</f>
        <v>-4.3425645119233747E-2</v>
      </c>
      <c r="Q40">
        <f>LN(_xll.ciqfunctions.udf.CIQ("XBI", "IQ_LASTSALEPRICE", WORKDAY(F40,-1))/_xll.ciqfunctions.udf.CIQ("XBI", "IQ_LASTSALEPRICE", WORKDAY(F40,5)))</f>
        <v>-1.0785671911730877E-2</v>
      </c>
      <c r="R40">
        <f>_xll.ciqfunctions.udf.CIQ(A40, "IQ_SHORT_INTEREST_PERCENT", F40)</f>
        <v>7.0123600000000001</v>
      </c>
      <c r="S40">
        <f>_xll.ciqfunctions.udf.CIQ(A40, "IQ_BETA_1YR_RSQ", F40)</f>
        <v>1.324E-2</v>
      </c>
      <c r="T40">
        <f>_xll.ciqfunctions.udf.CIQ(A40, "IQ_VALUE_TRADED", F40)</f>
        <v>2.0621800000000001</v>
      </c>
    </row>
    <row r="41" spans="1:20" x14ac:dyDescent="0.3">
      <c r="A41" t="s">
        <v>151</v>
      </c>
      <c r="B41">
        <v>2.42</v>
      </c>
      <c r="C41" t="s">
        <v>152</v>
      </c>
      <c r="D41" t="s">
        <v>153</v>
      </c>
      <c r="E41" t="s">
        <v>154</v>
      </c>
      <c r="F41" s="1">
        <v>45296</v>
      </c>
      <c r="G41" t="s">
        <v>155</v>
      </c>
      <c r="H41">
        <v>29</v>
      </c>
      <c r="I41">
        <f>_xll.ciqfunctions.udf.CIQ(A41, "IQ_MARKETCAP", F41)</f>
        <v>44.471739999999997</v>
      </c>
      <c r="J41">
        <f>_xll.ciqfunctions.udf.CIQ(A41, "IQ_PRICE_VOL_HIST_6MTH", F41)</f>
        <v>153.9349</v>
      </c>
      <c r="K41">
        <f>_xll.ciqfunctions.udf.CIQ(A41, "IQ_LASTSALEPRICE", WORKDAY(F41,-1))</f>
        <v>2.5</v>
      </c>
      <c r="L41">
        <f>_xll.ciqfunctions.udf.CIQ(A41, "IQ_LASTSALEPRICE", F41)</f>
        <v>2.42</v>
      </c>
      <c r="M41">
        <f>_xll.ciqfunctions.udf.CIQ(A41, "IQ_LASTSALEPRICE", WORKDAY(F41,5))</f>
        <v>1.92</v>
      </c>
      <c r="N41">
        <f t="shared" si="0"/>
        <v>-3.2523191705560062E-2</v>
      </c>
      <c r="O41">
        <f t="shared" si="1"/>
        <v>-0.26396554583446485</v>
      </c>
      <c r="P41">
        <f>LN(_xll.ciqfunctions.udf.CIQ("XBI", "IQ_LASTSALEPRICE", WORKDAY(F41,-1))/_xll.ciqfunctions.udf.CIQ("XBI", "IQ_LASTSALEPRICE", WORKDAY(F41,1)))</f>
        <v>-4.3425645119233747E-2</v>
      </c>
      <c r="Q41">
        <f>LN(_xll.ciqfunctions.udf.CIQ("XBI", "IQ_LASTSALEPRICE", WORKDAY(F41,-1))/_xll.ciqfunctions.udf.CIQ("XBI", "IQ_LASTSALEPRICE", WORKDAY(F41,5)))</f>
        <v>-1.0785671911730877E-2</v>
      </c>
      <c r="R41">
        <f>_xll.ciqfunctions.udf.CIQ(A41, "IQ_SHORT_INTEREST_PERCENT", F41)</f>
        <v>4.9376800000000003</v>
      </c>
      <c r="S41">
        <f>_xll.ciqfunctions.udf.CIQ(A41, "IQ_BETA_1YR_RSQ", F41)</f>
        <v>0.11582000000000001</v>
      </c>
      <c r="T41">
        <f>_xll.ciqfunctions.udf.CIQ(A41, "IQ_VALUE_TRADED", F41)</f>
        <v>1.86287</v>
      </c>
    </row>
    <row r="42" spans="1:20" x14ac:dyDescent="0.3">
      <c r="A42" t="s">
        <v>156</v>
      </c>
      <c r="B42">
        <v>5.05</v>
      </c>
      <c r="C42" t="s">
        <v>152</v>
      </c>
      <c r="D42" t="s">
        <v>153</v>
      </c>
      <c r="E42" t="s">
        <v>154</v>
      </c>
      <c r="F42" s="1">
        <v>45296</v>
      </c>
      <c r="G42" t="s">
        <v>155</v>
      </c>
      <c r="H42">
        <v>24</v>
      </c>
      <c r="I42">
        <f>_xll.ciqfunctions.udf.CIQ(A42, "IQ_MARKETCAP", F42)</f>
        <v>93.467669999999998</v>
      </c>
      <c r="J42">
        <f>_xll.ciqfunctions.udf.CIQ(A42, "IQ_PRICE_VOL_HIST_6MTH", F42)</f>
        <v>107.65819999999999</v>
      </c>
      <c r="K42">
        <f>_xll.ciqfunctions.udf.CIQ(A42, "IQ_LASTSALEPRICE", WORKDAY(F42,-1))</f>
        <v>4.97</v>
      </c>
      <c r="L42">
        <f>_xll.ciqfunctions.udf.CIQ(A42, "IQ_LASTSALEPRICE", F42)</f>
        <v>5.05</v>
      </c>
      <c r="M42">
        <f>_xll.ciqfunctions.udf.CIQ(A42, "IQ_LASTSALEPRICE", WORKDAY(F42,5))</f>
        <v>4.82</v>
      </c>
      <c r="N42">
        <f t="shared" si="0"/>
        <v>1.5968403178731203E-2</v>
      </c>
      <c r="O42">
        <f t="shared" si="1"/>
        <v>-3.0645912046028283E-2</v>
      </c>
      <c r="P42">
        <f>LN(_xll.ciqfunctions.udf.CIQ("XBI", "IQ_LASTSALEPRICE", WORKDAY(F42,-1))/_xll.ciqfunctions.udf.CIQ("XBI", "IQ_LASTSALEPRICE", WORKDAY(F42,1)))</f>
        <v>-4.3425645119233747E-2</v>
      </c>
      <c r="Q42">
        <f>LN(_xll.ciqfunctions.udf.CIQ("XBI", "IQ_LASTSALEPRICE", WORKDAY(F42,-1))/_xll.ciqfunctions.udf.CIQ("XBI", "IQ_LASTSALEPRICE", WORKDAY(F42,5)))</f>
        <v>-1.0785671911730877E-2</v>
      </c>
      <c r="R42">
        <f>_xll.ciqfunctions.udf.CIQ(A42, "IQ_SHORT_INTEREST_PERCENT", F42)</f>
        <v>0.94106999999999996</v>
      </c>
      <c r="S42">
        <f>_xll.ciqfunctions.udf.CIQ(A42, "IQ_BETA_1YR_RSQ", F42)</f>
        <v>1.9400000000000001E-2</v>
      </c>
      <c r="T42">
        <f>_xll.ciqfunctions.udf.CIQ(A42, "IQ_VALUE_TRADED", F42)</f>
        <v>1.5542100000000001</v>
      </c>
    </row>
    <row r="43" spans="1:20" x14ac:dyDescent="0.3">
      <c r="A43" t="s">
        <v>157</v>
      </c>
      <c r="B43">
        <v>0</v>
      </c>
      <c r="C43" t="s">
        <v>158</v>
      </c>
      <c r="D43" t="s">
        <v>159</v>
      </c>
      <c r="E43" t="s">
        <v>160</v>
      </c>
      <c r="F43" s="1">
        <v>45296</v>
      </c>
      <c r="G43" t="s">
        <v>161</v>
      </c>
      <c r="H43">
        <v>28</v>
      </c>
      <c r="I43">
        <f>_xll.ciqfunctions.udf.CIQ(A43, "IQ_MARKETCAP", F43)</f>
        <v>185834.18226999999</v>
      </c>
      <c r="J43">
        <f>_xll.ciqfunctions.udf.CIQ(A43, "IQ_PRICE_VOL_HIST_6MTH", F43)</f>
        <v>17.9254</v>
      </c>
      <c r="K43">
        <f>_xll.ciqfunctions.udf.CIQ(A43, "IQ_LASTSALEPRICE", WORKDAY(F43,-1))</f>
        <v>89.84</v>
      </c>
      <c r="L43">
        <f>_xll.ciqfunctions.udf.CIQ(A43, "IQ_LASTSALEPRICE", F43)</f>
        <v>90.41</v>
      </c>
      <c r="M43">
        <f>_xll.ciqfunctions.udf.CIQ(A43, "IQ_LASTSALEPRICE", WORKDAY(F43,5))</f>
        <v>91.43</v>
      </c>
      <c r="N43">
        <f t="shared" si="0"/>
        <v>6.3245703190871749E-3</v>
      </c>
      <c r="O43">
        <f t="shared" si="1"/>
        <v>1.7543341746147478E-2</v>
      </c>
      <c r="P43">
        <f>LN(_xll.ciqfunctions.udf.CIQ("XBI", "IQ_LASTSALEPRICE", WORKDAY(F43,-1))/_xll.ciqfunctions.udf.CIQ("XBI", "IQ_LASTSALEPRICE", WORKDAY(F43,1)))</f>
        <v>-4.3425645119233747E-2</v>
      </c>
      <c r="Q43">
        <f>LN(_xll.ciqfunctions.udf.CIQ("XBI", "IQ_LASTSALEPRICE", WORKDAY(F43,-1))/_xll.ciqfunctions.udf.CIQ("XBI", "IQ_LASTSALEPRICE", WORKDAY(F43,5)))</f>
        <v>-1.0785671911730877E-2</v>
      </c>
      <c r="R43">
        <f>_xll.ciqfunctions.udf.CIQ(A43, "IQ_SHORT_INTEREST_PERCENT", F43)</f>
        <v>0</v>
      </c>
      <c r="S43">
        <f>_xll.ciqfunctions.udf.CIQ(A43, "IQ_BETA_1YR_RSQ", F43)</f>
        <v>3.5589999999999997E-2</v>
      </c>
      <c r="T43">
        <f>_xll.ciqfunctions.udf.CIQ(A43, "IQ_VALUE_TRADED", F43)</f>
        <v>239.20642000000001</v>
      </c>
    </row>
    <row r="44" spans="1:20" x14ac:dyDescent="0.3">
      <c r="A44" t="s">
        <v>162</v>
      </c>
      <c r="B44">
        <v>70.83</v>
      </c>
      <c r="C44" t="s">
        <v>158</v>
      </c>
      <c r="D44" t="s">
        <v>159</v>
      </c>
      <c r="E44" t="s">
        <v>160</v>
      </c>
      <c r="F44" s="1">
        <v>45296</v>
      </c>
      <c r="G44" t="s">
        <v>161</v>
      </c>
      <c r="H44">
        <v>19</v>
      </c>
      <c r="I44">
        <f>_xll.ciqfunctions.udf.CIQ(A44, "IQ_MARKETCAP", F44)</f>
        <v>1234.98891</v>
      </c>
      <c r="J44">
        <f>_xll.ciqfunctions.udf.CIQ(A44, "IQ_PRICE_VOL_HIST_6MTH", F44)</f>
        <v>29.513500000000001</v>
      </c>
      <c r="K44">
        <f>_xll.ciqfunctions.udf.CIQ(A44, "IQ_LASTSALEPRICE", WORKDAY(F44,-1))</f>
        <v>70.36</v>
      </c>
      <c r="L44">
        <f>_xll.ciqfunctions.udf.CIQ(A44, "IQ_LASTSALEPRICE", F44)</f>
        <v>70.83</v>
      </c>
      <c r="M44">
        <f>_xll.ciqfunctions.udf.CIQ(A44, "IQ_LASTSALEPRICE", WORKDAY(F44,5))</f>
        <v>72.599999999999994</v>
      </c>
      <c r="N44">
        <f t="shared" si="0"/>
        <v>6.6577198961738637E-3</v>
      </c>
      <c r="O44">
        <f t="shared" si="1"/>
        <v>3.1340001961392999E-2</v>
      </c>
      <c r="P44">
        <f>LN(_xll.ciqfunctions.udf.CIQ("XBI", "IQ_LASTSALEPRICE", WORKDAY(F44,-1))/_xll.ciqfunctions.udf.CIQ("XBI", "IQ_LASTSALEPRICE", WORKDAY(F44,1)))</f>
        <v>-4.3425645119233747E-2</v>
      </c>
      <c r="Q44">
        <f>LN(_xll.ciqfunctions.udf.CIQ("XBI", "IQ_LASTSALEPRICE", WORKDAY(F44,-1))/_xll.ciqfunctions.udf.CIQ("XBI", "IQ_LASTSALEPRICE", WORKDAY(F44,5)))</f>
        <v>-1.0785671911730877E-2</v>
      </c>
      <c r="R44">
        <f>_xll.ciqfunctions.udf.CIQ(A44, "IQ_SHORT_INTEREST_PERCENT", F44)</f>
        <v>5.1248699999999996</v>
      </c>
      <c r="S44">
        <f>_xll.ciqfunctions.udf.CIQ(A44, "IQ_BETA_1YR_RSQ", F44)</f>
        <v>0.41389999999999999</v>
      </c>
      <c r="T44">
        <f>_xll.ciqfunctions.udf.CIQ(A44, "IQ_VALUE_TRADED", F44)</f>
        <v>9.8870900000000006</v>
      </c>
    </row>
    <row r="45" spans="1:20" x14ac:dyDescent="0.3">
      <c r="A45" t="s">
        <v>163</v>
      </c>
      <c r="B45" t="s">
        <v>43</v>
      </c>
      <c r="C45" t="s">
        <v>158</v>
      </c>
      <c r="D45" t="s">
        <v>159</v>
      </c>
      <c r="E45" t="s">
        <v>160</v>
      </c>
      <c r="F45" s="1">
        <v>45296</v>
      </c>
      <c r="G45" t="s">
        <v>161</v>
      </c>
      <c r="H45">
        <v>3</v>
      </c>
      <c r="I45">
        <f>_xll.ciqfunctions.udf.CIQ(A45, "IQ_MARKETCAP", F45)</f>
        <v>0</v>
      </c>
      <c r="J45">
        <f>_xll.ciqfunctions.udf.CIQ(A45, "IQ_PRICE_VOL_HIST_6MTH", F45)</f>
        <v>0</v>
      </c>
      <c r="K45">
        <f>_xll.ciqfunctions.udf.CIQ(A45, "IQ_LASTSALEPRICE", WORKDAY(F45,-1))</f>
        <v>0</v>
      </c>
      <c r="L45">
        <f>_xll.ciqfunctions.udf.CIQ(A45, "IQ_LASTSALEPRICE", F45)</f>
        <v>0</v>
      </c>
      <c r="M45">
        <f>_xll.ciqfunctions.udf.CIQ(A45, "IQ_LASTSALEPRICE", WORKDAY(F45,5))</f>
        <v>0</v>
      </c>
      <c r="N45" t="e">
        <f t="shared" si="0"/>
        <v>#DIV/0!</v>
      </c>
      <c r="O45" t="e">
        <f t="shared" si="1"/>
        <v>#DIV/0!</v>
      </c>
      <c r="P45">
        <f>LN(_xll.ciqfunctions.udf.CIQ("XBI", "IQ_LASTSALEPRICE", WORKDAY(F45,-1))/_xll.ciqfunctions.udf.CIQ("XBI", "IQ_LASTSALEPRICE", WORKDAY(F45,1)))</f>
        <v>-4.3425645119233747E-2</v>
      </c>
      <c r="Q45">
        <f>LN(_xll.ciqfunctions.udf.CIQ("XBI", "IQ_LASTSALEPRICE", WORKDAY(F45,-1))/_xll.ciqfunctions.udf.CIQ("XBI", "IQ_LASTSALEPRICE", WORKDAY(F45,5)))</f>
        <v>-1.0785671911730877E-2</v>
      </c>
      <c r="R45">
        <f>_xll.ciqfunctions.udf.CIQ(A45, "IQ_SHORT_INTEREST_PERCENT", F45)</f>
        <v>0</v>
      </c>
      <c r="S45">
        <f>_xll.ciqfunctions.udf.CIQ(A45, "IQ_BETA_1YR_RSQ", F45)</f>
        <v>0</v>
      </c>
      <c r="T45">
        <f>_xll.ciqfunctions.udf.CIQ(A45, "IQ_VALUE_TRADED", F45)</f>
        <v>0</v>
      </c>
    </row>
    <row r="46" spans="1:20" x14ac:dyDescent="0.3">
      <c r="A46" t="s">
        <v>164</v>
      </c>
      <c r="B46">
        <v>1.36</v>
      </c>
      <c r="C46" t="s">
        <v>165</v>
      </c>
      <c r="D46" t="s">
        <v>104</v>
      </c>
      <c r="E46" t="s">
        <v>22</v>
      </c>
      <c r="F46" s="1">
        <v>45299</v>
      </c>
      <c r="G46" t="s">
        <v>166</v>
      </c>
      <c r="H46">
        <v>5</v>
      </c>
      <c r="I46">
        <f>_xll.ciqfunctions.udf.CIQ(A46, "IQ_MARKETCAP", F46)</f>
        <v>29.077559999999998</v>
      </c>
      <c r="J46">
        <f>_xll.ciqfunctions.udf.CIQ(A46, "IQ_PRICE_VOL_HIST_6MTH", F46)</f>
        <v>95.429599999999994</v>
      </c>
      <c r="K46">
        <f>_xll.ciqfunctions.udf.CIQ(A46, "IQ_LASTSALEPRICE", WORKDAY(F46,-1))</f>
        <v>23.6</v>
      </c>
      <c r="L46">
        <f>_xll.ciqfunctions.udf.CIQ(A46, "IQ_LASTSALEPRICE", F46)</f>
        <v>27.2</v>
      </c>
      <c r="M46">
        <f>_xll.ciqfunctions.udf.CIQ(A46, "IQ_LASTSALEPRICE", WORKDAY(F46,5))</f>
        <v>27.4</v>
      </c>
      <c r="N46">
        <f t="shared" si="0"/>
        <v>0.14197026127038709</v>
      </c>
      <c r="O46">
        <f t="shared" si="1"/>
        <v>0.14929630136245997</v>
      </c>
      <c r="P46">
        <f>LN(_xll.ciqfunctions.udf.CIQ("XBI", "IQ_LASTSALEPRICE", WORKDAY(F46,-1))/_xll.ciqfunctions.udf.CIQ("XBI", "IQ_LASTSALEPRICE", WORKDAY(F46,1)))</f>
        <v>-4.7028895601092947E-2</v>
      </c>
      <c r="Q46">
        <f>LN(_xll.ciqfunctions.udf.CIQ("XBI", "IQ_LASTSALEPRICE", WORKDAY(F46,-1))/_xll.ciqfunctions.udf.CIQ("XBI", "IQ_LASTSALEPRICE", WORKDAY(F46,5)))</f>
        <v>-1.2463993984005805E-2</v>
      </c>
      <c r="R46">
        <f>_xll.ciqfunctions.udf.CIQ(A46, "IQ_SHORT_INTEREST_PERCENT", F46)</f>
        <v>0.57628999999999997</v>
      </c>
      <c r="S46">
        <f>_xll.ciqfunctions.udf.CIQ(A46, "IQ_BETA_1YR_RSQ", F46)</f>
        <v>2.2009999999999998E-2</v>
      </c>
      <c r="T46">
        <f>_xll.ciqfunctions.udf.CIQ(A46, "IQ_VALUE_TRADED", F46)</f>
        <v>31.693110000000001</v>
      </c>
    </row>
    <row r="47" spans="1:20" x14ac:dyDescent="0.3">
      <c r="A47" t="s">
        <v>164</v>
      </c>
      <c r="B47">
        <v>1.36</v>
      </c>
      <c r="C47" t="s">
        <v>167</v>
      </c>
      <c r="D47" t="s">
        <v>168</v>
      </c>
      <c r="E47" t="s">
        <v>22</v>
      </c>
      <c r="F47" s="1">
        <v>45299</v>
      </c>
      <c r="G47" t="s">
        <v>169</v>
      </c>
      <c r="H47">
        <v>5</v>
      </c>
      <c r="I47">
        <f>_xll.ciqfunctions.udf.CIQ(A47, "IQ_MARKETCAP", F47)</f>
        <v>29.077559999999998</v>
      </c>
      <c r="J47">
        <f>_xll.ciqfunctions.udf.CIQ(A47, "IQ_PRICE_VOL_HIST_6MTH", F47)</f>
        <v>95.429599999999994</v>
      </c>
      <c r="K47">
        <f>_xll.ciqfunctions.udf.CIQ(A47, "IQ_LASTSALEPRICE", WORKDAY(F47,-1))</f>
        <v>23.6</v>
      </c>
      <c r="L47">
        <f>_xll.ciqfunctions.udf.CIQ(A47, "IQ_LASTSALEPRICE", F47)</f>
        <v>27.2</v>
      </c>
      <c r="M47">
        <f>_xll.ciqfunctions.udf.CIQ(A47, "IQ_LASTSALEPRICE", WORKDAY(F47,5))</f>
        <v>27.4</v>
      </c>
      <c r="N47">
        <f t="shared" si="0"/>
        <v>0.14197026127038709</v>
      </c>
      <c r="O47">
        <f t="shared" si="1"/>
        <v>0.14929630136245997</v>
      </c>
      <c r="P47">
        <f>LN(_xll.ciqfunctions.udf.CIQ("XBI", "IQ_LASTSALEPRICE", WORKDAY(F47,-1))/_xll.ciqfunctions.udf.CIQ("XBI", "IQ_LASTSALEPRICE", WORKDAY(F47,1)))</f>
        <v>-4.7028895601092947E-2</v>
      </c>
      <c r="Q47">
        <f>LN(_xll.ciqfunctions.udf.CIQ("XBI", "IQ_LASTSALEPRICE", WORKDAY(F47,-1))/_xll.ciqfunctions.udf.CIQ("XBI", "IQ_LASTSALEPRICE", WORKDAY(F47,5)))</f>
        <v>-1.2463993984005805E-2</v>
      </c>
      <c r="R47">
        <f>_xll.ciqfunctions.udf.CIQ(A47, "IQ_SHORT_INTEREST_PERCENT", F47)</f>
        <v>0.57628999999999997</v>
      </c>
      <c r="S47">
        <f>_xll.ciqfunctions.udf.CIQ(A47, "IQ_BETA_1YR_RSQ", F47)</f>
        <v>2.2009999999999998E-2</v>
      </c>
      <c r="T47">
        <f>_xll.ciqfunctions.udf.CIQ(A47, "IQ_VALUE_TRADED", F47)</f>
        <v>31.693110000000001</v>
      </c>
    </row>
    <row r="48" spans="1:20" x14ac:dyDescent="0.3">
      <c r="A48" t="s">
        <v>164</v>
      </c>
      <c r="B48">
        <v>1.36</v>
      </c>
      <c r="C48" t="s">
        <v>170</v>
      </c>
      <c r="D48" t="s">
        <v>171</v>
      </c>
      <c r="E48" t="s">
        <v>22</v>
      </c>
      <c r="F48" s="1">
        <v>45299</v>
      </c>
      <c r="G48" t="s">
        <v>172</v>
      </c>
      <c r="H48">
        <v>5</v>
      </c>
      <c r="I48">
        <f>_xll.ciqfunctions.udf.CIQ(A48, "IQ_MARKETCAP", F48)</f>
        <v>29.077559999999998</v>
      </c>
      <c r="J48">
        <f>_xll.ciqfunctions.udf.CIQ(A48, "IQ_PRICE_VOL_HIST_6MTH", F48)</f>
        <v>95.429599999999994</v>
      </c>
      <c r="K48">
        <f>_xll.ciqfunctions.udf.CIQ(A48, "IQ_LASTSALEPRICE", WORKDAY(F48,-1))</f>
        <v>23.6</v>
      </c>
      <c r="L48">
        <f>_xll.ciqfunctions.udf.CIQ(A48, "IQ_LASTSALEPRICE", F48)</f>
        <v>27.2</v>
      </c>
      <c r="M48">
        <f>_xll.ciqfunctions.udf.CIQ(A48, "IQ_LASTSALEPRICE", WORKDAY(F48,5))</f>
        <v>27.4</v>
      </c>
      <c r="N48">
        <f t="shared" si="0"/>
        <v>0.14197026127038709</v>
      </c>
      <c r="O48">
        <f t="shared" si="1"/>
        <v>0.14929630136245997</v>
      </c>
      <c r="P48">
        <f>LN(_xll.ciqfunctions.udf.CIQ("XBI", "IQ_LASTSALEPRICE", WORKDAY(F48,-1))/_xll.ciqfunctions.udf.CIQ("XBI", "IQ_LASTSALEPRICE", WORKDAY(F48,1)))</f>
        <v>-4.7028895601092947E-2</v>
      </c>
      <c r="Q48">
        <f>LN(_xll.ciqfunctions.udf.CIQ("XBI", "IQ_LASTSALEPRICE", WORKDAY(F48,-1))/_xll.ciqfunctions.udf.CIQ("XBI", "IQ_LASTSALEPRICE", WORKDAY(F48,5)))</f>
        <v>-1.2463993984005805E-2</v>
      </c>
      <c r="R48">
        <f>_xll.ciqfunctions.udf.CIQ(A48, "IQ_SHORT_INTEREST_PERCENT", F48)</f>
        <v>0.57628999999999997</v>
      </c>
      <c r="S48">
        <f>_xll.ciqfunctions.udf.CIQ(A48, "IQ_BETA_1YR_RSQ", F48)</f>
        <v>2.2009999999999998E-2</v>
      </c>
      <c r="T48">
        <f>_xll.ciqfunctions.udf.CIQ(A48, "IQ_VALUE_TRADED", F48)</f>
        <v>31.693110000000001</v>
      </c>
    </row>
    <row r="49" spans="1:20" x14ac:dyDescent="0.3">
      <c r="A49" t="s">
        <v>173</v>
      </c>
      <c r="B49">
        <v>413.29</v>
      </c>
      <c r="C49" t="s">
        <v>174</v>
      </c>
      <c r="D49" t="s">
        <v>175</v>
      </c>
      <c r="E49" t="s">
        <v>76</v>
      </c>
      <c r="F49" s="1">
        <v>45299</v>
      </c>
      <c r="G49" t="s">
        <v>176</v>
      </c>
      <c r="H49">
        <v>60</v>
      </c>
      <c r="I49">
        <f>_xll.ciqfunctions.udf.CIQ(A49, "IQ_MARKETCAP", F49)</f>
        <v>21610.925179999998</v>
      </c>
      <c r="J49">
        <f>_xll.ciqfunctions.udf.CIQ(A49, "IQ_PRICE_VOL_HIST_6MTH", F49)</f>
        <v>66.004599999999996</v>
      </c>
      <c r="K49">
        <f>_xll.ciqfunctions.udf.CIQ(A49, "IQ_LASTSALEPRICE", WORKDAY(F49,-1))</f>
        <v>353</v>
      </c>
      <c r="L49">
        <f>_xll.ciqfunctions.udf.CIQ(A49, "IQ_LASTSALEPRICE", F49)</f>
        <v>365.8</v>
      </c>
      <c r="M49">
        <f>_xll.ciqfunctions.udf.CIQ(A49, "IQ_LASTSALEPRICE", WORKDAY(F49,5))</f>
        <v>348</v>
      </c>
      <c r="N49">
        <f t="shared" si="0"/>
        <v>3.5618679023468575E-2</v>
      </c>
      <c r="O49">
        <f t="shared" si="1"/>
        <v>-1.4265577158822458E-2</v>
      </c>
      <c r="P49">
        <f>LN(_xll.ciqfunctions.udf.CIQ("XBI", "IQ_LASTSALEPRICE", WORKDAY(F49,-1))/_xll.ciqfunctions.udf.CIQ("XBI", "IQ_LASTSALEPRICE", WORKDAY(F49,1)))</f>
        <v>-4.7028895601092947E-2</v>
      </c>
      <c r="Q49">
        <f>LN(_xll.ciqfunctions.udf.CIQ("XBI", "IQ_LASTSALEPRICE", WORKDAY(F49,-1))/_xll.ciqfunctions.udf.CIQ("XBI", "IQ_LASTSALEPRICE", WORKDAY(F49,5)))</f>
        <v>-1.2463993984005805E-2</v>
      </c>
      <c r="R49">
        <f>_xll.ciqfunctions.udf.CIQ(A49, "IQ_SHORT_INTEREST_PERCENT", F49)</f>
        <v>0</v>
      </c>
      <c r="S49">
        <f>_xll.ciqfunctions.udf.CIQ(A49, "IQ_BETA_1YR_RSQ", F49)</f>
        <v>6.4000000000000005E-4</v>
      </c>
      <c r="T49">
        <f>_xll.ciqfunctions.udf.CIQ(A49, "IQ_VALUE_TRADED", F49)</f>
        <v>21.218959999999999</v>
      </c>
    </row>
    <row r="50" spans="1:20" x14ac:dyDescent="0.3">
      <c r="A50" t="s">
        <v>177</v>
      </c>
      <c r="B50">
        <v>4.18</v>
      </c>
      <c r="C50" t="s">
        <v>178</v>
      </c>
      <c r="D50" t="s">
        <v>179</v>
      </c>
      <c r="E50" t="s">
        <v>89</v>
      </c>
      <c r="F50" s="1">
        <v>45299</v>
      </c>
      <c r="G50" t="s">
        <v>180</v>
      </c>
      <c r="H50">
        <v>149</v>
      </c>
      <c r="I50">
        <f>_xll.ciqfunctions.udf.CIQ(A50, "IQ_MARKETCAP", F50)</f>
        <v>388.48282999999998</v>
      </c>
      <c r="J50">
        <f>_xll.ciqfunctions.udf.CIQ(A50, "IQ_PRICE_VOL_HIST_6MTH", F50)</f>
        <v>99.695499999999996</v>
      </c>
      <c r="K50">
        <f>_xll.ciqfunctions.udf.CIQ(A50, "IQ_LASTSALEPRICE", WORKDAY(F50,-1))</f>
        <v>3.62</v>
      </c>
      <c r="L50">
        <f>_xll.ciqfunctions.udf.CIQ(A50, "IQ_LASTSALEPRICE", F50)</f>
        <v>4.18</v>
      </c>
      <c r="M50">
        <f>_xll.ciqfunctions.udf.CIQ(A50, "IQ_LASTSALEPRICE", WORKDAY(F50,5))</f>
        <v>3.99</v>
      </c>
      <c r="N50">
        <f t="shared" si="0"/>
        <v>0.14383722069898511</v>
      </c>
      <c r="O50">
        <f t="shared" si="1"/>
        <v>9.7317205064092513E-2</v>
      </c>
      <c r="P50">
        <f>LN(_xll.ciqfunctions.udf.CIQ("XBI", "IQ_LASTSALEPRICE", WORKDAY(F50,-1))/_xll.ciqfunctions.udf.CIQ("XBI", "IQ_LASTSALEPRICE", WORKDAY(F50,1)))</f>
        <v>-4.7028895601092947E-2</v>
      </c>
      <c r="Q50">
        <f>LN(_xll.ciqfunctions.udf.CIQ("XBI", "IQ_LASTSALEPRICE", WORKDAY(F50,-1))/_xll.ciqfunctions.udf.CIQ("XBI", "IQ_LASTSALEPRICE", WORKDAY(F50,5)))</f>
        <v>-1.2463993984005805E-2</v>
      </c>
      <c r="R50">
        <f>_xll.ciqfunctions.udf.CIQ(A50, "IQ_SHORT_INTEREST_PERCENT", F50)</f>
        <v>2.2006600000000001</v>
      </c>
      <c r="S50">
        <f>_xll.ciqfunctions.udf.CIQ(A50, "IQ_BETA_1YR_RSQ", F50)</f>
        <v>0.22448000000000001</v>
      </c>
      <c r="T50">
        <f>_xll.ciqfunctions.udf.CIQ(A50, "IQ_VALUE_TRADED", F50)</f>
        <v>6.2763799999999996</v>
      </c>
    </row>
    <row r="51" spans="1:20" x14ac:dyDescent="0.3">
      <c r="A51" t="s">
        <v>181</v>
      </c>
      <c r="B51">
        <v>0.56000000000000005</v>
      </c>
      <c r="C51" t="s">
        <v>182</v>
      </c>
      <c r="D51" t="s">
        <v>183</v>
      </c>
      <c r="E51" t="s">
        <v>184</v>
      </c>
      <c r="F51" s="1">
        <v>45299</v>
      </c>
      <c r="G51" t="s">
        <v>185</v>
      </c>
      <c r="H51">
        <v>14</v>
      </c>
      <c r="I51">
        <f>_xll.ciqfunctions.udf.CIQ(A51, "IQ_MARKETCAP", F51)</f>
        <v>77.844449999999995</v>
      </c>
      <c r="J51">
        <f>_xll.ciqfunctions.udf.CIQ(A51, "IQ_PRICE_VOL_HIST_6MTH", F51)</f>
        <v>90.186599999999999</v>
      </c>
      <c r="K51">
        <f>_xll.ciqfunctions.udf.CIQ(A51, "IQ_LASTSALEPRICE", WORKDAY(F51,-1))</f>
        <v>5.86</v>
      </c>
      <c r="L51">
        <f>_xll.ciqfunctions.udf.CIQ(A51, "IQ_LASTSALEPRICE", F51)</f>
        <v>5.58</v>
      </c>
      <c r="M51">
        <f>_xll.ciqfunctions.udf.CIQ(A51, "IQ_LASTSALEPRICE", WORKDAY(F51,5))</f>
        <v>4.5919999999999996</v>
      </c>
      <c r="N51">
        <f t="shared" si="0"/>
        <v>-4.8960827195701724E-2</v>
      </c>
      <c r="O51">
        <f t="shared" si="1"/>
        <v>-0.24383394457165611</v>
      </c>
      <c r="P51">
        <f>LN(_xll.ciqfunctions.udf.CIQ("XBI", "IQ_LASTSALEPRICE", WORKDAY(F51,-1))/_xll.ciqfunctions.udf.CIQ("XBI", "IQ_LASTSALEPRICE", WORKDAY(F51,1)))</f>
        <v>-4.7028895601092947E-2</v>
      </c>
      <c r="Q51">
        <f>LN(_xll.ciqfunctions.udf.CIQ("XBI", "IQ_LASTSALEPRICE", WORKDAY(F51,-1))/_xll.ciqfunctions.udf.CIQ("XBI", "IQ_LASTSALEPRICE", WORKDAY(F51,5)))</f>
        <v>-1.2463993984005805E-2</v>
      </c>
      <c r="R51">
        <f>_xll.ciqfunctions.udf.CIQ(A51, "IQ_SHORT_INTEREST_PERCENT", F51)</f>
        <v>9.0054800000000004</v>
      </c>
      <c r="S51">
        <f>_xll.ciqfunctions.udf.CIQ(A51, "IQ_BETA_1YR_RSQ", F51)</f>
        <v>8.94E-3</v>
      </c>
      <c r="T51">
        <f>_xll.ciqfunctions.udf.CIQ(A51, "IQ_VALUE_TRADED", F51)</f>
        <v>1.07315</v>
      </c>
    </row>
    <row r="52" spans="1:20" x14ac:dyDescent="0.3">
      <c r="A52" t="s">
        <v>186</v>
      </c>
      <c r="B52">
        <v>1.28</v>
      </c>
      <c r="C52" t="s">
        <v>187</v>
      </c>
      <c r="D52" t="s">
        <v>188</v>
      </c>
      <c r="E52" t="s">
        <v>22</v>
      </c>
      <c r="F52" s="1">
        <v>45299</v>
      </c>
      <c r="G52" t="s">
        <v>189</v>
      </c>
      <c r="H52">
        <v>4</v>
      </c>
      <c r="I52">
        <f>_xll.ciqfunctions.udf.CIQ(A52, "IQ_MARKETCAP", F52)</f>
        <v>13.205</v>
      </c>
      <c r="J52">
        <f>_xll.ciqfunctions.udf.CIQ(A52, "IQ_PRICE_VOL_HIST_6MTH", F52)</f>
        <v>0</v>
      </c>
      <c r="K52">
        <f>_xll.ciqfunctions.udf.CIQ(A52, "IQ_LASTSALEPRICE", WORKDAY(F52,-1))</f>
        <v>0</v>
      </c>
      <c r="L52">
        <f>_xll.ciqfunctions.udf.CIQ(A52, "IQ_LASTSALEPRICE", F52)</f>
        <v>0</v>
      </c>
      <c r="M52">
        <f>_xll.ciqfunctions.udf.CIQ(A52, "IQ_LASTSALEPRICE", WORKDAY(F52,5))</f>
        <v>0</v>
      </c>
      <c r="N52" t="e">
        <f t="shared" si="0"/>
        <v>#DIV/0!</v>
      </c>
      <c r="O52" t="e">
        <f t="shared" si="1"/>
        <v>#DIV/0!</v>
      </c>
      <c r="P52">
        <f>LN(_xll.ciqfunctions.udf.CIQ("XBI", "IQ_LASTSALEPRICE", WORKDAY(F52,-1))/_xll.ciqfunctions.udf.CIQ("XBI", "IQ_LASTSALEPRICE", WORKDAY(F52,1)))</f>
        <v>-4.7028895601092947E-2</v>
      </c>
      <c r="Q52">
        <f>LN(_xll.ciqfunctions.udf.CIQ("XBI", "IQ_LASTSALEPRICE", WORKDAY(F52,-1))/_xll.ciqfunctions.udf.CIQ("XBI", "IQ_LASTSALEPRICE", WORKDAY(F52,5)))</f>
        <v>-1.2463993984005805E-2</v>
      </c>
      <c r="R52">
        <f>_xll.ciqfunctions.udf.CIQ(A52, "IQ_SHORT_INTEREST_PERCENT", F52)</f>
        <v>0</v>
      </c>
      <c r="S52">
        <f>_xll.ciqfunctions.udf.CIQ(A52, "IQ_BETA_1YR_RSQ", F52)</f>
        <v>0</v>
      </c>
      <c r="T52">
        <f>_xll.ciqfunctions.udf.CIQ(A52, "IQ_VALUE_TRADED", F52)</f>
        <v>0</v>
      </c>
    </row>
    <row r="53" spans="1:20" x14ac:dyDescent="0.3">
      <c r="A53" t="s">
        <v>190</v>
      </c>
      <c r="B53">
        <v>11.39</v>
      </c>
      <c r="C53" t="s">
        <v>191</v>
      </c>
      <c r="D53" t="s">
        <v>192</v>
      </c>
      <c r="E53" t="s">
        <v>76</v>
      </c>
      <c r="F53" s="1">
        <v>45299</v>
      </c>
      <c r="G53" t="s">
        <v>193</v>
      </c>
      <c r="H53">
        <v>88</v>
      </c>
      <c r="I53">
        <f>_xll.ciqfunctions.udf.CIQ(A53, "IQ_MARKETCAP", F53)</f>
        <v>611.97184000000004</v>
      </c>
      <c r="J53">
        <f>_xll.ciqfunctions.udf.CIQ(A53, "IQ_PRICE_VOL_HIST_6MTH", F53)</f>
        <v>100.77549999999999</v>
      </c>
      <c r="K53">
        <f>_xll.ciqfunctions.udf.CIQ(A53, "IQ_LASTSALEPRICE", WORKDAY(F53,-1))</f>
        <v>11.19</v>
      </c>
      <c r="L53">
        <f>_xll.ciqfunctions.udf.CIQ(A53, "IQ_LASTSALEPRICE", F53)</f>
        <v>11.39</v>
      </c>
      <c r="M53">
        <f>_xll.ciqfunctions.udf.CIQ(A53, "IQ_LASTSALEPRICE", WORKDAY(F53,5))</f>
        <v>12</v>
      </c>
      <c r="N53">
        <f t="shared" si="0"/>
        <v>1.7715255135256992E-2</v>
      </c>
      <c r="O53">
        <f t="shared" si="1"/>
        <v>6.9886127464166489E-2</v>
      </c>
      <c r="P53">
        <f>LN(_xll.ciqfunctions.udf.CIQ("XBI", "IQ_LASTSALEPRICE", WORKDAY(F53,-1))/_xll.ciqfunctions.udf.CIQ("XBI", "IQ_LASTSALEPRICE", WORKDAY(F53,1)))</f>
        <v>-4.7028895601092947E-2</v>
      </c>
      <c r="Q53">
        <f>LN(_xll.ciqfunctions.udf.CIQ("XBI", "IQ_LASTSALEPRICE", WORKDAY(F53,-1))/_xll.ciqfunctions.udf.CIQ("XBI", "IQ_LASTSALEPRICE", WORKDAY(F53,5)))</f>
        <v>-1.2463993984005805E-2</v>
      </c>
      <c r="R53">
        <f>_xll.ciqfunctions.udf.CIQ(A53, "IQ_SHORT_INTEREST_PERCENT", F53)</f>
        <v>20.647369999999999</v>
      </c>
      <c r="S53">
        <f>_xll.ciqfunctions.udf.CIQ(A53, "IQ_BETA_1YR_RSQ", F53)</f>
        <v>3.1519999999999999E-2</v>
      </c>
      <c r="T53">
        <f>_xll.ciqfunctions.udf.CIQ(A53, "IQ_VALUE_TRADED", F53)</f>
        <v>93.505129999999994</v>
      </c>
    </row>
    <row r="54" spans="1:20" x14ac:dyDescent="0.3">
      <c r="A54" t="s">
        <v>194</v>
      </c>
      <c r="B54">
        <v>3.2</v>
      </c>
      <c r="C54" t="s">
        <v>195</v>
      </c>
      <c r="D54" t="s">
        <v>196</v>
      </c>
      <c r="E54" t="s">
        <v>197</v>
      </c>
      <c r="F54" s="1">
        <v>45299</v>
      </c>
      <c r="G54" t="s">
        <v>198</v>
      </c>
      <c r="H54">
        <v>3</v>
      </c>
      <c r="I54">
        <f>_xll.ciqfunctions.udf.CIQ(A54, "IQ_MARKETCAP", F54)</f>
        <v>39.322600000000001</v>
      </c>
      <c r="J54">
        <f>_xll.ciqfunctions.udf.CIQ(A54, "IQ_PRICE_VOL_HIST_6MTH", F54)</f>
        <v>83.713399999999993</v>
      </c>
      <c r="K54">
        <f>_xll.ciqfunctions.udf.CIQ(A54, "IQ_LASTSALEPRICE", WORKDAY(F54,-1))</f>
        <v>81.300079999999994</v>
      </c>
      <c r="L54">
        <f>_xll.ciqfunctions.udf.CIQ(A54, "IQ_LASTSALEPRICE", F54)</f>
        <v>96.000100000000003</v>
      </c>
      <c r="M54">
        <f>_xll.ciqfunctions.udf.CIQ(A54, "IQ_LASTSALEPRICE", WORKDAY(F54,5))</f>
        <v>105.30011</v>
      </c>
      <c r="N54">
        <f t="shared" si="0"/>
        <v>0.16620223257083969</v>
      </c>
      <c r="O54">
        <f t="shared" si="1"/>
        <v>0.25866746321064138</v>
      </c>
      <c r="P54">
        <f>LN(_xll.ciqfunctions.udf.CIQ("XBI", "IQ_LASTSALEPRICE", WORKDAY(F54,-1))/_xll.ciqfunctions.udf.CIQ("XBI", "IQ_LASTSALEPRICE", WORKDAY(F54,1)))</f>
        <v>-4.7028895601092947E-2</v>
      </c>
      <c r="Q54">
        <f>LN(_xll.ciqfunctions.udf.CIQ("XBI", "IQ_LASTSALEPRICE", WORKDAY(F54,-1))/_xll.ciqfunctions.udf.CIQ("XBI", "IQ_LASTSALEPRICE", WORKDAY(F54,5)))</f>
        <v>-1.2463993984005805E-2</v>
      </c>
      <c r="R54">
        <f>_xll.ciqfunctions.udf.CIQ(A54, "IQ_SHORT_INTEREST_PERCENT", F54)</f>
        <v>4.8819600000000003</v>
      </c>
      <c r="S54">
        <f>_xll.ciqfunctions.udf.CIQ(A54, "IQ_BETA_1YR_RSQ", F54)</f>
        <v>6.6119999999999998E-2</v>
      </c>
      <c r="T54">
        <f>_xll.ciqfunctions.udf.CIQ(A54, "IQ_VALUE_TRADED", F54)</f>
        <v>99.216290000000001</v>
      </c>
    </row>
    <row r="55" spans="1:20" x14ac:dyDescent="0.3">
      <c r="A55" t="s">
        <v>199</v>
      </c>
      <c r="B55">
        <v>11.14</v>
      </c>
      <c r="C55" t="s">
        <v>200</v>
      </c>
      <c r="D55" t="s">
        <v>201</v>
      </c>
      <c r="E55" t="s">
        <v>17</v>
      </c>
      <c r="F55" s="1">
        <v>45299</v>
      </c>
      <c r="G55" t="s">
        <v>202</v>
      </c>
      <c r="H55">
        <v>44</v>
      </c>
      <c r="I55" t="str">
        <f>_xll.ciqfunctions.udf.CIQ(A55, "IQ_MARKETCAP", F55)</f>
        <v>(Invalid Identifier)</v>
      </c>
      <c r="J55" t="str">
        <f>_xll.ciqfunctions.udf.CIQ(A55, "IQ_PRICE_VOL_HIST_6MTH", F55)</f>
        <v>(Invalid Identifier)</v>
      </c>
      <c r="K55" t="str">
        <f>_xll.ciqfunctions.udf.CIQ(A55, "IQ_LASTSALEPRICE", WORKDAY(F55,-1))</f>
        <v>(Invalid Identifier)</v>
      </c>
      <c r="L55" t="str">
        <f>_xll.ciqfunctions.udf.CIQ(A55, "IQ_LASTSALEPRICE", F55)</f>
        <v>(Invalid Identifier)</v>
      </c>
      <c r="M55" t="str">
        <f>_xll.ciqfunctions.udf.CIQ(A55, "IQ_LASTSALEPRICE", WORKDAY(F55,5))</f>
        <v>(Invalid Identifier)</v>
      </c>
      <c r="N55" t="e">
        <f t="shared" si="0"/>
        <v>#VALUE!</v>
      </c>
      <c r="O55" t="e">
        <f t="shared" si="1"/>
        <v>#VALUE!</v>
      </c>
      <c r="P55">
        <f>LN(_xll.ciqfunctions.udf.CIQ("XBI", "IQ_LASTSALEPRICE", WORKDAY(F55,-1))/_xll.ciqfunctions.udf.CIQ("XBI", "IQ_LASTSALEPRICE", WORKDAY(F55,1)))</f>
        <v>-4.7028895601092947E-2</v>
      </c>
      <c r="Q55">
        <f>LN(_xll.ciqfunctions.udf.CIQ("XBI", "IQ_LASTSALEPRICE", WORKDAY(F55,-1))/_xll.ciqfunctions.udf.CIQ("XBI", "IQ_LASTSALEPRICE", WORKDAY(F55,5)))</f>
        <v>-1.2463993984005805E-2</v>
      </c>
      <c r="R55" t="str">
        <f>_xll.ciqfunctions.udf.CIQ(A55, "IQ_SHORT_INTEREST_PERCENT", F55)</f>
        <v>(Invalid Identifier)</v>
      </c>
      <c r="S55" t="str">
        <f>_xll.ciqfunctions.udf.CIQ(A55, "IQ_BETA_1YR_RSQ", F55)</f>
        <v>(Invalid Identifier)</v>
      </c>
      <c r="T55" t="str">
        <f>_xll.ciqfunctions.udf.CIQ(A55, "IQ_VALUE_TRADED", F55)</f>
        <v>(Invalid Identifier)</v>
      </c>
    </row>
    <row r="56" spans="1:20" x14ac:dyDescent="0.3">
      <c r="A56" t="s">
        <v>203</v>
      </c>
      <c r="B56">
        <v>51.19</v>
      </c>
      <c r="C56" t="s">
        <v>200</v>
      </c>
      <c r="D56" t="s">
        <v>201</v>
      </c>
      <c r="E56" t="s">
        <v>17</v>
      </c>
      <c r="F56" s="1">
        <v>45299</v>
      </c>
      <c r="G56" t="s">
        <v>202</v>
      </c>
      <c r="I56">
        <f>_xll.ciqfunctions.udf.CIQ(A56, "IQ_MARKETCAP", F56)</f>
        <v>105380.10346</v>
      </c>
      <c r="J56">
        <f>_xll.ciqfunctions.udf.CIQ(A56, "IQ_PRICE_VOL_HIST_6MTH", F56)</f>
        <v>21.596800000000002</v>
      </c>
      <c r="K56">
        <f>_xll.ciqfunctions.udf.CIQ(A56, "IQ_LASTSALEPRICE", WORKDAY(F56,-1))</f>
        <v>52.23</v>
      </c>
      <c r="L56">
        <f>_xll.ciqfunctions.udf.CIQ(A56, "IQ_LASTSALEPRICE", F56)</f>
        <v>51.79</v>
      </c>
      <c r="M56">
        <f>_xll.ciqfunctions.udf.CIQ(A56, "IQ_LASTSALEPRICE", WORKDAY(F56,5))</f>
        <v>50.31</v>
      </c>
      <c r="N56">
        <f t="shared" si="0"/>
        <v>-8.4599620124072572E-3</v>
      </c>
      <c r="O56">
        <f t="shared" si="1"/>
        <v>-3.7453177944980078E-2</v>
      </c>
      <c r="P56">
        <f>LN(_xll.ciqfunctions.udf.CIQ("XBI", "IQ_LASTSALEPRICE", WORKDAY(F56,-1))/_xll.ciqfunctions.udf.CIQ("XBI", "IQ_LASTSALEPRICE", WORKDAY(F56,1)))</f>
        <v>-4.7028895601092947E-2</v>
      </c>
      <c r="Q56">
        <f>LN(_xll.ciqfunctions.udf.CIQ("XBI", "IQ_LASTSALEPRICE", WORKDAY(F56,-1))/_xll.ciqfunctions.udf.CIQ("XBI", "IQ_LASTSALEPRICE", WORKDAY(F56,5)))</f>
        <v>-1.2463993984005805E-2</v>
      </c>
      <c r="R56">
        <f>_xll.ciqfunctions.udf.CIQ(A56, "IQ_SHORT_INTEREST_PERCENT", F56)</f>
        <v>1.18445</v>
      </c>
      <c r="S56">
        <f>_xll.ciqfunctions.udf.CIQ(A56, "IQ_BETA_1YR_RSQ", F56)</f>
        <v>0.11643000000000001</v>
      </c>
      <c r="T56">
        <f>_xll.ciqfunctions.udf.CIQ(A56, "IQ_VALUE_TRADED", F56)</f>
        <v>970.84887000000003</v>
      </c>
    </row>
    <row r="57" spans="1:20" x14ac:dyDescent="0.3">
      <c r="A57" t="s">
        <v>146</v>
      </c>
      <c r="B57">
        <v>38.94</v>
      </c>
      <c r="C57" t="s">
        <v>200</v>
      </c>
      <c r="D57" t="s">
        <v>201</v>
      </c>
      <c r="E57" t="s">
        <v>17</v>
      </c>
      <c r="F57" s="1">
        <v>45299</v>
      </c>
      <c r="G57" t="s">
        <v>202</v>
      </c>
      <c r="I57">
        <f>_xll.ciqfunctions.udf.CIQ(A57, "IQ_MARKETCAP", F57)</f>
        <v>63139.994339999997</v>
      </c>
      <c r="J57">
        <f>_xll.ciqfunctions.udf.CIQ(A57, "IQ_PRICE_VOL_HIST_6MTH", F57)</f>
        <v>17.191700000000001</v>
      </c>
      <c r="K57">
        <f>_xll.ciqfunctions.udf.CIQ(A57, "IQ_LASTSALEPRICE", WORKDAY(F57,-1))</f>
        <v>15.412000000000001</v>
      </c>
      <c r="L57">
        <f>_xll.ciqfunctions.udf.CIQ(A57, "IQ_LASTSALEPRICE", F57)</f>
        <v>15.49</v>
      </c>
      <c r="M57">
        <f>_xll.ciqfunctions.udf.CIQ(A57, "IQ_LASTSALEPRICE", WORKDAY(F57,5))</f>
        <v>15.8</v>
      </c>
      <c r="N57">
        <f t="shared" si="0"/>
        <v>5.0482276648661445E-3</v>
      </c>
      <c r="O57">
        <f t="shared" si="1"/>
        <v>2.4863513269009926E-2</v>
      </c>
      <c r="P57">
        <f>LN(_xll.ciqfunctions.udf.CIQ("XBI", "IQ_LASTSALEPRICE", WORKDAY(F57,-1))/_xll.ciqfunctions.udf.CIQ("XBI", "IQ_LASTSALEPRICE", WORKDAY(F57,1)))</f>
        <v>-4.7028895601092947E-2</v>
      </c>
      <c r="Q57">
        <f>LN(_xll.ciqfunctions.udf.CIQ("XBI", "IQ_LASTSALEPRICE", WORKDAY(F57,-1))/_xll.ciqfunctions.udf.CIQ("XBI", "IQ_LASTSALEPRICE", WORKDAY(F57,5)))</f>
        <v>-1.2463993984005805E-2</v>
      </c>
      <c r="R57">
        <f>_xll.ciqfunctions.udf.CIQ(A57, "IQ_SHORT_INTEREST_PERCENT", F57)</f>
        <v>0</v>
      </c>
      <c r="S57">
        <f>_xll.ciqfunctions.udf.CIQ(A57, "IQ_BETA_1YR_RSQ", F57)</f>
        <v>2.7399999999999998E-3</v>
      </c>
      <c r="T57">
        <f>_xll.ciqfunctions.udf.CIQ(A57, "IQ_VALUE_TRADED", F57)</f>
        <v>120.40073</v>
      </c>
    </row>
    <row r="58" spans="1:20" x14ac:dyDescent="0.3">
      <c r="A58" t="s">
        <v>204</v>
      </c>
      <c r="B58">
        <v>0.35</v>
      </c>
      <c r="C58" t="s">
        <v>205</v>
      </c>
      <c r="D58" t="s">
        <v>206</v>
      </c>
      <c r="E58" t="s">
        <v>76</v>
      </c>
      <c r="F58" s="1">
        <v>45299</v>
      </c>
      <c r="G58" t="s">
        <v>207</v>
      </c>
      <c r="H58">
        <v>9</v>
      </c>
      <c r="I58">
        <f>_xll.ciqfunctions.udf.CIQ(A58, "IQ_MARKETCAP", F58)</f>
        <v>45.459119999999999</v>
      </c>
      <c r="J58">
        <f>_xll.ciqfunctions.udf.CIQ(A58, "IQ_PRICE_VOL_HIST_6MTH", F58)</f>
        <v>105.05719999999999</v>
      </c>
      <c r="K58">
        <f>_xll.ciqfunctions.udf.CIQ(A58, "IQ_LASTSALEPRICE", WORKDAY(F58,-1))</f>
        <v>5.8</v>
      </c>
      <c r="L58">
        <f>_xll.ciqfunctions.udf.CIQ(A58, "IQ_LASTSALEPRICE", F58)</f>
        <v>7.08</v>
      </c>
      <c r="M58">
        <f>_xll.ciqfunctions.udf.CIQ(A58, "IQ_LASTSALEPRICE", WORKDAY(F58,5))</f>
        <v>9.5960000000000001</v>
      </c>
      <c r="N58">
        <f t="shared" si="0"/>
        <v>0.19941599015325473</v>
      </c>
      <c r="O58">
        <f t="shared" si="1"/>
        <v>0.5034884274250746</v>
      </c>
      <c r="P58">
        <f>LN(_xll.ciqfunctions.udf.CIQ("XBI", "IQ_LASTSALEPRICE", WORKDAY(F58,-1))/_xll.ciqfunctions.udf.CIQ("XBI", "IQ_LASTSALEPRICE", WORKDAY(F58,1)))</f>
        <v>-4.7028895601092947E-2</v>
      </c>
      <c r="Q58">
        <f>LN(_xll.ciqfunctions.udf.CIQ("XBI", "IQ_LASTSALEPRICE", WORKDAY(F58,-1))/_xll.ciqfunctions.udf.CIQ("XBI", "IQ_LASTSALEPRICE", WORKDAY(F58,5)))</f>
        <v>-1.2463993984005805E-2</v>
      </c>
      <c r="R58">
        <f>_xll.ciqfunctions.udf.CIQ(A58, "IQ_SHORT_INTEREST_PERCENT", F58)</f>
        <v>0.34406999999999999</v>
      </c>
      <c r="S58">
        <f>_xll.ciqfunctions.udf.CIQ(A58, "IQ_BETA_1YR_RSQ", F58)</f>
        <v>7.3940000000000006E-2</v>
      </c>
      <c r="T58">
        <f>_xll.ciqfunctions.udf.CIQ(A58, "IQ_VALUE_TRADED", F58)</f>
        <v>1.2328300000000001</v>
      </c>
    </row>
    <row r="59" spans="1:20" x14ac:dyDescent="0.3">
      <c r="A59" t="s">
        <v>208</v>
      </c>
      <c r="B59">
        <v>158.38999999999999</v>
      </c>
      <c r="C59" t="s">
        <v>209</v>
      </c>
      <c r="D59" t="s">
        <v>210</v>
      </c>
      <c r="E59" t="s">
        <v>76</v>
      </c>
      <c r="F59" s="1">
        <v>45299</v>
      </c>
      <c r="G59" t="s">
        <v>211</v>
      </c>
      <c r="I59">
        <f>_xll.ciqfunctions.udf.CIQ(A59, "IQ_MARKETCAP", F59)</f>
        <v>285010.70587000001</v>
      </c>
      <c r="J59">
        <f>_xll.ciqfunctions.udf.CIQ(A59, "IQ_PRICE_VOL_HIST_6MTH", F59)</f>
        <v>17.765699999999999</v>
      </c>
      <c r="K59">
        <f>_xll.ciqfunctions.udf.CIQ(A59, "IQ_LASTSALEPRICE", WORKDAY(F59,-1))</f>
        <v>162.13999999999999</v>
      </c>
      <c r="L59">
        <f>_xll.ciqfunctions.udf.CIQ(A59, "IQ_LASTSALEPRICE", F59)</f>
        <v>161.43</v>
      </c>
      <c r="M59">
        <f>_xll.ciqfunctions.udf.CIQ(A59, "IQ_LASTSALEPRICE", WORKDAY(F59,5))</f>
        <v>162.4</v>
      </c>
      <c r="N59">
        <f t="shared" si="0"/>
        <v>-4.3885473901230151E-3</v>
      </c>
      <c r="O59">
        <f t="shared" si="1"/>
        <v>1.602268168016611E-3</v>
      </c>
      <c r="P59">
        <f>LN(_xll.ciqfunctions.udf.CIQ("XBI", "IQ_LASTSALEPRICE", WORKDAY(F59,-1))/_xll.ciqfunctions.udf.CIQ("XBI", "IQ_LASTSALEPRICE", WORKDAY(F59,1)))</f>
        <v>-4.7028895601092947E-2</v>
      </c>
      <c r="Q59">
        <f>LN(_xll.ciqfunctions.udf.CIQ("XBI", "IQ_LASTSALEPRICE", WORKDAY(F59,-1))/_xll.ciqfunctions.udf.CIQ("XBI", "IQ_LASTSALEPRICE", WORKDAY(F59,5)))</f>
        <v>-1.2463993984005805E-2</v>
      </c>
      <c r="R59">
        <f>_xll.ciqfunctions.udf.CIQ(A59, "IQ_SHORT_INTEREST_PERCENT", F59)</f>
        <v>0.77534000000000003</v>
      </c>
      <c r="S59">
        <f>_xll.ciqfunctions.udf.CIQ(A59, "IQ_BETA_1YR_RSQ", F59)</f>
        <v>1.8159999999999999E-2</v>
      </c>
      <c r="T59">
        <f>_xll.ciqfunctions.udf.CIQ(A59, "IQ_VALUE_TRADED", F59)</f>
        <v>968.84344999999996</v>
      </c>
    </row>
    <row r="60" spans="1:20" x14ac:dyDescent="0.3">
      <c r="A60" t="s">
        <v>212</v>
      </c>
      <c r="B60">
        <v>1.89</v>
      </c>
      <c r="C60" t="s">
        <v>213</v>
      </c>
      <c r="D60" t="s">
        <v>214</v>
      </c>
      <c r="E60" t="s">
        <v>76</v>
      </c>
      <c r="F60" s="1">
        <v>45299</v>
      </c>
      <c r="G60" t="s">
        <v>215</v>
      </c>
      <c r="H60">
        <v>33</v>
      </c>
      <c r="I60">
        <f>_xll.ciqfunctions.udf.CIQ(A60, "IQ_MARKETCAP", F60)</f>
        <v>62.816139999999997</v>
      </c>
      <c r="J60">
        <f>_xll.ciqfunctions.udf.CIQ(A60, "IQ_PRICE_VOL_HIST_6MTH", F60)</f>
        <v>116.6185</v>
      </c>
      <c r="K60">
        <f>_xll.ciqfunctions.udf.CIQ(A60, "IQ_LASTSALEPRICE", WORKDAY(F60,-1))</f>
        <v>1.8640000000000001</v>
      </c>
      <c r="L60">
        <f>_xll.ciqfunctions.udf.CIQ(A60, "IQ_LASTSALEPRICE", F60)</f>
        <v>1.89</v>
      </c>
      <c r="M60">
        <f>_xll.ciqfunctions.udf.CIQ(A60, "IQ_LASTSALEPRICE", WORKDAY(F60,5))</f>
        <v>1.73</v>
      </c>
      <c r="N60">
        <f t="shared" si="0"/>
        <v>1.3852112808151464E-2</v>
      </c>
      <c r="O60">
        <f t="shared" si="1"/>
        <v>-7.4603307753711934E-2</v>
      </c>
      <c r="P60">
        <f>LN(_xll.ciqfunctions.udf.CIQ("XBI", "IQ_LASTSALEPRICE", WORKDAY(F60,-1))/_xll.ciqfunctions.udf.CIQ("XBI", "IQ_LASTSALEPRICE", WORKDAY(F60,1)))</f>
        <v>-4.7028895601092947E-2</v>
      </c>
      <c r="Q60">
        <f>LN(_xll.ciqfunctions.udf.CIQ("XBI", "IQ_LASTSALEPRICE", WORKDAY(F60,-1))/_xll.ciqfunctions.udf.CIQ("XBI", "IQ_LASTSALEPRICE", WORKDAY(F60,5)))</f>
        <v>-1.2463993984005805E-2</v>
      </c>
      <c r="R60">
        <f>_xll.ciqfunctions.udf.CIQ(A60, "IQ_SHORT_INTEREST_PERCENT", F60)</f>
        <v>0.14343</v>
      </c>
      <c r="S60">
        <f>_xll.ciqfunctions.udf.CIQ(A60, "IQ_BETA_1YR_RSQ", F60)</f>
        <v>6.0999999999999997E-4</v>
      </c>
      <c r="T60">
        <f>_xll.ciqfunctions.udf.CIQ(A60, "IQ_VALUE_TRADED", F60)</f>
        <v>2.1472799999999999</v>
      </c>
    </row>
    <row r="61" spans="1:20" x14ac:dyDescent="0.3">
      <c r="A61" t="s">
        <v>216</v>
      </c>
      <c r="B61">
        <v>105.64</v>
      </c>
      <c r="C61" t="s">
        <v>217</v>
      </c>
      <c r="D61" t="s">
        <v>218</v>
      </c>
      <c r="E61" t="s">
        <v>36</v>
      </c>
      <c r="F61" s="1">
        <v>45299</v>
      </c>
      <c r="G61" t="s">
        <v>219</v>
      </c>
      <c r="I61">
        <f>_xll.ciqfunctions.udf.CIQ(A61, "IQ_MARKETCAP", F61)</f>
        <v>3209643.32112</v>
      </c>
      <c r="J61">
        <f>_xll.ciqfunctions.udf.CIQ(A61, "IQ_PRICE_VOL_HIST_6MTH", F61)</f>
        <v>35.053800000000003</v>
      </c>
      <c r="K61">
        <f>_xll.ciqfunctions.udf.CIQ(A61, "IQ_LASTSALEPRICE", WORKDAY(F61,-1))</f>
        <v>105.98</v>
      </c>
      <c r="L61">
        <f>_xll.ciqfunctions.udf.CIQ(A61, "IQ_LASTSALEPRICE", F61)</f>
        <v>106.4</v>
      </c>
      <c r="M61">
        <f>_xll.ciqfunctions.udf.CIQ(A61, "IQ_LASTSALEPRICE", WORKDAY(F61,5))</f>
        <v>107.16</v>
      </c>
      <c r="N61">
        <f t="shared" si="0"/>
        <v>3.9551798429280144E-3</v>
      </c>
      <c r="O61">
        <f t="shared" si="1"/>
        <v>1.1072647611791834E-2</v>
      </c>
      <c r="P61">
        <f>LN(_xll.ciqfunctions.udf.CIQ("XBI", "IQ_LASTSALEPRICE", WORKDAY(F61,-1))/_xll.ciqfunctions.udf.CIQ("XBI", "IQ_LASTSALEPRICE", WORKDAY(F61,1)))</f>
        <v>-4.7028895601092947E-2</v>
      </c>
      <c r="Q61">
        <f>LN(_xll.ciqfunctions.udf.CIQ("XBI", "IQ_LASTSALEPRICE", WORKDAY(F61,-1))/_xll.ciqfunctions.udf.CIQ("XBI", "IQ_LASTSALEPRICE", WORKDAY(F61,5)))</f>
        <v>-1.2463993984005805E-2</v>
      </c>
      <c r="R61">
        <f>_xll.ciqfunctions.udf.CIQ(A61, "IQ_SHORT_INTEREST_PERCENT", F61)</f>
        <v>0</v>
      </c>
      <c r="S61">
        <f>_xll.ciqfunctions.udf.CIQ(A61, "IQ_BETA_1YR_RSQ", F61)</f>
        <v>0</v>
      </c>
      <c r="T61">
        <f>_xll.ciqfunctions.udf.CIQ(A61, "IQ_VALUE_TRADED", F61)</f>
        <v>306.50116000000003</v>
      </c>
    </row>
    <row r="62" spans="1:20" x14ac:dyDescent="0.3">
      <c r="A62" t="s">
        <v>220</v>
      </c>
      <c r="B62">
        <v>4.3899999999999997</v>
      </c>
      <c r="C62" t="s">
        <v>221</v>
      </c>
      <c r="D62" t="s">
        <v>222</v>
      </c>
      <c r="E62" t="s">
        <v>124</v>
      </c>
      <c r="F62" s="1">
        <v>45299</v>
      </c>
      <c r="G62" t="s">
        <v>223</v>
      </c>
      <c r="H62">
        <v>75</v>
      </c>
      <c r="I62">
        <f>_xll.ciqfunctions.udf.CIQ(A62, "IQ_MARKETCAP", F62)</f>
        <v>176.01577</v>
      </c>
      <c r="J62">
        <f>_xll.ciqfunctions.udf.CIQ(A62, "IQ_PRICE_VOL_HIST_6MTH", F62)</f>
        <v>75.859899999999996</v>
      </c>
      <c r="K62">
        <f>_xll.ciqfunctions.udf.CIQ(A62, "IQ_LASTSALEPRICE", WORKDAY(F62,-1))</f>
        <v>4.09</v>
      </c>
      <c r="L62">
        <f>_xll.ciqfunctions.udf.CIQ(A62, "IQ_LASTSALEPRICE", F62)</f>
        <v>4.3899999999999997</v>
      </c>
      <c r="M62">
        <f>_xll.ciqfunctions.udf.CIQ(A62, "IQ_LASTSALEPRICE", WORKDAY(F62,5))</f>
        <v>3.96</v>
      </c>
      <c r="N62">
        <f t="shared" si="0"/>
        <v>7.078425703236961E-2</v>
      </c>
      <c r="O62">
        <f t="shared" si="1"/>
        <v>-3.2300944788321177E-2</v>
      </c>
      <c r="P62">
        <f>LN(_xll.ciqfunctions.udf.CIQ("XBI", "IQ_LASTSALEPRICE", WORKDAY(F62,-1))/_xll.ciqfunctions.udf.CIQ("XBI", "IQ_LASTSALEPRICE", WORKDAY(F62,1)))</f>
        <v>-4.7028895601092947E-2</v>
      </c>
      <c r="Q62">
        <f>LN(_xll.ciqfunctions.udf.CIQ("XBI", "IQ_LASTSALEPRICE", WORKDAY(F62,-1))/_xll.ciqfunctions.udf.CIQ("XBI", "IQ_LASTSALEPRICE", WORKDAY(F62,5)))</f>
        <v>-1.2463993984005805E-2</v>
      </c>
      <c r="R62">
        <f>_xll.ciqfunctions.udf.CIQ(A62, "IQ_SHORT_INTEREST_PERCENT", F62)</f>
        <v>7.0067199999999996</v>
      </c>
      <c r="S62">
        <f>_xll.ciqfunctions.udf.CIQ(A62, "IQ_BETA_1YR_RSQ", F62)</f>
        <v>0.24782999999999999</v>
      </c>
      <c r="T62">
        <f>_xll.ciqfunctions.udf.CIQ(A62, "IQ_VALUE_TRADED", F62)</f>
        <v>5.8228400000000002</v>
      </c>
    </row>
    <row r="63" spans="1:20" x14ac:dyDescent="0.3">
      <c r="A63" t="s">
        <v>224</v>
      </c>
      <c r="B63">
        <v>9.9600000000000009</v>
      </c>
      <c r="C63" t="s">
        <v>225</v>
      </c>
      <c r="D63" t="s">
        <v>226</v>
      </c>
      <c r="E63" t="s">
        <v>46</v>
      </c>
      <c r="F63" s="1">
        <v>45299</v>
      </c>
      <c r="G63" t="s">
        <v>227</v>
      </c>
      <c r="H63">
        <v>76</v>
      </c>
      <c r="I63">
        <f>_xll.ciqfunctions.udf.CIQ(A63, "IQ_MARKETCAP", F63)</f>
        <v>483.09753000000001</v>
      </c>
      <c r="J63">
        <f>_xll.ciqfunctions.udf.CIQ(A63, "IQ_PRICE_VOL_HIST_6MTH", F63)</f>
        <v>77.165899999999993</v>
      </c>
      <c r="K63">
        <f>_xll.ciqfunctions.udf.CIQ(A63, "IQ_LASTSALEPRICE", WORKDAY(F63,-1))</f>
        <v>9.8699999999999992</v>
      </c>
      <c r="L63">
        <f>_xll.ciqfunctions.udf.CIQ(A63, "IQ_LASTSALEPRICE", F63)</f>
        <v>9.9600000000000009</v>
      </c>
      <c r="M63">
        <f>_xll.ciqfunctions.udf.CIQ(A63, "IQ_LASTSALEPRICE", WORKDAY(F63,5))</f>
        <v>9.3699999999999992</v>
      </c>
      <c r="N63">
        <f t="shared" si="0"/>
        <v>9.0772181511169E-3</v>
      </c>
      <c r="O63">
        <f t="shared" si="1"/>
        <v>-5.1986757195059421E-2</v>
      </c>
      <c r="P63">
        <f>LN(_xll.ciqfunctions.udf.CIQ("XBI", "IQ_LASTSALEPRICE", WORKDAY(F63,-1))/_xll.ciqfunctions.udf.CIQ("XBI", "IQ_LASTSALEPRICE", WORKDAY(F63,1)))</f>
        <v>-4.7028895601092947E-2</v>
      </c>
      <c r="Q63">
        <f>LN(_xll.ciqfunctions.udf.CIQ("XBI", "IQ_LASTSALEPRICE", WORKDAY(F63,-1))/_xll.ciqfunctions.udf.CIQ("XBI", "IQ_LASTSALEPRICE", WORKDAY(F63,5)))</f>
        <v>-1.2463993984005805E-2</v>
      </c>
      <c r="R63">
        <f>_xll.ciqfunctions.udf.CIQ(A63, "IQ_SHORT_INTEREST_PERCENT", F63)</f>
        <v>18.200780000000002</v>
      </c>
      <c r="S63">
        <f>_xll.ciqfunctions.udf.CIQ(A63, "IQ_BETA_1YR_RSQ", F63)</f>
        <v>0.22696</v>
      </c>
      <c r="T63">
        <f>_xll.ciqfunctions.udf.CIQ(A63, "IQ_VALUE_TRADED", F63)</f>
        <v>7.3379500000000002</v>
      </c>
    </row>
    <row r="64" spans="1:20" x14ac:dyDescent="0.3">
      <c r="A64" t="s">
        <v>13</v>
      </c>
      <c r="B64">
        <v>65.819999999999993</v>
      </c>
      <c r="C64" t="s">
        <v>228</v>
      </c>
      <c r="D64" t="s">
        <v>229</v>
      </c>
      <c r="E64" t="s">
        <v>22</v>
      </c>
      <c r="F64" s="1">
        <v>45299</v>
      </c>
      <c r="G64" t="s">
        <v>230</v>
      </c>
      <c r="H64">
        <v>195</v>
      </c>
      <c r="I64">
        <f>_xll.ciqfunctions.udf.CIQ(A64, "IQ_MARKETCAP", F64)</f>
        <v>14750.87005</v>
      </c>
      <c r="J64">
        <f>_xll.ciqfunctions.udf.CIQ(A64, "IQ_PRICE_VOL_HIST_6MTH", F64)</f>
        <v>26.2469</v>
      </c>
      <c r="K64">
        <f>_xll.ciqfunctions.udf.CIQ(A64, "IQ_LASTSALEPRICE", WORKDAY(F64,-1))</f>
        <v>65.260000000000005</v>
      </c>
      <c r="L64">
        <f>_xll.ciqfunctions.udf.CIQ(A64, "IQ_LASTSALEPRICE", F64)</f>
        <v>65.819999999999993</v>
      </c>
      <c r="M64">
        <f>_xll.ciqfunctions.udf.CIQ(A64, "IQ_LASTSALEPRICE", WORKDAY(F64,5))</f>
        <v>62.74</v>
      </c>
      <c r="N64">
        <f t="shared" si="0"/>
        <v>8.5444523500192056E-3</v>
      </c>
      <c r="O64">
        <f t="shared" si="1"/>
        <v>-3.9380088402642538E-2</v>
      </c>
      <c r="P64">
        <f>LN(_xll.ciqfunctions.udf.CIQ("XBI", "IQ_LASTSALEPRICE", WORKDAY(F64,-1))/_xll.ciqfunctions.udf.CIQ("XBI", "IQ_LASTSALEPRICE", WORKDAY(F64,1)))</f>
        <v>-4.7028895601092947E-2</v>
      </c>
      <c r="Q64">
        <f>LN(_xll.ciqfunctions.udf.CIQ("XBI", "IQ_LASTSALEPRICE", WORKDAY(F64,-1))/_xll.ciqfunctions.udf.CIQ("XBI", "IQ_LASTSALEPRICE", WORKDAY(F64,5)))</f>
        <v>-1.2463993984005805E-2</v>
      </c>
      <c r="R64">
        <f>_xll.ciqfunctions.udf.CIQ(A64, "IQ_SHORT_INTEREST_PERCENT", F64)</f>
        <v>3.1109200000000001</v>
      </c>
      <c r="S64">
        <f>_xll.ciqfunctions.udf.CIQ(A64, "IQ_BETA_1YR_RSQ", F64)</f>
        <v>0.25652999999999998</v>
      </c>
      <c r="T64">
        <f>_xll.ciqfunctions.udf.CIQ(A64, "IQ_VALUE_TRADED", F64)</f>
        <v>138.35943</v>
      </c>
    </row>
    <row r="65" spans="1:20" x14ac:dyDescent="0.3">
      <c r="A65" t="s">
        <v>13</v>
      </c>
      <c r="B65">
        <v>65.819999999999993</v>
      </c>
      <c r="C65" t="s">
        <v>231</v>
      </c>
      <c r="D65" t="s">
        <v>232</v>
      </c>
      <c r="E65" t="s">
        <v>76</v>
      </c>
      <c r="F65" s="1">
        <v>45299</v>
      </c>
      <c r="G65" t="s">
        <v>233</v>
      </c>
      <c r="H65">
        <v>195</v>
      </c>
      <c r="I65">
        <f>_xll.ciqfunctions.udf.CIQ(A65, "IQ_MARKETCAP", F65)</f>
        <v>14750.87005</v>
      </c>
      <c r="J65">
        <f>_xll.ciqfunctions.udf.CIQ(A65, "IQ_PRICE_VOL_HIST_6MTH", F65)</f>
        <v>26.2469</v>
      </c>
      <c r="K65">
        <f>_xll.ciqfunctions.udf.CIQ(A65, "IQ_LASTSALEPRICE", WORKDAY(F65,-1))</f>
        <v>65.260000000000005</v>
      </c>
      <c r="L65">
        <f>_xll.ciqfunctions.udf.CIQ(A65, "IQ_LASTSALEPRICE", F65)</f>
        <v>65.819999999999993</v>
      </c>
      <c r="M65">
        <f>_xll.ciqfunctions.udf.CIQ(A65, "IQ_LASTSALEPRICE", WORKDAY(F65,5))</f>
        <v>62.74</v>
      </c>
      <c r="N65">
        <f t="shared" si="0"/>
        <v>8.5444523500192056E-3</v>
      </c>
      <c r="O65">
        <f t="shared" si="1"/>
        <v>-3.9380088402642538E-2</v>
      </c>
      <c r="P65">
        <f>LN(_xll.ciqfunctions.udf.CIQ("XBI", "IQ_LASTSALEPRICE", WORKDAY(F65,-1))/_xll.ciqfunctions.udf.CIQ("XBI", "IQ_LASTSALEPRICE", WORKDAY(F65,1)))</f>
        <v>-4.7028895601092947E-2</v>
      </c>
      <c r="Q65">
        <f>LN(_xll.ciqfunctions.udf.CIQ("XBI", "IQ_LASTSALEPRICE", WORKDAY(F65,-1))/_xll.ciqfunctions.udf.CIQ("XBI", "IQ_LASTSALEPRICE", WORKDAY(F65,5)))</f>
        <v>-1.2463993984005805E-2</v>
      </c>
      <c r="R65">
        <f>_xll.ciqfunctions.udf.CIQ(A65, "IQ_SHORT_INTEREST_PERCENT", F65)</f>
        <v>3.1109200000000001</v>
      </c>
      <c r="S65">
        <f>_xll.ciqfunctions.udf.CIQ(A65, "IQ_BETA_1YR_RSQ", F65)</f>
        <v>0.25652999999999998</v>
      </c>
      <c r="T65">
        <f>_xll.ciqfunctions.udf.CIQ(A65, "IQ_VALUE_TRADED", F65)</f>
        <v>138.35943</v>
      </c>
    </row>
    <row r="66" spans="1:20" x14ac:dyDescent="0.3">
      <c r="A66" t="s">
        <v>42</v>
      </c>
      <c r="B66">
        <v>103.22</v>
      </c>
      <c r="C66" t="s">
        <v>234</v>
      </c>
      <c r="D66" t="s">
        <v>235</v>
      </c>
      <c r="E66" t="s">
        <v>36</v>
      </c>
      <c r="F66" s="1">
        <v>45299</v>
      </c>
      <c r="G66" t="s">
        <v>236</v>
      </c>
      <c r="I66">
        <f>_xll.ciqfunctions.udf.CIQ(A66, "IQ_MARKETCAP", F66)</f>
        <v>1411.1667500000001</v>
      </c>
      <c r="J66">
        <f>_xll.ciqfunctions.udf.CIQ(A66, "IQ_PRICE_VOL_HIST_6MTH", F66)</f>
        <v>48.019199999999998</v>
      </c>
      <c r="K66">
        <f>_xll.ciqfunctions.udf.CIQ(A66, "IQ_LASTSALEPRICE", WORKDAY(F66,-1))</f>
        <v>4.4400000000000004</v>
      </c>
      <c r="L66">
        <f>_xll.ciqfunctions.udf.CIQ(A66, "IQ_LASTSALEPRICE", F66)</f>
        <v>4.4000000000000004</v>
      </c>
      <c r="M66">
        <f>_xll.ciqfunctions.udf.CIQ(A66, "IQ_LASTSALEPRICE", WORKDAY(F66,5))</f>
        <v>4.54</v>
      </c>
      <c r="N66">
        <f t="shared" si="0"/>
        <v>-9.0498355199179273E-3</v>
      </c>
      <c r="O66">
        <f t="shared" si="1"/>
        <v>2.2272635609123223E-2</v>
      </c>
      <c r="P66">
        <f>LN(_xll.ciqfunctions.udf.CIQ("XBI", "IQ_LASTSALEPRICE", WORKDAY(F66,-1))/_xll.ciqfunctions.udf.CIQ("XBI", "IQ_LASTSALEPRICE", WORKDAY(F66,1)))</f>
        <v>-4.7028895601092947E-2</v>
      </c>
      <c r="Q66">
        <f>LN(_xll.ciqfunctions.udf.CIQ("XBI", "IQ_LASTSALEPRICE", WORKDAY(F66,-1))/_xll.ciqfunctions.udf.CIQ("XBI", "IQ_LASTSALEPRICE", WORKDAY(F66,5)))</f>
        <v>-1.2463993984005805E-2</v>
      </c>
      <c r="R66">
        <f>_xll.ciqfunctions.udf.CIQ(A66, "IQ_SHORT_INTEREST_PERCENT", F66)</f>
        <v>0</v>
      </c>
      <c r="S66">
        <f>_xll.ciqfunctions.udf.CIQ(A66, "IQ_BETA_1YR_RSQ", F66)</f>
        <v>2.2669999999999999E-2</v>
      </c>
      <c r="T66">
        <f>_xll.ciqfunctions.udf.CIQ(A66, "IQ_VALUE_TRADED", F66)</f>
        <v>0.52288999999999997</v>
      </c>
    </row>
    <row r="67" spans="1:20" x14ac:dyDescent="0.3">
      <c r="A67" t="s">
        <v>237</v>
      </c>
      <c r="B67">
        <v>0.39</v>
      </c>
      <c r="C67" t="s">
        <v>238</v>
      </c>
      <c r="D67" t="s">
        <v>239</v>
      </c>
      <c r="E67" t="s">
        <v>22</v>
      </c>
      <c r="F67" s="1">
        <v>45299</v>
      </c>
      <c r="G67" t="s">
        <v>240</v>
      </c>
      <c r="H67">
        <v>23</v>
      </c>
      <c r="I67">
        <f>_xll.ciqfunctions.udf.CIQ(A67, "IQ_MARKETCAP", F67)</f>
        <v>161.05760000000001</v>
      </c>
      <c r="J67">
        <f>_xll.ciqfunctions.udf.CIQ(A67, "IQ_PRICE_VOL_HIST_6MTH", F67)</f>
        <v>99.6434</v>
      </c>
      <c r="K67">
        <f>_xll.ciqfunctions.udf.CIQ(A67, "IQ_LASTSALEPRICE", WORKDAY(F67,-1))</f>
        <v>15.389989999999999</v>
      </c>
      <c r="L67">
        <f>_xll.ciqfunctions.udf.CIQ(A67, "IQ_LASTSALEPRICE", F67)</f>
        <v>14.880789999999999</v>
      </c>
      <c r="M67">
        <f>_xll.ciqfunctions.udf.CIQ(A67, "IQ_LASTSALEPRICE", WORKDAY(F67,5))</f>
        <v>15.389989999999999</v>
      </c>
      <c r="N67">
        <f t="shared" ref="N67:N130" si="2">LN(L67/K67)</f>
        <v>-3.3646178684500212E-2</v>
      </c>
      <c r="O67">
        <f t="shared" ref="O67:O130" si="3">LN(M67/K67)</f>
        <v>0</v>
      </c>
      <c r="P67">
        <f>LN(_xll.ciqfunctions.udf.CIQ("XBI", "IQ_LASTSALEPRICE", WORKDAY(F67,-1))/_xll.ciqfunctions.udf.CIQ("XBI", "IQ_LASTSALEPRICE", WORKDAY(F67,1)))</f>
        <v>-4.7028895601092947E-2</v>
      </c>
      <c r="Q67">
        <f>LN(_xll.ciqfunctions.udf.CIQ("XBI", "IQ_LASTSALEPRICE", WORKDAY(F67,-1))/_xll.ciqfunctions.udf.CIQ("XBI", "IQ_LASTSALEPRICE", WORKDAY(F67,5)))</f>
        <v>-1.2463993984005805E-2</v>
      </c>
      <c r="R67">
        <f>_xll.ciqfunctions.udf.CIQ(A67, "IQ_SHORT_INTEREST_PERCENT", F67)</f>
        <v>2.4609200000000002</v>
      </c>
      <c r="S67">
        <f>_xll.ciqfunctions.udf.CIQ(A67, "IQ_BETA_1YR_RSQ", F67)</f>
        <v>1.54E-2</v>
      </c>
      <c r="T67">
        <f>_xll.ciqfunctions.udf.CIQ(A67, "IQ_VALUE_TRADED", F67)</f>
        <v>1.83134</v>
      </c>
    </row>
    <row r="68" spans="1:20" x14ac:dyDescent="0.3">
      <c r="A68" t="s">
        <v>241</v>
      </c>
      <c r="B68">
        <v>4.12</v>
      </c>
      <c r="C68" t="s">
        <v>242</v>
      </c>
      <c r="D68" t="s">
        <v>243</v>
      </c>
      <c r="E68" t="s">
        <v>22</v>
      </c>
      <c r="F68" s="1">
        <v>45299</v>
      </c>
      <c r="G68" t="s">
        <v>244</v>
      </c>
      <c r="H68">
        <v>115</v>
      </c>
      <c r="I68">
        <f>_xll.ciqfunctions.udf.CIQ(A68, "IQ_MARKETCAP", F68)</f>
        <v>406.24009999999998</v>
      </c>
      <c r="J68">
        <f>_xll.ciqfunctions.udf.CIQ(A68, "IQ_PRICE_VOL_HIST_6MTH", F68)</f>
        <v>85.4495</v>
      </c>
      <c r="K68">
        <f>_xll.ciqfunctions.udf.CIQ(A68, "IQ_LASTSALEPRICE", WORKDAY(F68,-1))</f>
        <v>3.77</v>
      </c>
      <c r="L68">
        <f>_xll.ciqfunctions.udf.CIQ(A68, "IQ_LASTSALEPRICE", F68)</f>
        <v>4.12</v>
      </c>
      <c r="M68">
        <f>_xll.ciqfunctions.udf.CIQ(A68, "IQ_LASTSALEPRICE", WORKDAY(F68,5))</f>
        <v>4.55</v>
      </c>
      <c r="N68">
        <f t="shared" si="2"/>
        <v>8.8778161901515634E-2</v>
      </c>
      <c r="O68">
        <f t="shared" si="3"/>
        <v>0.18805223150293962</v>
      </c>
      <c r="P68">
        <f>LN(_xll.ciqfunctions.udf.CIQ("XBI", "IQ_LASTSALEPRICE", WORKDAY(F68,-1))/_xll.ciqfunctions.udf.CIQ("XBI", "IQ_LASTSALEPRICE", WORKDAY(F68,1)))</f>
        <v>-4.7028895601092947E-2</v>
      </c>
      <c r="Q68">
        <f>LN(_xll.ciqfunctions.udf.CIQ("XBI", "IQ_LASTSALEPRICE", WORKDAY(F68,-1))/_xll.ciqfunctions.udf.CIQ("XBI", "IQ_LASTSALEPRICE", WORKDAY(F68,5)))</f>
        <v>-1.2463993984005805E-2</v>
      </c>
      <c r="R68">
        <f>_xll.ciqfunctions.udf.CIQ(A68, "IQ_SHORT_INTEREST_PERCENT", F68)</f>
        <v>10.93577</v>
      </c>
      <c r="S68">
        <f>_xll.ciqfunctions.udf.CIQ(A68, "IQ_BETA_1YR_RSQ", F68)</f>
        <v>0.39694000000000002</v>
      </c>
      <c r="T68">
        <f>_xll.ciqfunctions.udf.CIQ(A68, "IQ_VALUE_TRADED", F68)</f>
        <v>14.51773</v>
      </c>
    </row>
    <row r="69" spans="1:20" x14ac:dyDescent="0.3">
      <c r="A69" t="s">
        <v>245</v>
      </c>
      <c r="B69">
        <v>85.31</v>
      </c>
      <c r="C69" t="s">
        <v>246</v>
      </c>
      <c r="D69" t="s">
        <v>247</v>
      </c>
      <c r="E69" t="s">
        <v>17</v>
      </c>
      <c r="F69" s="1">
        <v>45299</v>
      </c>
      <c r="G69" t="s">
        <v>248</v>
      </c>
      <c r="H69">
        <v>64</v>
      </c>
      <c r="I69">
        <f>_xll.ciqfunctions.udf.CIQ(A69, "IQ_MARKETCAP", F69)</f>
        <v>5185.9703300000001</v>
      </c>
      <c r="J69">
        <f>_xll.ciqfunctions.udf.CIQ(A69, "IQ_PRICE_VOL_HIST_6MTH", F69)</f>
        <v>0</v>
      </c>
      <c r="K69">
        <f>_xll.ciqfunctions.udf.CIQ(A69, "IQ_LASTSALEPRICE", WORKDAY(F69,-1))</f>
        <v>0</v>
      </c>
      <c r="L69">
        <f>_xll.ciqfunctions.udf.CIQ(A69, "IQ_LASTSALEPRICE", F69)</f>
        <v>0</v>
      </c>
      <c r="M69">
        <f>_xll.ciqfunctions.udf.CIQ(A69, "IQ_LASTSALEPRICE", WORKDAY(F69,5))</f>
        <v>0</v>
      </c>
      <c r="N69" t="e">
        <f t="shared" si="2"/>
        <v>#DIV/0!</v>
      </c>
      <c r="O69" t="e">
        <f t="shared" si="3"/>
        <v>#DIV/0!</v>
      </c>
      <c r="P69">
        <f>LN(_xll.ciqfunctions.udf.CIQ("XBI", "IQ_LASTSALEPRICE", WORKDAY(F69,-1))/_xll.ciqfunctions.udf.CIQ("XBI", "IQ_LASTSALEPRICE", WORKDAY(F69,1)))</f>
        <v>-4.7028895601092947E-2</v>
      </c>
      <c r="Q69">
        <f>LN(_xll.ciqfunctions.udf.CIQ("XBI", "IQ_LASTSALEPRICE", WORKDAY(F69,-1))/_xll.ciqfunctions.udf.CIQ("XBI", "IQ_LASTSALEPRICE", WORKDAY(F69,5)))</f>
        <v>-1.2463993984005805E-2</v>
      </c>
      <c r="R69">
        <f>_xll.ciqfunctions.udf.CIQ(A69, "IQ_SHORT_INTEREST_PERCENT", F69)</f>
        <v>0</v>
      </c>
      <c r="S69">
        <f>_xll.ciqfunctions.udf.CIQ(A69, "IQ_BETA_1YR_RSQ", F69)</f>
        <v>0</v>
      </c>
      <c r="T69">
        <f>_xll.ciqfunctions.udf.CIQ(A69, "IQ_VALUE_TRADED", F69)</f>
        <v>0</v>
      </c>
    </row>
    <row r="70" spans="1:20" x14ac:dyDescent="0.3">
      <c r="A70" t="s">
        <v>245</v>
      </c>
      <c r="B70">
        <v>85.31</v>
      </c>
      <c r="C70" t="s">
        <v>249</v>
      </c>
      <c r="D70" t="s">
        <v>250</v>
      </c>
      <c r="E70" t="s">
        <v>17</v>
      </c>
      <c r="F70" s="1">
        <v>45299</v>
      </c>
      <c r="G70" t="s">
        <v>248</v>
      </c>
      <c r="H70">
        <v>64</v>
      </c>
      <c r="I70">
        <f>_xll.ciqfunctions.udf.CIQ(A70, "IQ_MARKETCAP", F70)</f>
        <v>5185.9703300000001</v>
      </c>
      <c r="J70">
        <f>_xll.ciqfunctions.udf.CIQ(A70, "IQ_PRICE_VOL_HIST_6MTH", F70)</f>
        <v>0</v>
      </c>
      <c r="K70">
        <f>_xll.ciqfunctions.udf.CIQ(A70, "IQ_LASTSALEPRICE", WORKDAY(F70,-1))</f>
        <v>0</v>
      </c>
      <c r="L70">
        <f>_xll.ciqfunctions.udf.CIQ(A70, "IQ_LASTSALEPRICE", F70)</f>
        <v>0</v>
      </c>
      <c r="M70">
        <f>_xll.ciqfunctions.udf.CIQ(A70, "IQ_LASTSALEPRICE", WORKDAY(F70,5))</f>
        <v>0</v>
      </c>
      <c r="N70" t="e">
        <f t="shared" si="2"/>
        <v>#DIV/0!</v>
      </c>
      <c r="O70" t="e">
        <f t="shared" si="3"/>
        <v>#DIV/0!</v>
      </c>
      <c r="P70">
        <f>LN(_xll.ciqfunctions.udf.CIQ("XBI", "IQ_LASTSALEPRICE", WORKDAY(F70,-1))/_xll.ciqfunctions.udf.CIQ("XBI", "IQ_LASTSALEPRICE", WORKDAY(F70,1)))</f>
        <v>-4.7028895601092947E-2</v>
      </c>
      <c r="Q70">
        <f>LN(_xll.ciqfunctions.udf.CIQ("XBI", "IQ_LASTSALEPRICE", WORKDAY(F70,-1))/_xll.ciqfunctions.udf.CIQ("XBI", "IQ_LASTSALEPRICE", WORKDAY(F70,5)))</f>
        <v>-1.2463993984005805E-2</v>
      </c>
      <c r="R70">
        <f>_xll.ciqfunctions.udf.CIQ(A70, "IQ_SHORT_INTEREST_PERCENT", F70)</f>
        <v>0</v>
      </c>
      <c r="S70">
        <f>_xll.ciqfunctions.udf.CIQ(A70, "IQ_BETA_1YR_RSQ", F70)</f>
        <v>0</v>
      </c>
      <c r="T70">
        <f>_xll.ciqfunctions.udf.CIQ(A70, "IQ_VALUE_TRADED", F70)</f>
        <v>0</v>
      </c>
    </row>
    <row r="71" spans="1:20" x14ac:dyDescent="0.3">
      <c r="A71" t="s">
        <v>251</v>
      </c>
      <c r="B71">
        <v>2.97</v>
      </c>
      <c r="C71" t="s">
        <v>252</v>
      </c>
      <c r="D71" t="s">
        <v>253</v>
      </c>
      <c r="E71" t="s">
        <v>76</v>
      </c>
      <c r="F71" s="1">
        <v>45299</v>
      </c>
      <c r="G71" t="s">
        <v>254</v>
      </c>
      <c r="H71">
        <v>744</v>
      </c>
      <c r="I71">
        <f>_xll.ciqfunctions.udf.CIQ(A71, "IQ_MARKETCAP", F71)</f>
        <v>2081.5034099999998</v>
      </c>
      <c r="J71">
        <f>_xll.ciqfunctions.udf.CIQ(A71, "IQ_PRICE_VOL_HIST_6MTH", F71)</f>
        <v>81.474500000000006</v>
      </c>
      <c r="K71">
        <f>_xll.ciqfunctions.udf.CIQ(A71, "IQ_LASTSALEPRICE", WORKDAY(F71,-1))</f>
        <v>2.5499999999999998</v>
      </c>
      <c r="L71">
        <f>_xll.ciqfunctions.udf.CIQ(A71, "IQ_LASTSALEPRICE", F71)</f>
        <v>2.97</v>
      </c>
      <c r="M71">
        <f>_xll.ciqfunctions.udf.CIQ(A71, "IQ_LASTSALEPRICE", WORKDAY(F71,5))</f>
        <v>3.1</v>
      </c>
      <c r="N71">
        <f t="shared" si="2"/>
        <v>0.15246859364427354</v>
      </c>
      <c r="O71">
        <f t="shared" si="3"/>
        <v>0.19530875232076589</v>
      </c>
      <c r="P71">
        <f>LN(_xll.ciqfunctions.udf.CIQ("XBI", "IQ_LASTSALEPRICE", WORKDAY(F71,-1))/_xll.ciqfunctions.udf.CIQ("XBI", "IQ_LASTSALEPRICE", WORKDAY(F71,1)))</f>
        <v>-4.7028895601092947E-2</v>
      </c>
      <c r="Q71">
        <f>LN(_xll.ciqfunctions.udf.CIQ("XBI", "IQ_LASTSALEPRICE", WORKDAY(F71,-1))/_xll.ciqfunctions.udf.CIQ("XBI", "IQ_LASTSALEPRICE", WORKDAY(F71,5)))</f>
        <v>-1.2463993984005805E-2</v>
      </c>
      <c r="R71">
        <f>_xll.ciqfunctions.udf.CIQ(A71, "IQ_SHORT_INTEREST_PERCENT", F71)</f>
        <v>1.3468500000000001</v>
      </c>
      <c r="S71">
        <f>_xll.ciqfunctions.udf.CIQ(A71, "IQ_BETA_1YR_RSQ", F71)</f>
        <v>2.6900000000000001E-3</v>
      </c>
      <c r="T71">
        <f>_xll.ciqfunctions.udf.CIQ(A71, "IQ_VALUE_TRADED", F71)</f>
        <v>6.8233100000000002</v>
      </c>
    </row>
    <row r="72" spans="1:20" x14ac:dyDescent="0.3">
      <c r="A72" t="s">
        <v>255</v>
      </c>
      <c r="B72">
        <v>8.24</v>
      </c>
      <c r="C72" t="s">
        <v>256</v>
      </c>
      <c r="D72" t="s">
        <v>257</v>
      </c>
      <c r="E72" t="s">
        <v>46</v>
      </c>
      <c r="F72" s="1">
        <v>45299</v>
      </c>
      <c r="G72" t="s">
        <v>258</v>
      </c>
      <c r="H72">
        <v>97</v>
      </c>
      <c r="I72">
        <f>_xll.ciqfunctions.udf.CIQ(A72, "IQ_MARKETCAP", F72)</f>
        <v>449.50740000000002</v>
      </c>
      <c r="J72">
        <f>_xll.ciqfunctions.udf.CIQ(A72, "IQ_PRICE_VOL_HIST_6MTH", F72)</f>
        <v>65.972999999999999</v>
      </c>
      <c r="K72">
        <f>_xll.ciqfunctions.udf.CIQ(A72, "IQ_LASTSALEPRICE", WORKDAY(F72,-1))</f>
        <v>8.42</v>
      </c>
      <c r="L72">
        <f>_xll.ciqfunctions.udf.CIQ(A72, "IQ_LASTSALEPRICE", F72)</f>
        <v>8.24</v>
      </c>
      <c r="M72">
        <f>_xll.ciqfunctions.udf.CIQ(A72, "IQ_LASTSALEPRICE", WORKDAY(F72,5))</f>
        <v>8.6</v>
      </c>
      <c r="N72">
        <f t="shared" si="2"/>
        <v>-2.1609484332854988E-2</v>
      </c>
      <c r="O72">
        <f t="shared" si="3"/>
        <v>2.1152375005226761E-2</v>
      </c>
      <c r="P72">
        <f>LN(_xll.ciqfunctions.udf.CIQ("XBI", "IQ_LASTSALEPRICE", WORKDAY(F72,-1))/_xll.ciqfunctions.udf.CIQ("XBI", "IQ_LASTSALEPRICE", WORKDAY(F72,1)))</f>
        <v>-4.7028895601092947E-2</v>
      </c>
      <c r="Q72">
        <f>LN(_xll.ciqfunctions.udf.CIQ("XBI", "IQ_LASTSALEPRICE", WORKDAY(F72,-1))/_xll.ciqfunctions.udf.CIQ("XBI", "IQ_LASTSALEPRICE", WORKDAY(F72,5)))</f>
        <v>-1.2463993984005805E-2</v>
      </c>
      <c r="R72">
        <f>_xll.ciqfunctions.udf.CIQ(A72, "IQ_SHORT_INTEREST_PERCENT", F72)</f>
        <v>15.890940000000001</v>
      </c>
      <c r="S72">
        <f>_xll.ciqfunctions.udf.CIQ(A72, "IQ_BETA_1YR_RSQ", F72)</f>
        <v>0.13744999999999999</v>
      </c>
      <c r="T72">
        <f>_xll.ciqfunctions.udf.CIQ(A72, "IQ_VALUE_TRADED", F72)</f>
        <v>3.1622300000000001</v>
      </c>
    </row>
    <row r="73" spans="1:20" x14ac:dyDescent="0.3">
      <c r="A73" t="s">
        <v>259</v>
      </c>
      <c r="B73">
        <v>15.94</v>
      </c>
      <c r="C73" t="s">
        <v>260</v>
      </c>
      <c r="D73" t="s">
        <v>261</v>
      </c>
      <c r="E73" t="s">
        <v>76</v>
      </c>
      <c r="F73" s="1">
        <v>45299</v>
      </c>
      <c r="G73" t="s">
        <v>262</v>
      </c>
      <c r="H73">
        <v>59</v>
      </c>
      <c r="I73">
        <f>_xll.ciqfunctions.udf.CIQ(A73, "IQ_MARKETCAP", F73)</f>
        <v>569.15022999999997</v>
      </c>
      <c r="J73">
        <f>_xll.ciqfunctions.udf.CIQ(A73, "IQ_PRICE_VOL_HIST_6MTH", F73)</f>
        <v>104.56699999999999</v>
      </c>
      <c r="K73">
        <f>_xll.ciqfunctions.udf.CIQ(A73, "IQ_LASTSALEPRICE", WORKDAY(F73,-1))</f>
        <v>14.71</v>
      </c>
      <c r="L73">
        <f>_xll.ciqfunctions.udf.CIQ(A73, "IQ_LASTSALEPRICE", F73)</f>
        <v>15.94</v>
      </c>
      <c r="M73">
        <f>_xll.ciqfunctions.udf.CIQ(A73, "IQ_LASTSALEPRICE", WORKDAY(F73,5))</f>
        <v>15.21</v>
      </c>
      <c r="N73">
        <f t="shared" si="2"/>
        <v>8.0304138748722734E-2</v>
      </c>
      <c r="O73">
        <f t="shared" si="3"/>
        <v>3.3425571657855327E-2</v>
      </c>
      <c r="P73">
        <f>LN(_xll.ciqfunctions.udf.CIQ("XBI", "IQ_LASTSALEPRICE", WORKDAY(F73,-1))/_xll.ciqfunctions.udf.CIQ("XBI", "IQ_LASTSALEPRICE", WORKDAY(F73,1)))</f>
        <v>-4.7028895601092947E-2</v>
      </c>
      <c r="Q73">
        <f>LN(_xll.ciqfunctions.udf.CIQ("XBI", "IQ_LASTSALEPRICE", WORKDAY(F73,-1))/_xll.ciqfunctions.udf.CIQ("XBI", "IQ_LASTSALEPRICE", WORKDAY(F73,5)))</f>
        <v>-1.2463993984005805E-2</v>
      </c>
      <c r="R73">
        <f>_xll.ciqfunctions.udf.CIQ(A73, "IQ_SHORT_INTEREST_PERCENT", F73)</f>
        <v>30.633479999999999</v>
      </c>
      <c r="S73">
        <f>_xll.ciqfunctions.udf.CIQ(A73, "IQ_BETA_1YR_RSQ", F73)</f>
        <v>2.657E-2</v>
      </c>
      <c r="T73">
        <f>_xll.ciqfunctions.udf.CIQ(A73, "IQ_VALUE_TRADED", F73)</f>
        <v>16.213989999999999</v>
      </c>
    </row>
    <row r="74" spans="1:20" x14ac:dyDescent="0.3">
      <c r="A74" t="s">
        <v>263</v>
      </c>
      <c r="B74">
        <v>1.55</v>
      </c>
      <c r="C74" t="s">
        <v>264</v>
      </c>
      <c r="D74" t="s">
        <v>265</v>
      </c>
      <c r="E74" t="s">
        <v>184</v>
      </c>
      <c r="F74" s="1">
        <v>45299</v>
      </c>
      <c r="G74" t="s">
        <v>266</v>
      </c>
      <c r="H74">
        <v>342</v>
      </c>
      <c r="I74">
        <f>_xll.ciqfunctions.udf.CIQ(A74, "IQ_MARKETCAP", F74)</f>
        <v>339.36327999999997</v>
      </c>
      <c r="J74">
        <f>_xll.ciqfunctions.udf.CIQ(A74, "IQ_PRICE_VOL_HIST_6MTH", F74)</f>
        <v>63.512799999999999</v>
      </c>
      <c r="K74">
        <f>_xll.ciqfunctions.udf.CIQ(A74, "IQ_LASTSALEPRICE", WORKDAY(F74,-1))</f>
        <v>1.49</v>
      </c>
      <c r="L74">
        <f>_xll.ciqfunctions.udf.CIQ(A74, "IQ_LASTSALEPRICE", F74)</f>
        <v>1.55</v>
      </c>
      <c r="M74">
        <f>_xll.ciqfunctions.udf.CIQ(A74, "IQ_LASTSALEPRICE", WORKDAY(F74,5))</f>
        <v>1.58</v>
      </c>
      <c r="N74">
        <f t="shared" si="2"/>
        <v>3.9478810973787422E-2</v>
      </c>
      <c r="O74">
        <f t="shared" si="3"/>
        <v>5.8648727081507687E-2</v>
      </c>
      <c r="P74">
        <f>LN(_xll.ciqfunctions.udf.CIQ("XBI", "IQ_LASTSALEPRICE", WORKDAY(F74,-1))/_xll.ciqfunctions.udf.CIQ("XBI", "IQ_LASTSALEPRICE", WORKDAY(F74,1)))</f>
        <v>-4.7028895601092947E-2</v>
      </c>
      <c r="Q74">
        <f>LN(_xll.ciqfunctions.udf.CIQ("XBI", "IQ_LASTSALEPRICE", WORKDAY(F74,-1))/_xll.ciqfunctions.udf.CIQ("XBI", "IQ_LASTSALEPRICE", WORKDAY(F74,5)))</f>
        <v>-1.2463993984005805E-2</v>
      </c>
      <c r="R74">
        <f>_xll.ciqfunctions.udf.CIQ(A74, "IQ_SHORT_INTEREST_PERCENT", F74)</f>
        <v>1.0064299999999999</v>
      </c>
      <c r="S74">
        <f>_xll.ciqfunctions.udf.CIQ(A74, "IQ_BETA_1YR_RSQ", F74)</f>
        <v>0.28383999999999998</v>
      </c>
      <c r="T74">
        <f>_xll.ciqfunctions.udf.CIQ(A74, "IQ_VALUE_TRADED", F74)</f>
        <v>0.87455000000000005</v>
      </c>
    </row>
    <row r="75" spans="1:20" x14ac:dyDescent="0.3">
      <c r="A75" t="s">
        <v>267</v>
      </c>
      <c r="B75">
        <v>6.61</v>
      </c>
      <c r="C75" t="s">
        <v>268</v>
      </c>
      <c r="D75" t="s">
        <v>269</v>
      </c>
      <c r="E75" t="s">
        <v>17</v>
      </c>
      <c r="F75" s="1">
        <v>45299</v>
      </c>
      <c r="G75" t="s">
        <v>270</v>
      </c>
      <c r="H75">
        <v>15</v>
      </c>
      <c r="I75">
        <f>_xll.ciqfunctions.udf.CIQ(A75, "IQ_MARKETCAP", F75)</f>
        <v>98.743170000000006</v>
      </c>
      <c r="J75">
        <f>_xll.ciqfunctions.udf.CIQ(A75, "IQ_PRICE_VOL_HIST_6MTH", F75)</f>
        <v>0</v>
      </c>
      <c r="K75">
        <f>_xll.ciqfunctions.udf.CIQ(A75, "IQ_LASTSALEPRICE", WORKDAY(F75,-1))</f>
        <v>0</v>
      </c>
      <c r="L75">
        <f>_xll.ciqfunctions.udf.CIQ(A75, "IQ_LASTSALEPRICE", F75)</f>
        <v>0</v>
      </c>
      <c r="M75">
        <f>_xll.ciqfunctions.udf.CIQ(A75, "IQ_LASTSALEPRICE", WORKDAY(F75,5))</f>
        <v>0</v>
      </c>
      <c r="N75" t="e">
        <f t="shared" si="2"/>
        <v>#DIV/0!</v>
      </c>
      <c r="O75" t="e">
        <f t="shared" si="3"/>
        <v>#DIV/0!</v>
      </c>
      <c r="P75">
        <f>LN(_xll.ciqfunctions.udf.CIQ("XBI", "IQ_LASTSALEPRICE", WORKDAY(F75,-1))/_xll.ciqfunctions.udf.CIQ("XBI", "IQ_LASTSALEPRICE", WORKDAY(F75,1)))</f>
        <v>-4.7028895601092947E-2</v>
      </c>
      <c r="Q75">
        <f>LN(_xll.ciqfunctions.udf.CIQ("XBI", "IQ_LASTSALEPRICE", WORKDAY(F75,-1))/_xll.ciqfunctions.udf.CIQ("XBI", "IQ_LASTSALEPRICE", WORKDAY(F75,5)))</f>
        <v>-1.2463993984005805E-2</v>
      </c>
      <c r="R75">
        <f>_xll.ciqfunctions.udf.CIQ(A75, "IQ_SHORT_INTEREST_PERCENT", F75)</f>
        <v>0</v>
      </c>
      <c r="S75">
        <f>_xll.ciqfunctions.udf.CIQ(A75, "IQ_BETA_1YR_RSQ", F75)</f>
        <v>0</v>
      </c>
      <c r="T75">
        <f>_xll.ciqfunctions.udf.CIQ(A75, "IQ_VALUE_TRADED", F75)</f>
        <v>0</v>
      </c>
    </row>
    <row r="76" spans="1:20" x14ac:dyDescent="0.3">
      <c r="A76" t="s">
        <v>271</v>
      </c>
      <c r="B76">
        <v>3.1</v>
      </c>
      <c r="C76" t="s">
        <v>272</v>
      </c>
      <c r="D76" t="s">
        <v>273</v>
      </c>
      <c r="E76" t="s">
        <v>36</v>
      </c>
      <c r="F76" s="1">
        <v>45299</v>
      </c>
      <c r="G76" t="s">
        <v>274</v>
      </c>
      <c r="H76">
        <v>79</v>
      </c>
      <c r="I76">
        <f>_xll.ciqfunctions.udf.CIQ(A76, "IQ_MARKETCAP", F76)</f>
        <v>258.65008999999998</v>
      </c>
      <c r="J76">
        <f>_xll.ciqfunctions.udf.CIQ(A76, "IQ_PRICE_VOL_HIST_6MTH", F76)</f>
        <v>38.8628</v>
      </c>
      <c r="K76">
        <f>_xll.ciqfunctions.udf.CIQ(A76, "IQ_LASTSALEPRICE", WORKDAY(F76,-1))</f>
        <v>3.09</v>
      </c>
      <c r="L76">
        <f>_xll.ciqfunctions.udf.CIQ(A76, "IQ_LASTSALEPRICE", F76)</f>
        <v>3.1</v>
      </c>
      <c r="M76">
        <f>_xll.ciqfunctions.udf.CIQ(A76, "IQ_LASTSALEPRICE", WORKDAY(F76,5))</f>
        <v>3.56</v>
      </c>
      <c r="N76">
        <f t="shared" si="2"/>
        <v>3.23102058144654E-3</v>
      </c>
      <c r="O76">
        <f t="shared" si="3"/>
        <v>0.14158945395428507</v>
      </c>
      <c r="P76">
        <f>LN(_xll.ciqfunctions.udf.CIQ("XBI", "IQ_LASTSALEPRICE", WORKDAY(F76,-1))/_xll.ciqfunctions.udf.CIQ("XBI", "IQ_LASTSALEPRICE", WORKDAY(F76,1)))</f>
        <v>-4.7028895601092947E-2</v>
      </c>
      <c r="Q76">
        <f>LN(_xll.ciqfunctions.udf.CIQ("XBI", "IQ_LASTSALEPRICE", WORKDAY(F76,-1))/_xll.ciqfunctions.udf.CIQ("XBI", "IQ_LASTSALEPRICE", WORKDAY(F76,5)))</f>
        <v>-1.2463993984005805E-2</v>
      </c>
      <c r="R76">
        <f>_xll.ciqfunctions.udf.CIQ(A76, "IQ_SHORT_INTEREST_PERCENT", F76)</f>
        <v>4.2151800000000001</v>
      </c>
      <c r="S76">
        <f>_xll.ciqfunctions.udf.CIQ(A76, "IQ_BETA_1YR_RSQ", F76)</f>
        <v>3.8120000000000001E-2</v>
      </c>
      <c r="T76">
        <f>_xll.ciqfunctions.udf.CIQ(A76, "IQ_VALUE_TRADED", F76)</f>
        <v>2.2926199999999999</v>
      </c>
    </row>
    <row r="77" spans="1:20" x14ac:dyDescent="0.3">
      <c r="A77" t="s">
        <v>275</v>
      </c>
      <c r="B77">
        <v>5.45</v>
      </c>
      <c r="C77" t="s">
        <v>276</v>
      </c>
      <c r="D77" t="s">
        <v>243</v>
      </c>
      <c r="E77" t="s">
        <v>17</v>
      </c>
      <c r="F77" s="1">
        <v>45300</v>
      </c>
      <c r="G77" t="s">
        <v>277</v>
      </c>
      <c r="H77">
        <v>16</v>
      </c>
      <c r="I77">
        <f>_xll.ciqfunctions.udf.CIQ(A77, "IQ_MARKETCAP", F77)</f>
        <v>52.3508</v>
      </c>
      <c r="J77">
        <f>_xll.ciqfunctions.udf.CIQ(A77, "IQ_PRICE_VOL_HIST_6MTH", F77)</f>
        <v>115.2223</v>
      </c>
      <c r="K77">
        <f>_xll.ciqfunctions.udf.CIQ(A77, "IQ_LASTSALEPRICE", WORKDAY(F77,-1))</f>
        <v>7.82</v>
      </c>
      <c r="L77">
        <f>_xll.ciqfunctions.udf.CIQ(A77, "IQ_LASTSALEPRICE", F77)</f>
        <v>5.45</v>
      </c>
      <c r="M77">
        <f>_xll.ciqfunctions.udf.CIQ(A77, "IQ_LASTSALEPRICE", WORKDAY(F77,5))</f>
        <v>5.28</v>
      </c>
      <c r="N77">
        <f t="shared" si="2"/>
        <v>-0.36106894588206706</v>
      </c>
      <c r="O77">
        <f t="shared" si="3"/>
        <v>-0.39275845683904964</v>
      </c>
      <c r="P77">
        <f>LN(_xll.ciqfunctions.udf.CIQ("XBI", "IQ_LASTSALEPRICE", WORKDAY(F77,-1))/_xll.ciqfunctions.udf.CIQ("XBI", "IQ_LASTSALEPRICE", WORKDAY(F77,1)))</f>
        <v>9.5725388130231143E-3</v>
      </c>
      <c r="Q77">
        <f>LN(_xll.ciqfunctions.udf.CIQ("XBI", "IQ_LASTSALEPRICE", WORKDAY(F77,-1))/_xll.ciqfunctions.udf.CIQ("XBI", "IQ_LASTSALEPRICE", WORKDAY(F77,5)))</f>
        <v>4.7795155180405682E-2</v>
      </c>
      <c r="R77">
        <f>_xll.ciqfunctions.udf.CIQ(A77, "IQ_SHORT_INTEREST_PERCENT", F77)</f>
        <v>7.0550000000000002E-2</v>
      </c>
      <c r="S77">
        <f>_xll.ciqfunctions.udf.CIQ(A77, "IQ_BETA_1YR_RSQ", F77)</f>
        <v>2.1850000000000001E-2</v>
      </c>
      <c r="T77">
        <f>_xll.ciqfunctions.udf.CIQ(A77, "IQ_VALUE_TRADED", F77)</f>
        <v>16.859860000000001</v>
      </c>
    </row>
    <row r="78" spans="1:20" x14ac:dyDescent="0.3">
      <c r="A78" t="s">
        <v>278</v>
      </c>
      <c r="B78">
        <v>12.04</v>
      </c>
      <c r="C78" t="s">
        <v>279</v>
      </c>
      <c r="D78" t="s">
        <v>280</v>
      </c>
      <c r="E78" t="s">
        <v>281</v>
      </c>
      <c r="F78" s="1">
        <v>45300</v>
      </c>
      <c r="G78" t="s">
        <v>282</v>
      </c>
      <c r="I78">
        <f>_xll.ciqfunctions.udf.CIQ(A78, "IQ_MARKETCAP", F78)</f>
        <v>3116898.4676199998</v>
      </c>
      <c r="J78">
        <f>_xll.ciqfunctions.udf.CIQ(A78, "IQ_PRICE_VOL_HIST_6MTH", F78)</f>
        <v>0</v>
      </c>
      <c r="K78">
        <f>_xll.ciqfunctions.udf.CIQ(A78, "IQ_LASTSALEPRICE", WORKDAY(F78,-1))</f>
        <v>0</v>
      </c>
      <c r="L78">
        <f>_xll.ciqfunctions.udf.CIQ(A78, "IQ_LASTSALEPRICE", F78)</f>
        <v>0</v>
      </c>
      <c r="M78">
        <f>_xll.ciqfunctions.udf.CIQ(A78, "IQ_LASTSALEPRICE", WORKDAY(F78,5))</f>
        <v>0</v>
      </c>
      <c r="N78" t="e">
        <f t="shared" si="2"/>
        <v>#DIV/0!</v>
      </c>
      <c r="O78" t="e">
        <f t="shared" si="3"/>
        <v>#DIV/0!</v>
      </c>
      <c r="P78">
        <f>LN(_xll.ciqfunctions.udf.CIQ("XBI", "IQ_LASTSALEPRICE", WORKDAY(F78,-1))/_xll.ciqfunctions.udf.CIQ("XBI", "IQ_LASTSALEPRICE", WORKDAY(F78,1)))</f>
        <v>9.5725388130231143E-3</v>
      </c>
      <c r="Q78">
        <f>LN(_xll.ciqfunctions.udf.CIQ("XBI", "IQ_LASTSALEPRICE", WORKDAY(F78,-1))/_xll.ciqfunctions.udf.CIQ("XBI", "IQ_LASTSALEPRICE", WORKDAY(F78,5)))</f>
        <v>4.7795155180405682E-2</v>
      </c>
      <c r="R78">
        <f>_xll.ciqfunctions.udf.CIQ(A78, "IQ_SHORT_INTEREST_PERCENT", F78)</f>
        <v>0</v>
      </c>
      <c r="S78">
        <f>_xll.ciqfunctions.udf.CIQ(A78, "IQ_BETA_1YR_RSQ", F78)</f>
        <v>0</v>
      </c>
      <c r="T78">
        <f>_xll.ciqfunctions.udf.CIQ(A78, "IQ_VALUE_TRADED", F78)</f>
        <v>0</v>
      </c>
    </row>
    <row r="79" spans="1:20" x14ac:dyDescent="0.3">
      <c r="A79" t="s">
        <v>283</v>
      </c>
      <c r="B79">
        <v>37.31</v>
      </c>
      <c r="C79" t="s">
        <v>284</v>
      </c>
      <c r="D79" t="s">
        <v>285</v>
      </c>
      <c r="E79" t="s">
        <v>11</v>
      </c>
      <c r="F79" s="1">
        <v>45300</v>
      </c>
      <c r="G79" t="s">
        <v>286</v>
      </c>
      <c r="H79">
        <v>50</v>
      </c>
      <c r="I79">
        <f>_xll.ciqfunctions.udf.CIQ(A79, "IQ_MARKETCAP", F79)</f>
        <v>1780.6026999999999</v>
      </c>
      <c r="J79">
        <f>_xll.ciqfunctions.udf.CIQ(A79, "IQ_PRICE_VOL_HIST_6MTH", F79)</f>
        <v>48.441400000000002</v>
      </c>
      <c r="K79">
        <f>_xll.ciqfunctions.udf.CIQ(A79, "IQ_LASTSALEPRICE", WORKDAY(F79,-1))</f>
        <v>34.79</v>
      </c>
      <c r="L79">
        <f>_xll.ciqfunctions.udf.CIQ(A79, "IQ_LASTSALEPRICE", F79)</f>
        <v>37.31</v>
      </c>
      <c r="M79">
        <f>_xll.ciqfunctions.udf.CIQ(A79, "IQ_LASTSALEPRICE", WORKDAY(F79,5))</f>
        <v>39.200000000000003</v>
      </c>
      <c r="N79">
        <f t="shared" si="2"/>
        <v>6.9931398069215847E-2</v>
      </c>
      <c r="O79">
        <f t="shared" si="3"/>
        <v>0.11934675763256623</v>
      </c>
      <c r="P79">
        <f>LN(_xll.ciqfunctions.udf.CIQ("XBI", "IQ_LASTSALEPRICE", WORKDAY(F79,-1))/_xll.ciqfunctions.udf.CIQ("XBI", "IQ_LASTSALEPRICE", WORKDAY(F79,1)))</f>
        <v>9.5725388130231143E-3</v>
      </c>
      <c r="Q79">
        <f>LN(_xll.ciqfunctions.udf.CIQ("XBI", "IQ_LASTSALEPRICE", WORKDAY(F79,-1))/_xll.ciqfunctions.udf.CIQ("XBI", "IQ_LASTSALEPRICE", WORKDAY(F79,5)))</f>
        <v>4.7795155180405682E-2</v>
      </c>
      <c r="R79">
        <f>_xll.ciqfunctions.udf.CIQ(A79, "IQ_SHORT_INTEREST_PERCENT", F79)</f>
        <v>12.321440000000001</v>
      </c>
      <c r="S79">
        <f>_xll.ciqfunctions.udf.CIQ(A79, "IQ_BETA_1YR_RSQ", F79)</f>
        <v>0.16761000000000001</v>
      </c>
      <c r="T79">
        <f>_xll.ciqfunctions.udf.CIQ(A79, "IQ_VALUE_TRADED", F79)</f>
        <v>41.976030000000002</v>
      </c>
    </row>
    <row r="80" spans="1:20" x14ac:dyDescent="0.3">
      <c r="A80" t="s">
        <v>287</v>
      </c>
      <c r="B80">
        <v>12.49</v>
      </c>
      <c r="C80" t="s">
        <v>284</v>
      </c>
      <c r="D80" t="s">
        <v>285</v>
      </c>
      <c r="E80" t="s">
        <v>11</v>
      </c>
      <c r="F80" s="1">
        <v>45300</v>
      </c>
      <c r="G80" t="s">
        <v>286</v>
      </c>
      <c r="H80">
        <v>11</v>
      </c>
      <c r="I80">
        <f>_xll.ciqfunctions.udf.CIQ(A80, "IQ_MARKETCAP", F80)</f>
        <v>115.14857000000001</v>
      </c>
      <c r="J80">
        <f>_xll.ciqfunctions.udf.CIQ(A80, "IQ_PRICE_VOL_HIST_6MTH", F80)</f>
        <v>54.084400000000002</v>
      </c>
      <c r="K80">
        <f>_xll.ciqfunctions.udf.CIQ(A80, "IQ_LASTSALEPRICE", WORKDAY(F80,-1))</f>
        <v>11.82</v>
      </c>
      <c r="L80">
        <f>_xll.ciqfunctions.udf.CIQ(A80, "IQ_LASTSALEPRICE", F80)</f>
        <v>12.49</v>
      </c>
      <c r="M80">
        <f>_xll.ciqfunctions.udf.CIQ(A80, "IQ_LASTSALEPRICE", WORKDAY(F80,5))</f>
        <v>12.87</v>
      </c>
      <c r="N80">
        <f t="shared" si="2"/>
        <v>5.51353121595341E-2</v>
      </c>
      <c r="O80">
        <f t="shared" si="3"/>
        <v>8.5106009630083149E-2</v>
      </c>
      <c r="P80">
        <f>LN(_xll.ciqfunctions.udf.CIQ("XBI", "IQ_LASTSALEPRICE", WORKDAY(F80,-1))/_xll.ciqfunctions.udf.CIQ("XBI", "IQ_LASTSALEPRICE", WORKDAY(F80,1)))</f>
        <v>9.5725388130231143E-3</v>
      </c>
      <c r="Q80">
        <f>LN(_xll.ciqfunctions.udf.CIQ("XBI", "IQ_LASTSALEPRICE", WORKDAY(F80,-1))/_xll.ciqfunctions.udf.CIQ("XBI", "IQ_LASTSALEPRICE", WORKDAY(F80,5)))</f>
        <v>4.7795155180405682E-2</v>
      </c>
      <c r="R80">
        <f>_xll.ciqfunctions.udf.CIQ(A80, "IQ_SHORT_INTEREST_PERCENT", F80)</f>
        <v>0.36552000000000001</v>
      </c>
      <c r="S80">
        <f>_xll.ciqfunctions.udf.CIQ(A80, "IQ_BETA_1YR_RSQ", F80)</f>
        <v>9.1139999999999999E-2</v>
      </c>
      <c r="T80">
        <f>_xll.ciqfunctions.udf.CIQ(A80, "IQ_VALUE_TRADED", F80)</f>
        <v>1.29993</v>
      </c>
    </row>
    <row r="81" spans="1:20" x14ac:dyDescent="0.3">
      <c r="A81" t="s">
        <v>288</v>
      </c>
      <c r="B81">
        <v>7.22</v>
      </c>
      <c r="C81" t="s">
        <v>289</v>
      </c>
      <c r="D81" t="s">
        <v>104</v>
      </c>
      <c r="E81" t="s">
        <v>184</v>
      </c>
      <c r="F81" s="1">
        <v>45300</v>
      </c>
      <c r="G81" t="s">
        <v>290</v>
      </c>
      <c r="H81">
        <v>12</v>
      </c>
      <c r="I81">
        <f>_xll.ciqfunctions.udf.CIQ(A81, "IQ_MARKETCAP", F81)</f>
        <v>31.93899</v>
      </c>
      <c r="J81">
        <f>_xll.ciqfunctions.udf.CIQ(A81, "IQ_PRICE_VOL_HIST_6MTH", F81)</f>
        <v>98.165000000000006</v>
      </c>
      <c r="K81">
        <f>_xll.ciqfunctions.udf.CIQ(A81, "IQ_LASTSALEPRICE", WORKDAY(F81,-1))</f>
        <v>7.16</v>
      </c>
      <c r="L81">
        <f>_xll.ciqfunctions.udf.CIQ(A81, "IQ_LASTSALEPRICE", F81)</f>
        <v>7.22</v>
      </c>
      <c r="M81">
        <f>_xll.ciqfunctions.udf.CIQ(A81, "IQ_LASTSALEPRICE", WORKDAY(F81,5))</f>
        <v>6.09</v>
      </c>
      <c r="N81">
        <f t="shared" si="2"/>
        <v>8.3449719321804679E-3</v>
      </c>
      <c r="O81">
        <f t="shared" si="3"/>
        <v>-0.16186189925074859</v>
      </c>
      <c r="P81">
        <f>LN(_xll.ciqfunctions.udf.CIQ("XBI", "IQ_LASTSALEPRICE", WORKDAY(F81,-1))/_xll.ciqfunctions.udf.CIQ("XBI", "IQ_LASTSALEPRICE", WORKDAY(F81,1)))</f>
        <v>9.5725388130231143E-3</v>
      </c>
      <c r="Q81">
        <f>LN(_xll.ciqfunctions.udf.CIQ("XBI", "IQ_LASTSALEPRICE", WORKDAY(F81,-1))/_xll.ciqfunctions.udf.CIQ("XBI", "IQ_LASTSALEPRICE", WORKDAY(F81,5)))</f>
        <v>4.7795155180405682E-2</v>
      </c>
      <c r="R81">
        <f>_xll.ciqfunctions.udf.CIQ(A81, "IQ_SHORT_INTEREST_PERCENT", F81)</f>
        <v>1.07707</v>
      </c>
      <c r="S81">
        <f>_xll.ciqfunctions.udf.CIQ(A81, "IQ_BETA_1YR_RSQ", F81)</f>
        <v>2.47E-2</v>
      </c>
      <c r="T81">
        <f>_xll.ciqfunctions.udf.CIQ(A81, "IQ_VALUE_TRADED", F81)</f>
        <v>0.24507999999999999</v>
      </c>
    </row>
    <row r="82" spans="1:20" x14ac:dyDescent="0.3">
      <c r="A82" t="s">
        <v>291</v>
      </c>
      <c r="B82">
        <v>76.44</v>
      </c>
      <c r="C82" t="s">
        <v>292</v>
      </c>
      <c r="D82" t="s">
        <v>293</v>
      </c>
      <c r="E82" t="s">
        <v>36</v>
      </c>
      <c r="F82" s="1">
        <v>45300</v>
      </c>
      <c r="G82" t="s">
        <v>294</v>
      </c>
      <c r="H82">
        <v>494</v>
      </c>
      <c r="I82">
        <f>_xll.ciqfunctions.udf.CIQ(A82, "IQ_MARKETCAP", F82)</f>
        <v>93.973129999999998</v>
      </c>
      <c r="J82">
        <f>_xll.ciqfunctions.udf.CIQ(A82, "IQ_PRICE_VOL_HIST_6MTH", F82)</f>
        <v>75.380799999999994</v>
      </c>
      <c r="K82">
        <f>_xll.ciqfunctions.udf.CIQ(A82, "IQ_LASTSALEPRICE", WORKDAY(F82,-1))</f>
        <v>6.8500000000000005E-2</v>
      </c>
      <c r="L82">
        <f>_xll.ciqfunctions.udf.CIQ(A82, "IQ_LASTSALEPRICE", F82)</f>
        <v>7.0000000000000007E-2</v>
      </c>
      <c r="M82">
        <f>_xll.ciqfunctions.udf.CIQ(A82, "IQ_LASTSALEPRICE", WORKDAY(F82,5))</f>
        <v>6.5000000000000002E-2</v>
      </c>
      <c r="N82">
        <f t="shared" si="2"/>
        <v>2.1661496781179467E-2</v>
      </c>
      <c r="O82">
        <f t="shared" si="3"/>
        <v>-5.2446475372542545E-2</v>
      </c>
      <c r="P82">
        <f>LN(_xll.ciqfunctions.udf.CIQ("XBI", "IQ_LASTSALEPRICE", WORKDAY(F82,-1))/_xll.ciqfunctions.udf.CIQ("XBI", "IQ_LASTSALEPRICE", WORKDAY(F82,1)))</f>
        <v>9.5725388130231143E-3</v>
      </c>
      <c r="Q82">
        <f>LN(_xll.ciqfunctions.udf.CIQ("XBI", "IQ_LASTSALEPRICE", WORKDAY(F82,-1))/_xll.ciqfunctions.udf.CIQ("XBI", "IQ_LASTSALEPRICE", WORKDAY(F82,5)))</f>
        <v>4.7795155180405682E-2</v>
      </c>
      <c r="R82">
        <f>_xll.ciqfunctions.udf.CIQ(A82, "IQ_SHORT_INTEREST_PERCENT", F82)</f>
        <v>0</v>
      </c>
      <c r="S82">
        <f>_xll.ciqfunctions.udf.CIQ(A82, "IQ_BETA_1YR_RSQ", F82)</f>
        <v>9.3999999999999997E-4</v>
      </c>
      <c r="T82">
        <f>_xll.ciqfunctions.udf.CIQ(A82, "IQ_VALUE_TRADED", F82)</f>
        <v>0.15775</v>
      </c>
    </row>
    <row r="83" spans="1:20" x14ac:dyDescent="0.3">
      <c r="A83" t="s">
        <v>291</v>
      </c>
      <c r="B83">
        <v>76.44</v>
      </c>
      <c r="C83" t="s">
        <v>295</v>
      </c>
      <c r="D83" t="s">
        <v>296</v>
      </c>
      <c r="E83" t="s">
        <v>36</v>
      </c>
      <c r="F83" s="1">
        <v>45300</v>
      </c>
      <c r="G83" t="s">
        <v>294</v>
      </c>
      <c r="H83">
        <v>494</v>
      </c>
      <c r="I83">
        <f>_xll.ciqfunctions.udf.CIQ(A83, "IQ_MARKETCAP", F83)</f>
        <v>93.973129999999998</v>
      </c>
      <c r="J83">
        <f>_xll.ciqfunctions.udf.CIQ(A83, "IQ_PRICE_VOL_HIST_6MTH", F83)</f>
        <v>75.380799999999994</v>
      </c>
      <c r="K83">
        <f>_xll.ciqfunctions.udf.CIQ(A83, "IQ_LASTSALEPRICE", WORKDAY(F83,-1))</f>
        <v>6.8500000000000005E-2</v>
      </c>
      <c r="L83">
        <f>_xll.ciqfunctions.udf.CIQ(A83, "IQ_LASTSALEPRICE", F83)</f>
        <v>7.0000000000000007E-2</v>
      </c>
      <c r="M83">
        <f>_xll.ciqfunctions.udf.CIQ(A83, "IQ_LASTSALEPRICE", WORKDAY(F83,5))</f>
        <v>6.5000000000000002E-2</v>
      </c>
      <c r="N83">
        <f t="shared" si="2"/>
        <v>2.1661496781179467E-2</v>
      </c>
      <c r="O83">
        <f t="shared" si="3"/>
        <v>-5.2446475372542545E-2</v>
      </c>
      <c r="P83">
        <f>LN(_xll.ciqfunctions.udf.CIQ("XBI", "IQ_LASTSALEPRICE", WORKDAY(F83,-1))/_xll.ciqfunctions.udf.CIQ("XBI", "IQ_LASTSALEPRICE", WORKDAY(F83,1)))</f>
        <v>9.5725388130231143E-3</v>
      </c>
      <c r="Q83">
        <f>LN(_xll.ciqfunctions.udf.CIQ("XBI", "IQ_LASTSALEPRICE", WORKDAY(F83,-1))/_xll.ciqfunctions.udf.CIQ("XBI", "IQ_LASTSALEPRICE", WORKDAY(F83,5)))</f>
        <v>4.7795155180405682E-2</v>
      </c>
      <c r="R83">
        <f>_xll.ciqfunctions.udf.CIQ(A83, "IQ_SHORT_INTEREST_PERCENT", F83)</f>
        <v>0</v>
      </c>
      <c r="S83">
        <f>_xll.ciqfunctions.udf.CIQ(A83, "IQ_BETA_1YR_RSQ", F83)</f>
        <v>9.3999999999999997E-4</v>
      </c>
      <c r="T83">
        <f>_xll.ciqfunctions.udf.CIQ(A83, "IQ_VALUE_TRADED", F83)</f>
        <v>0.15775</v>
      </c>
    </row>
    <row r="84" spans="1:20" x14ac:dyDescent="0.3">
      <c r="A84" t="s">
        <v>150</v>
      </c>
      <c r="B84">
        <v>3.25</v>
      </c>
      <c r="C84" t="s">
        <v>297</v>
      </c>
      <c r="D84" t="s">
        <v>298</v>
      </c>
      <c r="E84" t="s">
        <v>22</v>
      </c>
      <c r="F84" s="1">
        <v>45301</v>
      </c>
      <c r="G84" t="s">
        <v>299</v>
      </c>
      <c r="H84">
        <v>4</v>
      </c>
      <c r="I84">
        <f>_xll.ciqfunctions.udf.CIQ(A84, "IQ_MARKETCAP", F84)</f>
        <v>391.89183000000003</v>
      </c>
      <c r="J84">
        <f>_xll.ciqfunctions.udf.CIQ(A84, "IQ_PRICE_VOL_HIST_6MTH", F84)</f>
        <v>203.07040000000001</v>
      </c>
      <c r="K84">
        <f>_xll.ciqfunctions.udf.CIQ(A84, "IQ_LASTSALEPRICE", WORKDAY(F84,-1))</f>
        <v>80.75</v>
      </c>
      <c r="L84">
        <f>_xll.ciqfunctions.udf.CIQ(A84, "IQ_LASTSALEPRICE", F84)</f>
        <v>81.25</v>
      </c>
      <c r="M84">
        <f>_xll.ciqfunctions.udf.CIQ(A84, "IQ_LASTSALEPRICE", WORKDAY(F84,5))</f>
        <v>72.25</v>
      </c>
      <c r="N84">
        <f t="shared" si="2"/>
        <v>6.1728591070810161E-3</v>
      </c>
      <c r="O84">
        <f t="shared" si="3"/>
        <v>-0.11122563511022437</v>
      </c>
      <c r="P84">
        <f>LN(_xll.ciqfunctions.udf.CIQ("XBI", "IQ_LASTSALEPRICE", WORKDAY(F84,-1))/_xll.ciqfunctions.udf.CIQ("XBI", "IQ_LASTSALEPRICE", WORKDAY(F84,1)))</f>
        <v>3.4012079445896119E-2</v>
      </c>
      <c r="Q84">
        <f>LN(_xll.ciqfunctions.udf.CIQ("XBI", "IQ_LASTSALEPRICE", WORKDAY(F84,-1))/_xll.ciqfunctions.udf.CIQ("XBI", "IQ_LASTSALEPRICE", WORKDAY(F84,5)))</f>
        <v>5.7837377315165826E-2</v>
      </c>
      <c r="R84">
        <f>_xll.ciqfunctions.udf.CIQ(A84, "IQ_SHORT_INTEREST_PERCENT", F84)</f>
        <v>6.9619</v>
      </c>
      <c r="S84">
        <f>_xll.ciqfunctions.udf.CIQ(A84, "IQ_BETA_1YR_RSQ", F84)</f>
        <v>1.324E-2</v>
      </c>
      <c r="T84">
        <f>_xll.ciqfunctions.udf.CIQ(A84, "IQ_VALUE_TRADED", F84)</f>
        <v>22.865290000000002</v>
      </c>
    </row>
    <row r="85" spans="1:20" x14ac:dyDescent="0.3">
      <c r="A85" t="s">
        <v>300</v>
      </c>
      <c r="B85">
        <v>19.14</v>
      </c>
      <c r="C85" t="s">
        <v>301</v>
      </c>
      <c r="D85" t="s">
        <v>302</v>
      </c>
      <c r="E85" t="s">
        <v>76</v>
      </c>
      <c r="F85" s="1">
        <v>45301</v>
      </c>
      <c r="G85" t="s">
        <v>303</v>
      </c>
      <c r="H85">
        <v>46</v>
      </c>
      <c r="I85">
        <f>_xll.ciqfunctions.udf.CIQ(A85, "IQ_MARKETCAP", F85)</f>
        <v>818.30403999999999</v>
      </c>
      <c r="J85">
        <f>_xll.ciqfunctions.udf.CIQ(A85, "IQ_PRICE_VOL_HIST_6MTH", F85)</f>
        <v>55.3857</v>
      </c>
      <c r="K85">
        <f>_xll.ciqfunctions.udf.CIQ(A85, "IQ_LASTSALEPRICE", WORKDAY(F85,-1))</f>
        <v>19.489999999999998</v>
      </c>
      <c r="L85">
        <f>_xll.ciqfunctions.udf.CIQ(A85, "IQ_LASTSALEPRICE", F85)</f>
        <v>19.14</v>
      </c>
      <c r="M85">
        <f>_xll.ciqfunctions.udf.CIQ(A85, "IQ_LASTSALEPRICE", WORKDAY(F85,5))</f>
        <v>17.75</v>
      </c>
      <c r="N85">
        <f t="shared" si="2"/>
        <v>-1.8121127494661146E-2</v>
      </c>
      <c r="O85">
        <f t="shared" si="3"/>
        <v>-9.3515997598044603E-2</v>
      </c>
      <c r="P85">
        <f>LN(_xll.ciqfunctions.udf.CIQ("XBI", "IQ_LASTSALEPRICE", WORKDAY(F85,-1))/_xll.ciqfunctions.udf.CIQ("XBI", "IQ_LASTSALEPRICE", WORKDAY(F85,1)))</f>
        <v>3.4012079445896119E-2</v>
      </c>
      <c r="Q85">
        <f>LN(_xll.ciqfunctions.udf.CIQ("XBI", "IQ_LASTSALEPRICE", WORKDAY(F85,-1))/_xll.ciqfunctions.udf.CIQ("XBI", "IQ_LASTSALEPRICE", WORKDAY(F85,5)))</f>
        <v>5.7837377315165826E-2</v>
      </c>
      <c r="R85">
        <f>_xll.ciqfunctions.udf.CIQ(A85, "IQ_SHORT_INTEREST_PERCENT", F85)</f>
        <v>7.5318699999999996</v>
      </c>
      <c r="S85">
        <f>_xll.ciqfunctions.udf.CIQ(A85, "IQ_BETA_1YR_RSQ", F85)</f>
        <v>0.14729999999999999</v>
      </c>
      <c r="T85">
        <f>_xll.ciqfunctions.udf.CIQ(A85, "IQ_VALUE_TRADED", F85)</f>
        <v>4.4438500000000003</v>
      </c>
    </row>
    <row r="86" spans="1:20" x14ac:dyDescent="0.3">
      <c r="A86" t="s">
        <v>304</v>
      </c>
      <c r="B86">
        <v>2.93</v>
      </c>
      <c r="C86" t="s">
        <v>305</v>
      </c>
      <c r="D86" t="s">
        <v>306</v>
      </c>
      <c r="E86" t="s">
        <v>184</v>
      </c>
      <c r="F86" s="1">
        <v>45301</v>
      </c>
      <c r="G86" t="s">
        <v>307</v>
      </c>
      <c r="H86">
        <v>5</v>
      </c>
      <c r="I86">
        <f>_xll.ciqfunctions.udf.CIQ(A86, "IQ_MARKETCAP", F86)</f>
        <v>4.9609199999999998</v>
      </c>
      <c r="J86">
        <f>_xll.ciqfunctions.udf.CIQ(A86, "IQ_PRICE_VOL_HIST_6MTH", F86)</f>
        <v>168.13990000000001</v>
      </c>
      <c r="K86">
        <f>_xll.ciqfunctions.udf.CIQ(A86, "IQ_LASTSALEPRICE", WORKDAY(F86,-1))</f>
        <v>2.0699999999999998</v>
      </c>
      <c r="L86">
        <f>_xll.ciqfunctions.udf.CIQ(A86, "IQ_LASTSALEPRICE", F86)</f>
        <v>2.93</v>
      </c>
      <c r="M86">
        <f>_xll.ciqfunctions.udf.CIQ(A86, "IQ_LASTSALEPRICE", WORKDAY(F86,5))</f>
        <v>1.1200000000000001</v>
      </c>
      <c r="N86">
        <f t="shared" si="2"/>
        <v>0.34745381575169842</v>
      </c>
      <c r="O86">
        <f t="shared" si="3"/>
        <v>-0.61421992197027442</v>
      </c>
      <c r="P86">
        <f>LN(_xll.ciqfunctions.udf.CIQ("XBI", "IQ_LASTSALEPRICE", WORKDAY(F86,-1))/_xll.ciqfunctions.udf.CIQ("XBI", "IQ_LASTSALEPRICE", WORKDAY(F86,1)))</f>
        <v>3.4012079445896119E-2</v>
      </c>
      <c r="Q86">
        <f>LN(_xll.ciqfunctions.udf.CIQ("XBI", "IQ_LASTSALEPRICE", WORKDAY(F86,-1))/_xll.ciqfunctions.udf.CIQ("XBI", "IQ_LASTSALEPRICE", WORKDAY(F86,5)))</f>
        <v>5.7837377315165826E-2</v>
      </c>
      <c r="R86">
        <f>_xll.ciqfunctions.udf.CIQ(A86, "IQ_SHORT_INTEREST_PERCENT", F86)</f>
        <v>0.85309000000000001</v>
      </c>
      <c r="S86">
        <f>_xll.ciqfunctions.udf.CIQ(A86, "IQ_BETA_1YR_RSQ", F86)</f>
        <v>1.2999999999999999E-4</v>
      </c>
      <c r="T86">
        <f>_xll.ciqfunctions.udf.CIQ(A86, "IQ_VALUE_TRADED", F86)</f>
        <v>140.14554999999999</v>
      </c>
    </row>
    <row r="87" spans="1:20" x14ac:dyDescent="0.3">
      <c r="A87" t="s">
        <v>308</v>
      </c>
      <c r="B87">
        <v>1.01</v>
      </c>
      <c r="C87" t="s">
        <v>309</v>
      </c>
      <c r="D87" t="s">
        <v>310</v>
      </c>
      <c r="E87" t="s">
        <v>197</v>
      </c>
      <c r="F87" s="1">
        <v>45301</v>
      </c>
      <c r="G87" t="s">
        <v>311</v>
      </c>
      <c r="H87">
        <v>108</v>
      </c>
      <c r="I87">
        <f>_xll.ciqfunctions.udf.CIQ(A87, "IQ_MARKETCAP", F87)</f>
        <v>71.190380000000005</v>
      </c>
      <c r="J87">
        <f>_xll.ciqfunctions.udf.CIQ(A87, "IQ_PRICE_VOL_HIST_6MTH", F87)</f>
        <v>289.9477</v>
      </c>
      <c r="K87">
        <f>_xll.ciqfunctions.udf.CIQ(A87, "IQ_LASTSALEPRICE", WORKDAY(F87,-1))</f>
        <v>1.28</v>
      </c>
      <c r="L87">
        <f>_xll.ciqfunctions.udf.CIQ(A87, "IQ_LASTSALEPRICE", F87)</f>
        <v>1.0049999999999999</v>
      </c>
      <c r="M87">
        <f>_xll.ciqfunctions.udf.CIQ(A87, "IQ_LASTSALEPRICE", WORKDAY(F87,5))</f>
        <v>1.18</v>
      </c>
      <c r="N87">
        <f t="shared" si="2"/>
        <v>-0.24187253642048687</v>
      </c>
      <c r="O87">
        <f t="shared" si="3"/>
        <v>-8.1345639453952526E-2</v>
      </c>
      <c r="P87">
        <f>LN(_xll.ciqfunctions.udf.CIQ("XBI", "IQ_LASTSALEPRICE", WORKDAY(F87,-1))/_xll.ciqfunctions.udf.CIQ("XBI", "IQ_LASTSALEPRICE", WORKDAY(F87,1)))</f>
        <v>3.4012079445896119E-2</v>
      </c>
      <c r="Q87">
        <f>LN(_xll.ciqfunctions.udf.CIQ("XBI", "IQ_LASTSALEPRICE", WORKDAY(F87,-1))/_xll.ciqfunctions.udf.CIQ("XBI", "IQ_LASTSALEPRICE", WORKDAY(F87,5)))</f>
        <v>5.7837377315165826E-2</v>
      </c>
      <c r="R87">
        <f>_xll.ciqfunctions.udf.CIQ(A87, "IQ_SHORT_INTEREST_PERCENT", F87)</f>
        <v>8.1684099999999997</v>
      </c>
      <c r="S87">
        <f>_xll.ciqfunctions.udf.CIQ(A87, "IQ_BETA_1YR_RSQ", F87)</f>
        <v>7.8649999999999998E-2</v>
      </c>
      <c r="T87">
        <f>_xll.ciqfunctions.udf.CIQ(A87, "IQ_VALUE_TRADED", F87)</f>
        <v>8.5103500000000007</v>
      </c>
    </row>
    <row r="88" spans="1:20" x14ac:dyDescent="0.3">
      <c r="A88" t="s">
        <v>312</v>
      </c>
      <c r="B88">
        <v>2.2400000000000002</v>
      </c>
      <c r="C88" t="s">
        <v>313</v>
      </c>
      <c r="D88" t="s">
        <v>314</v>
      </c>
      <c r="E88" t="s">
        <v>46</v>
      </c>
      <c r="F88" s="1">
        <v>45301</v>
      </c>
      <c r="G88" t="s">
        <v>315</v>
      </c>
      <c r="H88">
        <v>25</v>
      </c>
      <c r="I88">
        <f>_xll.ciqfunctions.udf.CIQ(A88, "IQ_MARKETCAP", F88)</f>
        <v>31.264410000000002</v>
      </c>
      <c r="J88">
        <f>_xll.ciqfunctions.udf.CIQ(A88, "IQ_PRICE_VOL_HIST_6MTH", F88)</f>
        <v>98.370599999999996</v>
      </c>
      <c r="K88">
        <f>_xll.ciqfunctions.udf.CIQ(A88, "IQ_LASTSALEPRICE", WORKDAY(F88,-1))</f>
        <v>2.27</v>
      </c>
      <c r="L88">
        <f>_xll.ciqfunctions.udf.CIQ(A88, "IQ_LASTSALEPRICE", F88)</f>
        <v>2.2400000000000002</v>
      </c>
      <c r="M88">
        <f>_xll.ciqfunctions.udf.CIQ(A88, "IQ_LASTSALEPRICE", WORKDAY(F88,5))</f>
        <v>1.99</v>
      </c>
      <c r="N88">
        <f t="shared" si="2"/>
        <v>-1.3303965626362702E-2</v>
      </c>
      <c r="O88">
        <f t="shared" si="3"/>
        <v>-0.13164519275691022</v>
      </c>
      <c r="P88">
        <f>LN(_xll.ciqfunctions.udf.CIQ("XBI", "IQ_LASTSALEPRICE", WORKDAY(F88,-1))/_xll.ciqfunctions.udf.CIQ("XBI", "IQ_LASTSALEPRICE", WORKDAY(F88,1)))</f>
        <v>3.4012079445896119E-2</v>
      </c>
      <c r="Q88">
        <f>LN(_xll.ciqfunctions.udf.CIQ("XBI", "IQ_LASTSALEPRICE", WORKDAY(F88,-1))/_xll.ciqfunctions.udf.CIQ("XBI", "IQ_LASTSALEPRICE", WORKDAY(F88,5)))</f>
        <v>5.7837377315165826E-2</v>
      </c>
      <c r="R88">
        <f>_xll.ciqfunctions.udf.CIQ(A88, "IQ_SHORT_INTEREST_PERCENT", F88)</f>
        <v>0.63039000000000001</v>
      </c>
      <c r="S88">
        <f>_xll.ciqfunctions.udf.CIQ(A88, "IQ_BETA_1YR_RSQ", F88)</f>
        <v>6.8820000000000006E-2</v>
      </c>
      <c r="T88">
        <f>_xll.ciqfunctions.udf.CIQ(A88, "IQ_VALUE_TRADED", F88)</f>
        <v>0.63224000000000002</v>
      </c>
    </row>
    <row r="89" spans="1:20" x14ac:dyDescent="0.3">
      <c r="A89" t="s">
        <v>316</v>
      </c>
      <c r="B89">
        <v>20.23</v>
      </c>
      <c r="C89" t="s">
        <v>317</v>
      </c>
      <c r="D89" t="s">
        <v>318</v>
      </c>
      <c r="E89" t="s">
        <v>76</v>
      </c>
      <c r="F89" s="1">
        <v>45301</v>
      </c>
      <c r="G89" t="s">
        <v>319</v>
      </c>
      <c r="H89">
        <v>68</v>
      </c>
      <c r="I89">
        <f>_xll.ciqfunctions.udf.CIQ(A89, "IQ_MARKETCAP", F89)</f>
        <v>952.30980999999997</v>
      </c>
      <c r="J89">
        <f>_xll.ciqfunctions.udf.CIQ(A89, "IQ_PRICE_VOL_HIST_6MTH", F89)</f>
        <v>171.9504</v>
      </c>
      <c r="K89">
        <f>_xll.ciqfunctions.udf.CIQ(A89, "IQ_LASTSALEPRICE", WORKDAY(F89,-1))</f>
        <v>21.47</v>
      </c>
      <c r="L89">
        <f>_xll.ciqfunctions.udf.CIQ(A89, "IQ_LASTSALEPRICE", F89)</f>
        <v>20.23</v>
      </c>
      <c r="M89">
        <f>_xll.ciqfunctions.udf.CIQ(A89, "IQ_LASTSALEPRICE", WORKDAY(F89,5))</f>
        <v>21.87</v>
      </c>
      <c r="N89">
        <f t="shared" si="2"/>
        <v>-5.9489960711035496E-2</v>
      </c>
      <c r="O89">
        <f t="shared" si="3"/>
        <v>1.8459222797986896E-2</v>
      </c>
      <c r="P89">
        <f>LN(_xll.ciqfunctions.udf.CIQ("XBI", "IQ_LASTSALEPRICE", WORKDAY(F89,-1))/_xll.ciqfunctions.udf.CIQ("XBI", "IQ_LASTSALEPRICE", WORKDAY(F89,1)))</f>
        <v>3.4012079445896119E-2</v>
      </c>
      <c r="Q89">
        <f>LN(_xll.ciqfunctions.udf.CIQ("XBI", "IQ_LASTSALEPRICE", WORKDAY(F89,-1))/_xll.ciqfunctions.udf.CIQ("XBI", "IQ_LASTSALEPRICE", WORKDAY(F89,5)))</f>
        <v>5.7837377315165826E-2</v>
      </c>
      <c r="R89">
        <f>_xll.ciqfunctions.udf.CIQ(A89, "IQ_SHORT_INTEREST_PERCENT", F89)</f>
        <v>11.322620000000001</v>
      </c>
      <c r="S89">
        <f>_xll.ciqfunctions.udf.CIQ(A89, "IQ_BETA_1YR_RSQ", F89)</f>
        <v>6.0299999999999999E-2</v>
      </c>
      <c r="T89">
        <f>_xll.ciqfunctions.udf.CIQ(A89, "IQ_VALUE_TRADED", F89)</f>
        <v>12.44754</v>
      </c>
    </row>
    <row r="90" spans="1:20" x14ac:dyDescent="0.3">
      <c r="A90" t="s">
        <v>320</v>
      </c>
      <c r="B90">
        <v>11.2</v>
      </c>
      <c r="C90" t="s">
        <v>321</v>
      </c>
      <c r="D90" t="s">
        <v>322</v>
      </c>
      <c r="E90" t="s">
        <v>22</v>
      </c>
      <c r="F90" s="1">
        <v>45301</v>
      </c>
      <c r="G90" t="s">
        <v>323</v>
      </c>
      <c r="H90">
        <v>8</v>
      </c>
      <c r="I90">
        <f>_xll.ciqfunctions.udf.CIQ(A90, "IQ_MARKETCAP", F90)</f>
        <v>6.9174899999999999</v>
      </c>
      <c r="J90">
        <f>_xll.ciqfunctions.udf.CIQ(A90, "IQ_PRICE_VOL_HIST_6MTH", F90)</f>
        <v>167.72559999999999</v>
      </c>
      <c r="K90">
        <f>_xll.ciqfunctions.udf.CIQ(A90, "IQ_LASTSALEPRICE", WORKDAY(F90,-1))</f>
        <v>10.602</v>
      </c>
      <c r="L90">
        <f>_xll.ciqfunctions.udf.CIQ(A90, "IQ_LASTSALEPRICE", F90)</f>
        <v>11.2</v>
      </c>
      <c r="M90">
        <f>_xll.ciqfunctions.udf.CIQ(A90, "IQ_LASTSALEPRICE", WORKDAY(F90,5))</f>
        <v>8.6940000000000008</v>
      </c>
      <c r="N90">
        <f t="shared" si="2"/>
        <v>5.4871115735434489E-2</v>
      </c>
      <c r="O90">
        <f t="shared" si="3"/>
        <v>-0.19840952999901393</v>
      </c>
      <c r="P90">
        <f>LN(_xll.ciqfunctions.udf.CIQ("XBI", "IQ_LASTSALEPRICE", WORKDAY(F90,-1))/_xll.ciqfunctions.udf.CIQ("XBI", "IQ_LASTSALEPRICE", WORKDAY(F90,1)))</f>
        <v>3.4012079445896119E-2</v>
      </c>
      <c r="Q90">
        <f>LN(_xll.ciqfunctions.udf.CIQ("XBI", "IQ_LASTSALEPRICE", WORKDAY(F90,-1))/_xll.ciqfunctions.udf.CIQ("XBI", "IQ_LASTSALEPRICE", WORKDAY(F90,5)))</f>
        <v>5.7837377315165826E-2</v>
      </c>
      <c r="R90">
        <f>_xll.ciqfunctions.udf.CIQ(A90, "IQ_SHORT_INTEREST_PERCENT", F90)</f>
        <v>3.0372599999999998</v>
      </c>
      <c r="S90">
        <f>_xll.ciqfunctions.udf.CIQ(A90, "IQ_BETA_1YR_RSQ", F90)</f>
        <v>1.4880000000000001E-2</v>
      </c>
      <c r="T90">
        <f>_xll.ciqfunctions.udf.CIQ(A90, "IQ_VALUE_TRADED", F90)</f>
        <v>0.13950000000000001</v>
      </c>
    </row>
    <row r="91" spans="1:20" x14ac:dyDescent="0.3">
      <c r="A91" t="s">
        <v>324</v>
      </c>
      <c r="B91">
        <v>7.18</v>
      </c>
      <c r="C91" t="s">
        <v>325</v>
      </c>
      <c r="D91" t="s">
        <v>326</v>
      </c>
      <c r="E91" t="s">
        <v>22</v>
      </c>
      <c r="F91" s="1">
        <v>45301</v>
      </c>
      <c r="G91" t="s">
        <v>327</v>
      </c>
      <c r="H91">
        <v>237</v>
      </c>
      <c r="I91">
        <f>_xll.ciqfunctions.udf.CIQ(A91, "IQ_MARKETCAP", F91)</f>
        <v>1415.4043899999999</v>
      </c>
      <c r="J91">
        <f>_xll.ciqfunctions.udf.CIQ(A91, "IQ_PRICE_VOL_HIST_6MTH", F91)</f>
        <v>91.051500000000004</v>
      </c>
      <c r="K91">
        <f>_xll.ciqfunctions.udf.CIQ(A91, "IQ_LASTSALEPRICE", WORKDAY(F91,-1))</f>
        <v>5.1550000000000002</v>
      </c>
      <c r="L91">
        <f>_xll.ciqfunctions.udf.CIQ(A91, "IQ_LASTSALEPRICE", F91)</f>
        <v>7.18</v>
      </c>
      <c r="M91">
        <f>_xll.ciqfunctions.udf.CIQ(A91, "IQ_LASTSALEPRICE", WORKDAY(F91,5))</f>
        <v>6.12</v>
      </c>
      <c r="N91">
        <f t="shared" si="2"/>
        <v>0.33133226559120954</v>
      </c>
      <c r="O91">
        <f t="shared" si="3"/>
        <v>0.17159497905531143</v>
      </c>
      <c r="P91">
        <f>LN(_xll.ciqfunctions.udf.CIQ("XBI", "IQ_LASTSALEPRICE", WORKDAY(F91,-1))/_xll.ciqfunctions.udf.CIQ("XBI", "IQ_LASTSALEPRICE", WORKDAY(F91,1)))</f>
        <v>3.4012079445896119E-2</v>
      </c>
      <c r="Q91">
        <f>LN(_xll.ciqfunctions.udf.CIQ("XBI", "IQ_LASTSALEPRICE", WORKDAY(F91,-1))/_xll.ciqfunctions.udf.CIQ("XBI", "IQ_LASTSALEPRICE", WORKDAY(F91,5)))</f>
        <v>5.7837377315165826E-2</v>
      </c>
      <c r="R91">
        <f>_xll.ciqfunctions.udf.CIQ(A91, "IQ_SHORT_INTEREST_PERCENT", F91)</f>
        <v>11.185879999999999</v>
      </c>
      <c r="S91">
        <f>_xll.ciqfunctions.udf.CIQ(A91, "IQ_BETA_1YR_RSQ", F91)</f>
        <v>0.19181000000000001</v>
      </c>
      <c r="T91">
        <f>_xll.ciqfunctions.udf.CIQ(A91, "IQ_VALUE_TRADED", F91)</f>
        <v>454.98160000000001</v>
      </c>
    </row>
    <row r="92" spans="1:20" x14ac:dyDescent="0.3">
      <c r="A92" t="s">
        <v>130</v>
      </c>
      <c r="B92">
        <v>117.88</v>
      </c>
      <c r="C92" t="s">
        <v>328</v>
      </c>
      <c r="D92" t="s">
        <v>329</v>
      </c>
      <c r="E92" t="s">
        <v>160</v>
      </c>
      <c r="F92" s="1">
        <v>45303</v>
      </c>
      <c r="G92" t="s">
        <v>330</v>
      </c>
      <c r="I92">
        <f>_xll.ciqfunctions.udf.CIQ(A92, "IQ_MARKETCAP", F92)</f>
        <v>300611.15846000001</v>
      </c>
      <c r="J92">
        <f>_xll.ciqfunctions.udf.CIQ(A92, "IQ_PRICE_VOL_HIST_6MTH", F92)</f>
        <v>17.4969</v>
      </c>
      <c r="K92">
        <f>_xll.ciqfunctions.udf.CIQ(A92, "IQ_LASTSALEPRICE", WORKDAY(F92,-1))</f>
        <v>118.43</v>
      </c>
      <c r="L92">
        <f>_xll.ciqfunctions.udf.CIQ(A92, "IQ_LASTSALEPRICE", F92)</f>
        <v>118.63</v>
      </c>
      <c r="M92">
        <f>_xll.ciqfunctions.udf.CIQ(A92, "IQ_LASTSALEPRICE", WORKDAY(F92,5))</f>
        <v>118.89</v>
      </c>
      <c r="N92">
        <f t="shared" si="2"/>
        <v>1.6873369396080476E-3</v>
      </c>
      <c r="O92">
        <f t="shared" si="3"/>
        <v>3.8766271370496235E-3</v>
      </c>
      <c r="P92">
        <f>LN(_xll.ciqfunctions.udf.CIQ("XBI", "IQ_LASTSALEPRICE", WORKDAY(F92,-1))/_xll.ciqfunctions.udf.CIQ("XBI", "IQ_LASTSALEPRICE", WORKDAY(F92,1)))</f>
        <v>5.5282217119116803E-4</v>
      </c>
      <c r="Q92">
        <f>LN(_xll.ciqfunctions.udf.CIQ("XBI", "IQ_LASTSALEPRICE", WORKDAY(F92,-1))/_xll.ciqfunctions.udf.CIQ("XBI", "IQ_LASTSALEPRICE", WORKDAY(F92,5)))</f>
        <v>3.8535637823452186E-2</v>
      </c>
      <c r="R92">
        <f>_xll.ciqfunctions.udf.CIQ(A92, "IQ_SHORT_INTEREST_PERCENT", F92)</f>
        <v>0.70506999999999997</v>
      </c>
      <c r="S92">
        <f>_xll.ciqfunctions.udf.CIQ(A92, "IQ_BETA_1YR_RSQ", F92)</f>
        <v>1.668E-2</v>
      </c>
      <c r="T92">
        <f>_xll.ciqfunctions.udf.CIQ(A92, "IQ_VALUE_TRADED", F92)</f>
        <v>809.44808</v>
      </c>
    </row>
    <row r="93" spans="1:20" x14ac:dyDescent="0.3">
      <c r="A93" t="s">
        <v>331</v>
      </c>
      <c r="B93">
        <v>3.47</v>
      </c>
      <c r="C93" t="s">
        <v>332</v>
      </c>
      <c r="D93" t="s">
        <v>310</v>
      </c>
      <c r="E93" t="s">
        <v>36</v>
      </c>
      <c r="F93" s="1">
        <v>45306</v>
      </c>
      <c r="G93" t="s">
        <v>333</v>
      </c>
      <c r="H93">
        <v>119</v>
      </c>
      <c r="I93">
        <f>_xll.ciqfunctions.udf.CIQ(A93, "IQ_MARKETCAP", F93)</f>
        <v>343.55074999999999</v>
      </c>
      <c r="J93">
        <f>_xll.ciqfunctions.udf.CIQ(A93, "IQ_PRICE_VOL_HIST_6MTH", F93)</f>
        <v>95.549800000000005</v>
      </c>
      <c r="K93">
        <f>_xll.ciqfunctions.udf.CIQ(A93, "IQ_LASTSALEPRICE", WORKDAY(F93,-1))</f>
        <v>3.64</v>
      </c>
      <c r="L93">
        <f>_xll.ciqfunctions.udf.CIQ(A93, "IQ_LASTSALEPRICE", F93)</f>
        <v>3.64</v>
      </c>
      <c r="M93">
        <f>_xll.ciqfunctions.udf.CIQ(A93, "IQ_LASTSALEPRICE", WORKDAY(F93,5))</f>
        <v>3.54</v>
      </c>
      <c r="N93">
        <f t="shared" si="2"/>
        <v>0</v>
      </c>
      <c r="O93">
        <f t="shared" si="3"/>
        <v>-2.7856954502966224E-2</v>
      </c>
      <c r="P93">
        <f>LN(_xll.ciqfunctions.udf.CIQ("XBI", "IQ_LASTSALEPRICE", WORKDAY(F93,-1))/_xll.ciqfunctions.udf.CIQ("XBI", "IQ_LASTSALEPRICE", WORKDAY(F93,1)))</f>
        <v>1.5155181972902715E-2</v>
      </c>
      <c r="Q93">
        <f>LN(_xll.ciqfunctions.udf.CIQ("XBI", "IQ_LASTSALEPRICE", WORKDAY(F93,-1))/_xll.ciqfunctions.udf.CIQ("XBI", "IQ_LASTSALEPRICE", WORKDAY(F93,5)))</f>
        <v>1.5716758895618906E-2</v>
      </c>
      <c r="R93">
        <f>_xll.ciqfunctions.udf.CIQ(A93, "IQ_SHORT_INTEREST_PERCENT", F93)</f>
        <v>21.384699999999999</v>
      </c>
      <c r="S93">
        <f>_xll.ciqfunctions.udf.CIQ(A93, "IQ_BETA_1YR_RSQ", F93)</f>
        <v>0.18356</v>
      </c>
      <c r="T93">
        <f>_xll.ciqfunctions.udf.CIQ(A93, "IQ_VALUE_TRADED", F93)</f>
        <v>0</v>
      </c>
    </row>
    <row r="94" spans="1:20" x14ac:dyDescent="0.3">
      <c r="A94" t="s">
        <v>334</v>
      </c>
      <c r="B94">
        <v>55.41</v>
      </c>
      <c r="C94" t="s">
        <v>335</v>
      </c>
      <c r="D94" t="s">
        <v>336</v>
      </c>
      <c r="E94" t="s">
        <v>160</v>
      </c>
      <c r="F94" s="1">
        <v>45307</v>
      </c>
      <c r="G94" t="s">
        <v>337</v>
      </c>
      <c r="H94">
        <v>21</v>
      </c>
      <c r="I94">
        <f>_xll.ciqfunctions.udf.CIQ(A94, "IQ_MARKETCAP", F94)</f>
        <v>1057.37147</v>
      </c>
      <c r="J94">
        <f>_xll.ciqfunctions.udf.CIQ(A94, "IQ_PRICE_VOL_HIST_6MTH", F94)</f>
        <v>37.879300000000001</v>
      </c>
      <c r="K94">
        <f>_xll.ciqfunctions.udf.CIQ(A94, "IQ_LASTSALEPRICE", WORKDAY(F94,-1))</f>
        <v>56.74</v>
      </c>
      <c r="L94">
        <f>_xll.ciqfunctions.udf.CIQ(A94, "IQ_LASTSALEPRICE", F94)</f>
        <v>55.41</v>
      </c>
      <c r="M94">
        <f>_xll.ciqfunctions.udf.CIQ(A94, "IQ_LASTSALEPRICE", WORKDAY(F94,5))</f>
        <v>56.62</v>
      </c>
      <c r="N94">
        <f t="shared" si="2"/>
        <v>-2.3719346501447153E-2</v>
      </c>
      <c r="O94">
        <f t="shared" si="3"/>
        <v>-2.117149696951837E-3</v>
      </c>
      <c r="P94">
        <f>LN(_xll.ciqfunctions.udf.CIQ("XBI", "IQ_LASTSALEPRICE", WORKDAY(F94,-1))/_xll.ciqfunctions.udf.CIQ("XBI", "IQ_LASTSALEPRICE", WORKDAY(F94,1)))</f>
        <v>2.3272475698078686E-2</v>
      </c>
      <c r="Q94">
        <f>LN(_xll.ciqfunctions.udf.CIQ("XBI", "IQ_LASTSALEPRICE", WORKDAY(F94,-1))/_xll.ciqfunctions.udf.CIQ("XBI", "IQ_LASTSALEPRICE", WORKDAY(F94,5)))</f>
        <v>1.3248175954399047E-2</v>
      </c>
      <c r="R94">
        <f>_xll.ciqfunctions.udf.CIQ(A94, "IQ_SHORT_INTEREST_PERCENT", F94)</f>
        <v>1.3833</v>
      </c>
      <c r="S94">
        <f>_xll.ciqfunctions.udf.CIQ(A94, "IQ_BETA_1YR_RSQ", F94)</f>
        <v>0.13492999999999999</v>
      </c>
      <c r="T94">
        <f>_xll.ciqfunctions.udf.CIQ(A94, "IQ_VALUE_TRADED", F94)</f>
        <v>4.76532</v>
      </c>
    </row>
    <row r="95" spans="1:20" x14ac:dyDescent="0.3">
      <c r="A95" t="s">
        <v>194</v>
      </c>
      <c r="B95">
        <v>3.7</v>
      </c>
      <c r="C95" t="s">
        <v>338</v>
      </c>
      <c r="D95" t="s">
        <v>339</v>
      </c>
      <c r="E95" t="s">
        <v>89</v>
      </c>
      <c r="F95" s="1">
        <v>45307</v>
      </c>
      <c r="G95" t="s">
        <v>340</v>
      </c>
      <c r="H95">
        <v>3</v>
      </c>
      <c r="I95">
        <f>_xll.ciqfunctions.udf.CIQ(A95, "IQ_MARKETCAP", F95)</f>
        <v>45.466760000000001</v>
      </c>
      <c r="J95">
        <f>_xll.ciqfunctions.udf.CIQ(A95, "IQ_PRICE_VOL_HIST_6MTH", F95)</f>
        <v>85.338800000000006</v>
      </c>
      <c r="K95">
        <f>_xll.ciqfunctions.udf.CIQ(A95, "IQ_LASTSALEPRICE", WORKDAY(F95,-1))</f>
        <v>105.30011</v>
      </c>
      <c r="L95">
        <f>_xll.ciqfunctions.udf.CIQ(A95, "IQ_LASTSALEPRICE", F95)</f>
        <v>111.00011000000001</v>
      </c>
      <c r="M95">
        <f>_xll.ciqfunctions.udf.CIQ(A95, "IQ_LASTSALEPRICE", WORKDAY(F95,5))</f>
        <v>110.70011</v>
      </c>
      <c r="N95">
        <f t="shared" si="2"/>
        <v>5.2716728529072027E-2</v>
      </c>
      <c r="O95">
        <f t="shared" si="3"/>
        <v>5.0010369616938694E-2</v>
      </c>
      <c r="P95">
        <f>LN(_xll.ciqfunctions.udf.CIQ("XBI", "IQ_LASTSALEPRICE", WORKDAY(F95,-1))/_xll.ciqfunctions.udf.CIQ("XBI", "IQ_LASTSALEPRICE", WORKDAY(F95,1)))</f>
        <v>2.3272475698078686E-2</v>
      </c>
      <c r="Q95">
        <f>LN(_xll.ciqfunctions.udf.CIQ("XBI", "IQ_LASTSALEPRICE", WORKDAY(F95,-1))/_xll.ciqfunctions.udf.CIQ("XBI", "IQ_LASTSALEPRICE", WORKDAY(F95,5)))</f>
        <v>1.3248175954399047E-2</v>
      </c>
      <c r="R95">
        <f>_xll.ciqfunctions.udf.CIQ(A95, "IQ_SHORT_INTEREST_PERCENT", F95)</f>
        <v>4.4036299999999997</v>
      </c>
      <c r="S95">
        <f>_xll.ciqfunctions.udf.CIQ(A95, "IQ_BETA_1YR_RSQ", F95)</f>
        <v>9.4030000000000002E-2</v>
      </c>
      <c r="T95">
        <f>_xll.ciqfunctions.udf.CIQ(A95, "IQ_VALUE_TRADED", F95)</f>
        <v>9.5482300000000002</v>
      </c>
    </row>
    <row r="96" spans="1:20" x14ac:dyDescent="0.3">
      <c r="A96" t="s">
        <v>341</v>
      </c>
      <c r="B96">
        <v>1.19</v>
      </c>
      <c r="C96" t="s">
        <v>342</v>
      </c>
      <c r="D96" t="s">
        <v>343</v>
      </c>
      <c r="E96" t="s">
        <v>197</v>
      </c>
      <c r="F96" s="1">
        <v>45307</v>
      </c>
      <c r="G96" t="s">
        <v>344</v>
      </c>
      <c r="H96">
        <v>90</v>
      </c>
      <c r="I96">
        <f>_xll.ciqfunctions.udf.CIQ(A96, "IQ_MARKETCAP", F96)</f>
        <v>104.09684</v>
      </c>
      <c r="J96">
        <f>_xll.ciqfunctions.udf.CIQ(A96, "IQ_PRICE_VOL_HIST_6MTH", F96)</f>
        <v>0</v>
      </c>
      <c r="K96">
        <f>_xll.ciqfunctions.udf.CIQ(A96, "IQ_LASTSALEPRICE", WORKDAY(F96,-1))</f>
        <v>0</v>
      </c>
      <c r="L96">
        <f>_xll.ciqfunctions.udf.CIQ(A96, "IQ_LASTSALEPRICE", F96)</f>
        <v>0</v>
      </c>
      <c r="M96">
        <f>_xll.ciqfunctions.udf.CIQ(A96, "IQ_LASTSALEPRICE", WORKDAY(F96,5))</f>
        <v>0</v>
      </c>
      <c r="N96" t="e">
        <f t="shared" si="2"/>
        <v>#DIV/0!</v>
      </c>
      <c r="O96" t="e">
        <f t="shared" si="3"/>
        <v>#DIV/0!</v>
      </c>
      <c r="P96">
        <f>LN(_xll.ciqfunctions.udf.CIQ("XBI", "IQ_LASTSALEPRICE", WORKDAY(F96,-1))/_xll.ciqfunctions.udf.CIQ("XBI", "IQ_LASTSALEPRICE", WORKDAY(F96,1)))</f>
        <v>2.3272475698078686E-2</v>
      </c>
      <c r="Q96">
        <f>LN(_xll.ciqfunctions.udf.CIQ("XBI", "IQ_LASTSALEPRICE", WORKDAY(F96,-1))/_xll.ciqfunctions.udf.CIQ("XBI", "IQ_LASTSALEPRICE", WORKDAY(F96,5)))</f>
        <v>1.3248175954399047E-2</v>
      </c>
      <c r="R96">
        <f>_xll.ciqfunctions.udf.CIQ(A96, "IQ_SHORT_INTEREST_PERCENT", F96)</f>
        <v>0</v>
      </c>
      <c r="S96">
        <f>_xll.ciqfunctions.udf.CIQ(A96, "IQ_BETA_1YR_RSQ", F96)</f>
        <v>0</v>
      </c>
      <c r="T96">
        <f>_xll.ciqfunctions.udf.CIQ(A96, "IQ_VALUE_TRADED", F96)</f>
        <v>0</v>
      </c>
    </row>
    <row r="97" spans="1:20" x14ac:dyDescent="0.3">
      <c r="A97" t="s">
        <v>341</v>
      </c>
      <c r="B97">
        <v>1.19</v>
      </c>
      <c r="C97" t="s">
        <v>345</v>
      </c>
      <c r="D97" t="s">
        <v>346</v>
      </c>
      <c r="E97" t="s">
        <v>76</v>
      </c>
      <c r="F97" s="1">
        <v>45307</v>
      </c>
      <c r="G97" t="s">
        <v>347</v>
      </c>
      <c r="H97">
        <v>90</v>
      </c>
      <c r="I97">
        <f>_xll.ciqfunctions.udf.CIQ(A97, "IQ_MARKETCAP", F97)</f>
        <v>104.09684</v>
      </c>
      <c r="J97">
        <f>_xll.ciqfunctions.udf.CIQ(A97, "IQ_PRICE_VOL_HIST_6MTH", F97)</f>
        <v>0</v>
      </c>
      <c r="K97">
        <f>_xll.ciqfunctions.udf.CIQ(A97, "IQ_LASTSALEPRICE", WORKDAY(F97,-1))</f>
        <v>0</v>
      </c>
      <c r="L97">
        <f>_xll.ciqfunctions.udf.CIQ(A97, "IQ_LASTSALEPRICE", F97)</f>
        <v>0</v>
      </c>
      <c r="M97">
        <f>_xll.ciqfunctions.udf.CIQ(A97, "IQ_LASTSALEPRICE", WORKDAY(F97,5))</f>
        <v>0</v>
      </c>
      <c r="N97" t="e">
        <f t="shared" si="2"/>
        <v>#DIV/0!</v>
      </c>
      <c r="O97" t="e">
        <f t="shared" si="3"/>
        <v>#DIV/0!</v>
      </c>
      <c r="P97">
        <f>LN(_xll.ciqfunctions.udf.CIQ("XBI", "IQ_LASTSALEPRICE", WORKDAY(F97,-1))/_xll.ciqfunctions.udf.CIQ("XBI", "IQ_LASTSALEPRICE", WORKDAY(F97,1)))</f>
        <v>2.3272475698078686E-2</v>
      </c>
      <c r="Q97">
        <f>LN(_xll.ciqfunctions.udf.CIQ("XBI", "IQ_LASTSALEPRICE", WORKDAY(F97,-1))/_xll.ciqfunctions.udf.CIQ("XBI", "IQ_LASTSALEPRICE", WORKDAY(F97,5)))</f>
        <v>1.3248175954399047E-2</v>
      </c>
      <c r="R97">
        <f>_xll.ciqfunctions.udf.CIQ(A97, "IQ_SHORT_INTEREST_PERCENT", F97)</f>
        <v>0</v>
      </c>
      <c r="S97">
        <f>_xll.ciqfunctions.udf.CIQ(A97, "IQ_BETA_1YR_RSQ", F97)</f>
        <v>0</v>
      </c>
      <c r="T97">
        <f>_xll.ciqfunctions.udf.CIQ(A97, "IQ_VALUE_TRADED", F97)</f>
        <v>0</v>
      </c>
    </row>
    <row r="98" spans="1:20" x14ac:dyDescent="0.3">
      <c r="A98" t="s">
        <v>348</v>
      </c>
      <c r="B98">
        <v>36.36</v>
      </c>
      <c r="C98" t="s">
        <v>349</v>
      </c>
      <c r="D98" t="s">
        <v>350</v>
      </c>
      <c r="E98" t="s">
        <v>160</v>
      </c>
      <c r="F98" s="1">
        <v>45307</v>
      </c>
      <c r="G98" t="s">
        <v>337</v>
      </c>
      <c r="H98">
        <v>116</v>
      </c>
      <c r="I98">
        <f>_xll.ciqfunctions.udf.CIQ(A98, "IQ_MARKETCAP", F98)</f>
        <v>4803.0872799999997</v>
      </c>
      <c r="J98">
        <f>_xll.ciqfunctions.udf.CIQ(A98, "IQ_PRICE_VOL_HIST_6MTH", F98)</f>
        <v>39.046199999999999</v>
      </c>
      <c r="K98">
        <f>_xll.ciqfunctions.udf.CIQ(A98, "IQ_LASTSALEPRICE", WORKDAY(F98,-1))</f>
        <v>34.43</v>
      </c>
      <c r="L98">
        <f>_xll.ciqfunctions.udf.CIQ(A98, "IQ_LASTSALEPRICE", F98)</f>
        <v>36.36</v>
      </c>
      <c r="M98">
        <f>_xll.ciqfunctions.udf.CIQ(A98, "IQ_LASTSALEPRICE", WORKDAY(F98,5))</f>
        <v>34.75</v>
      </c>
      <c r="N98">
        <f t="shared" si="2"/>
        <v>5.454099195884568E-2</v>
      </c>
      <c r="O98">
        <f t="shared" si="3"/>
        <v>9.2512946603687859E-3</v>
      </c>
      <c r="P98">
        <f>LN(_xll.ciqfunctions.udf.CIQ("XBI", "IQ_LASTSALEPRICE", WORKDAY(F98,-1))/_xll.ciqfunctions.udf.CIQ("XBI", "IQ_LASTSALEPRICE", WORKDAY(F98,1)))</f>
        <v>2.3272475698078686E-2</v>
      </c>
      <c r="Q98">
        <f>LN(_xll.ciqfunctions.udf.CIQ("XBI", "IQ_LASTSALEPRICE", WORKDAY(F98,-1))/_xll.ciqfunctions.udf.CIQ("XBI", "IQ_LASTSALEPRICE", WORKDAY(F98,5)))</f>
        <v>1.3248175954399047E-2</v>
      </c>
      <c r="R98">
        <f>_xll.ciqfunctions.udf.CIQ(A98, "IQ_SHORT_INTEREST_PERCENT", F98)</f>
        <v>5.5636900000000002</v>
      </c>
      <c r="S98">
        <f>_xll.ciqfunctions.udf.CIQ(A98, "IQ_BETA_1YR_RSQ", F98)</f>
        <v>0.15620000000000001</v>
      </c>
      <c r="T98">
        <f>_xll.ciqfunctions.udf.CIQ(A98, "IQ_VALUE_TRADED", F98)</f>
        <v>96.229470000000006</v>
      </c>
    </row>
    <row r="99" spans="1:20" x14ac:dyDescent="0.3">
      <c r="A99" t="s">
        <v>351</v>
      </c>
      <c r="B99">
        <v>15.01</v>
      </c>
      <c r="C99" t="s">
        <v>349</v>
      </c>
      <c r="D99" t="s">
        <v>350</v>
      </c>
      <c r="E99" t="s">
        <v>160</v>
      </c>
      <c r="F99" s="1">
        <v>45307</v>
      </c>
      <c r="G99" t="s">
        <v>337</v>
      </c>
      <c r="I99">
        <f>_xll.ciqfunctions.udf.CIQ(A99, "IQ_MARKETCAP", F99)</f>
        <v>6904763.0121499998</v>
      </c>
      <c r="J99">
        <f>_xll.ciqfunctions.udf.CIQ(A99, "IQ_PRICE_VOL_HIST_6MTH", F99)</f>
        <v>18.8962</v>
      </c>
      <c r="K99">
        <f>_xll.ciqfunctions.udf.CIQ(A99, "IQ_LASTSALEPRICE", WORKDAY(F99,-1))</f>
        <v>15.04</v>
      </c>
      <c r="L99">
        <f>_xll.ciqfunctions.udf.CIQ(A99, "IQ_LASTSALEPRICE", F99)</f>
        <v>15.01</v>
      </c>
      <c r="M99">
        <f>_xll.ciqfunctions.udf.CIQ(A99, "IQ_LASTSALEPRICE", WORKDAY(F99,5))</f>
        <v>14.73</v>
      </c>
      <c r="N99">
        <f t="shared" si="2"/>
        <v>-1.9966728763231513E-3</v>
      </c>
      <c r="O99">
        <f t="shared" si="3"/>
        <v>-2.0827088047154791E-2</v>
      </c>
      <c r="P99">
        <f>LN(_xll.ciqfunctions.udf.CIQ("XBI", "IQ_LASTSALEPRICE", WORKDAY(F99,-1))/_xll.ciqfunctions.udf.CIQ("XBI", "IQ_LASTSALEPRICE", WORKDAY(F99,1)))</f>
        <v>2.3272475698078686E-2</v>
      </c>
      <c r="Q99">
        <f>LN(_xll.ciqfunctions.udf.CIQ("XBI", "IQ_LASTSALEPRICE", WORKDAY(F99,-1))/_xll.ciqfunctions.udf.CIQ("XBI", "IQ_LASTSALEPRICE", WORKDAY(F99,5)))</f>
        <v>1.3248175954399047E-2</v>
      </c>
      <c r="R99">
        <f>_xll.ciqfunctions.udf.CIQ(A99, "IQ_SHORT_INTEREST_PERCENT", F99)</f>
        <v>0</v>
      </c>
      <c r="S99">
        <f>_xll.ciqfunctions.udf.CIQ(A99, "IQ_BETA_1YR_RSQ", F99)</f>
        <v>0</v>
      </c>
      <c r="T99">
        <f>_xll.ciqfunctions.udf.CIQ(A99, "IQ_VALUE_TRADED", F99)</f>
        <v>48.771239999999999</v>
      </c>
    </row>
    <row r="100" spans="1:20" x14ac:dyDescent="0.3">
      <c r="A100" t="s">
        <v>352</v>
      </c>
      <c r="B100">
        <v>63.43</v>
      </c>
      <c r="C100" t="s">
        <v>353</v>
      </c>
      <c r="D100" t="s">
        <v>354</v>
      </c>
      <c r="E100" t="s">
        <v>160</v>
      </c>
      <c r="F100" s="1">
        <v>45307</v>
      </c>
      <c r="G100" t="s">
        <v>355</v>
      </c>
      <c r="H100">
        <v>90</v>
      </c>
      <c r="I100">
        <f>_xll.ciqfunctions.udf.CIQ(A100, "IQ_MARKETCAP", F100)</f>
        <v>5038.4000500000002</v>
      </c>
      <c r="J100">
        <f>_xll.ciqfunctions.udf.CIQ(A100, "IQ_PRICE_VOL_HIST_6MTH", F100)</f>
        <v>63.702500000000001</v>
      </c>
      <c r="K100">
        <f>_xll.ciqfunctions.udf.CIQ(A100, "IQ_LASTSALEPRICE", WORKDAY(F100,-1))</f>
        <v>64.25</v>
      </c>
      <c r="L100">
        <f>_xll.ciqfunctions.udf.CIQ(A100, "IQ_LASTSALEPRICE", F100)</f>
        <v>63.43</v>
      </c>
      <c r="M100">
        <f>_xll.ciqfunctions.udf.CIQ(A100, "IQ_LASTSALEPRICE", WORKDAY(F100,5))</f>
        <v>66.19</v>
      </c>
      <c r="N100">
        <f t="shared" si="2"/>
        <v>-1.2844788129523431E-2</v>
      </c>
      <c r="O100">
        <f t="shared" si="3"/>
        <v>2.974767035550227E-2</v>
      </c>
      <c r="P100">
        <f>LN(_xll.ciqfunctions.udf.CIQ("XBI", "IQ_LASTSALEPRICE", WORKDAY(F100,-1))/_xll.ciqfunctions.udf.CIQ("XBI", "IQ_LASTSALEPRICE", WORKDAY(F100,1)))</f>
        <v>2.3272475698078686E-2</v>
      </c>
      <c r="Q100">
        <f>LN(_xll.ciqfunctions.udf.CIQ("XBI", "IQ_LASTSALEPRICE", WORKDAY(F100,-1))/_xll.ciqfunctions.udf.CIQ("XBI", "IQ_LASTSALEPRICE", WORKDAY(F100,5)))</f>
        <v>1.3248175954399047E-2</v>
      </c>
      <c r="R100">
        <f>_xll.ciqfunctions.udf.CIQ(A100, "IQ_SHORT_INTEREST_PERCENT", F100)</f>
        <v>20.458100000000002</v>
      </c>
      <c r="S100">
        <f>_xll.ciqfunctions.udf.CIQ(A100, "IQ_BETA_1YR_RSQ", F100)</f>
        <v>0.35854999999999998</v>
      </c>
      <c r="T100">
        <f>_xll.ciqfunctions.udf.CIQ(A100, "IQ_VALUE_TRADED", F100)</f>
        <v>111.08038999999999</v>
      </c>
    </row>
    <row r="101" spans="1:20" x14ac:dyDescent="0.3">
      <c r="A101" t="s">
        <v>356</v>
      </c>
      <c r="B101">
        <v>437.49</v>
      </c>
      <c r="C101" t="s">
        <v>353</v>
      </c>
      <c r="D101" t="s">
        <v>354</v>
      </c>
      <c r="E101" t="s">
        <v>160</v>
      </c>
      <c r="F101" s="1">
        <v>45307</v>
      </c>
      <c r="G101" t="s">
        <v>355</v>
      </c>
      <c r="H101">
        <v>256</v>
      </c>
      <c r="I101">
        <f>_xll.ciqfunctions.udf.CIQ(A101, "IQ_MARKETCAP", F101)</f>
        <v>112733.81617000001</v>
      </c>
      <c r="J101">
        <f>_xll.ciqfunctions.udf.CIQ(A101, "IQ_PRICE_VOL_HIST_6MTH", F101)</f>
        <v>26.275400000000001</v>
      </c>
      <c r="K101">
        <f>_xll.ciqfunctions.udf.CIQ(A101, "IQ_LASTSALEPRICE", WORKDAY(F101,-1))</f>
        <v>433.4</v>
      </c>
      <c r="L101">
        <f>_xll.ciqfunctions.udf.CIQ(A101, "IQ_LASTSALEPRICE", F101)</f>
        <v>437.49</v>
      </c>
      <c r="M101">
        <f>_xll.ciqfunctions.udf.CIQ(A101, "IQ_LASTSALEPRICE", WORKDAY(F101,5))</f>
        <v>439.7</v>
      </c>
      <c r="N101">
        <f t="shared" si="2"/>
        <v>9.3927592913249872E-3</v>
      </c>
      <c r="O101">
        <f t="shared" si="3"/>
        <v>1.4431587084505718E-2</v>
      </c>
      <c r="P101">
        <f>LN(_xll.ciqfunctions.udf.CIQ("XBI", "IQ_LASTSALEPRICE", WORKDAY(F101,-1))/_xll.ciqfunctions.udf.CIQ("XBI", "IQ_LASTSALEPRICE", WORKDAY(F101,1)))</f>
        <v>2.3272475698078686E-2</v>
      </c>
      <c r="Q101">
        <f>LN(_xll.ciqfunctions.udf.CIQ("XBI", "IQ_LASTSALEPRICE", WORKDAY(F101,-1))/_xll.ciqfunctions.udf.CIQ("XBI", "IQ_LASTSALEPRICE", WORKDAY(F101,5)))</f>
        <v>1.3248175954399047E-2</v>
      </c>
      <c r="R101">
        <f>_xll.ciqfunctions.udf.CIQ(A101, "IQ_SHORT_INTEREST_PERCENT", F101)</f>
        <v>1.2635799999999999</v>
      </c>
      <c r="S101">
        <f>_xll.ciqfunctions.udf.CIQ(A101, "IQ_BETA_1YR_RSQ", F101)</f>
        <v>0.15751999999999999</v>
      </c>
      <c r="T101">
        <f>_xll.ciqfunctions.udf.CIQ(A101, "IQ_VALUE_TRADED", F101)</f>
        <v>781.85982000000001</v>
      </c>
    </row>
    <row r="102" spans="1:20" x14ac:dyDescent="0.3">
      <c r="A102" t="s">
        <v>357</v>
      </c>
      <c r="B102">
        <v>115.39</v>
      </c>
      <c r="C102" t="s">
        <v>358</v>
      </c>
      <c r="D102" t="s">
        <v>359</v>
      </c>
      <c r="E102" t="s">
        <v>36</v>
      </c>
      <c r="F102" s="1">
        <v>45307</v>
      </c>
      <c r="G102" t="s">
        <v>360</v>
      </c>
      <c r="H102">
        <v>97</v>
      </c>
      <c r="I102">
        <f>_xll.ciqfunctions.udf.CIQ(A102, "IQ_MARKETCAP", F102)</f>
        <v>10794.35152</v>
      </c>
      <c r="J102">
        <f>_xll.ciqfunctions.udf.CIQ(A102, "IQ_PRICE_VOL_HIST_6MTH", F102)</f>
        <v>79.648300000000006</v>
      </c>
      <c r="K102">
        <f>_xll.ciqfunctions.udf.CIQ(A102, "IQ_LASTSALEPRICE", WORKDAY(F102,-1))</f>
        <v>116.8</v>
      </c>
      <c r="L102">
        <f>_xll.ciqfunctions.udf.CIQ(A102, "IQ_LASTSALEPRICE", F102)</f>
        <v>115.39</v>
      </c>
      <c r="M102">
        <f>_xll.ciqfunctions.udf.CIQ(A102, "IQ_LASTSALEPRICE", WORKDAY(F102,5))</f>
        <v>121.13</v>
      </c>
      <c r="N102">
        <f t="shared" si="2"/>
        <v>-1.2145375187550298E-2</v>
      </c>
      <c r="O102">
        <f t="shared" si="3"/>
        <v>3.6401278634584026E-2</v>
      </c>
      <c r="P102">
        <f>LN(_xll.ciqfunctions.udf.CIQ("XBI", "IQ_LASTSALEPRICE", WORKDAY(F102,-1))/_xll.ciqfunctions.udf.CIQ("XBI", "IQ_LASTSALEPRICE", WORKDAY(F102,1)))</f>
        <v>2.3272475698078686E-2</v>
      </c>
      <c r="Q102">
        <f>LN(_xll.ciqfunctions.udf.CIQ("XBI", "IQ_LASTSALEPRICE", WORKDAY(F102,-1))/_xll.ciqfunctions.udf.CIQ("XBI", "IQ_LASTSALEPRICE", WORKDAY(F102,5)))</f>
        <v>1.3248175954399047E-2</v>
      </c>
      <c r="R102">
        <f>_xll.ciqfunctions.udf.CIQ(A102, "IQ_SHORT_INTEREST_PERCENT", F102)</f>
        <v>5.0153400000000001</v>
      </c>
      <c r="S102">
        <f>_xll.ciqfunctions.udf.CIQ(A102, "IQ_BETA_1YR_RSQ", F102)</f>
        <v>4.3400000000000001E-3</v>
      </c>
      <c r="T102">
        <f>_xll.ciqfunctions.udf.CIQ(A102, "IQ_VALUE_TRADED", F102)</f>
        <v>111.95392</v>
      </c>
    </row>
    <row r="103" spans="1:20" x14ac:dyDescent="0.3">
      <c r="A103" t="s">
        <v>361</v>
      </c>
      <c r="B103">
        <v>173.25</v>
      </c>
      <c r="C103" t="s">
        <v>362</v>
      </c>
      <c r="D103" t="s">
        <v>363</v>
      </c>
      <c r="E103" t="s">
        <v>76</v>
      </c>
      <c r="F103" s="1">
        <v>45307</v>
      </c>
      <c r="G103" t="s">
        <v>364</v>
      </c>
      <c r="H103">
        <v>106</v>
      </c>
      <c r="I103">
        <f>_xll.ciqfunctions.udf.CIQ(A103, "IQ_MARKETCAP", F103)</f>
        <v>18118.128110000001</v>
      </c>
      <c r="J103">
        <f>_xll.ciqfunctions.udf.CIQ(A103, "IQ_PRICE_VOL_HIST_6MTH", F103)</f>
        <v>0</v>
      </c>
      <c r="K103">
        <f>_xll.ciqfunctions.udf.CIQ(A103, "IQ_LASTSALEPRICE", WORKDAY(F103,-1))</f>
        <v>0</v>
      </c>
      <c r="L103">
        <f>_xll.ciqfunctions.udf.CIQ(A103, "IQ_LASTSALEPRICE", F103)</f>
        <v>0</v>
      </c>
      <c r="M103">
        <f>_xll.ciqfunctions.udf.CIQ(A103, "IQ_LASTSALEPRICE", WORKDAY(F103,5))</f>
        <v>0</v>
      </c>
      <c r="N103" t="e">
        <f t="shared" si="2"/>
        <v>#DIV/0!</v>
      </c>
      <c r="O103" t="e">
        <f t="shared" si="3"/>
        <v>#DIV/0!</v>
      </c>
      <c r="P103">
        <f>LN(_xll.ciqfunctions.udf.CIQ("XBI", "IQ_LASTSALEPRICE", WORKDAY(F103,-1))/_xll.ciqfunctions.udf.CIQ("XBI", "IQ_LASTSALEPRICE", WORKDAY(F103,1)))</f>
        <v>2.3272475698078686E-2</v>
      </c>
      <c r="Q103">
        <f>LN(_xll.ciqfunctions.udf.CIQ("XBI", "IQ_LASTSALEPRICE", WORKDAY(F103,-1))/_xll.ciqfunctions.udf.CIQ("XBI", "IQ_LASTSALEPRICE", WORKDAY(F103,5)))</f>
        <v>1.3248175954399047E-2</v>
      </c>
      <c r="R103">
        <f>_xll.ciqfunctions.udf.CIQ(A103, "IQ_SHORT_INTEREST_PERCENT", F103)</f>
        <v>0</v>
      </c>
      <c r="S103">
        <f>_xll.ciqfunctions.udf.CIQ(A103, "IQ_BETA_1YR_RSQ", F103)</f>
        <v>0</v>
      </c>
      <c r="T103">
        <f>_xll.ciqfunctions.udf.CIQ(A103, "IQ_VALUE_TRADED", F103)</f>
        <v>0</v>
      </c>
    </row>
    <row r="104" spans="1:20" x14ac:dyDescent="0.3">
      <c r="A104" t="s">
        <v>365</v>
      </c>
      <c r="B104" t="s">
        <v>43</v>
      </c>
      <c r="C104" t="s">
        <v>362</v>
      </c>
      <c r="D104" t="s">
        <v>363</v>
      </c>
      <c r="E104" t="s">
        <v>76</v>
      </c>
      <c r="F104" s="1">
        <v>45307</v>
      </c>
      <c r="G104" t="s">
        <v>364</v>
      </c>
      <c r="H104">
        <v>110</v>
      </c>
      <c r="I104">
        <f>_xll.ciqfunctions.udf.CIQ(A104, "IQ_MARKETCAP", F104)</f>
        <v>18118.128110000001</v>
      </c>
      <c r="J104">
        <f>_xll.ciqfunctions.udf.CIQ(A104, "IQ_PRICE_VOL_HIST_6MTH", F104)</f>
        <v>50.204300000000003</v>
      </c>
      <c r="K104">
        <f>_xll.ciqfunctions.udf.CIQ(A104, "IQ_LASTSALEPRICE", WORKDAY(F104,-1))</f>
        <v>175.21</v>
      </c>
      <c r="L104">
        <f>_xll.ciqfunctions.udf.CIQ(A104, "IQ_LASTSALEPRICE", F104)</f>
        <v>173.25</v>
      </c>
      <c r="M104">
        <f>_xll.ciqfunctions.udf.CIQ(A104, "IQ_LASTSALEPRICE", WORKDAY(F104,5))</f>
        <v>162.27000000000001</v>
      </c>
      <c r="N104">
        <f t="shared" si="2"/>
        <v>-1.124961642898363E-2</v>
      </c>
      <c r="O104">
        <f t="shared" si="3"/>
        <v>-7.6723639947550895E-2</v>
      </c>
      <c r="P104">
        <f>LN(_xll.ciqfunctions.udf.CIQ("XBI", "IQ_LASTSALEPRICE", WORKDAY(F104,-1))/_xll.ciqfunctions.udf.CIQ("XBI", "IQ_LASTSALEPRICE", WORKDAY(F104,1)))</f>
        <v>2.3272475698078686E-2</v>
      </c>
      <c r="Q104">
        <f>LN(_xll.ciqfunctions.udf.CIQ("XBI", "IQ_LASTSALEPRICE", WORKDAY(F104,-1))/_xll.ciqfunctions.udf.CIQ("XBI", "IQ_LASTSALEPRICE", WORKDAY(F104,5)))</f>
        <v>1.3248175954399047E-2</v>
      </c>
      <c r="R104">
        <f>_xll.ciqfunctions.udf.CIQ(A104, "IQ_SHORT_INTEREST_PERCENT", F104)</f>
        <v>1.7522200000000001</v>
      </c>
      <c r="S104">
        <f>_xll.ciqfunctions.udf.CIQ(A104, "IQ_BETA_1YR_RSQ", F104)</f>
        <v>0.2117</v>
      </c>
      <c r="T104">
        <f>_xll.ciqfunctions.udf.CIQ(A104, "IQ_VALUE_TRADED", F104)</f>
        <v>51.243189999999998</v>
      </c>
    </row>
    <row r="105" spans="1:20" x14ac:dyDescent="0.3">
      <c r="A105" t="s">
        <v>366</v>
      </c>
      <c r="B105">
        <v>3.47</v>
      </c>
      <c r="C105" t="s">
        <v>362</v>
      </c>
      <c r="D105" t="s">
        <v>363</v>
      </c>
      <c r="E105" t="s">
        <v>76</v>
      </c>
      <c r="F105" s="1">
        <v>45307</v>
      </c>
      <c r="G105" t="s">
        <v>364</v>
      </c>
      <c r="H105">
        <v>41</v>
      </c>
      <c r="I105">
        <f>_xll.ciqfunctions.udf.CIQ(A105, "IQ_MARKETCAP", F105)</f>
        <v>88.71199</v>
      </c>
      <c r="J105">
        <f>_xll.ciqfunctions.udf.CIQ(A105, "IQ_PRICE_VOL_HIST_6MTH", F105)</f>
        <v>109.05589999999999</v>
      </c>
      <c r="K105">
        <f>_xll.ciqfunctions.udf.CIQ(A105, "IQ_LASTSALEPRICE", WORKDAY(F105,-1))</f>
        <v>3.51</v>
      </c>
      <c r="L105">
        <f>_xll.ciqfunctions.udf.CIQ(A105, "IQ_LASTSALEPRICE", F105)</f>
        <v>3.47</v>
      </c>
      <c r="M105">
        <f>_xll.ciqfunctions.udf.CIQ(A105, "IQ_LASTSALEPRICE", WORKDAY(F105,5))</f>
        <v>2.85</v>
      </c>
      <c r="N105">
        <f t="shared" si="2"/>
        <v>-1.1461443519006539E-2</v>
      </c>
      <c r="O105">
        <f t="shared" si="3"/>
        <v>-0.20829704319721515</v>
      </c>
      <c r="P105">
        <f>LN(_xll.ciqfunctions.udf.CIQ("XBI", "IQ_LASTSALEPRICE", WORKDAY(F105,-1))/_xll.ciqfunctions.udf.CIQ("XBI", "IQ_LASTSALEPRICE", WORKDAY(F105,1)))</f>
        <v>2.3272475698078686E-2</v>
      </c>
      <c r="Q105">
        <f>LN(_xll.ciqfunctions.udf.CIQ("XBI", "IQ_LASTSALEPRICE", WORKDAY(F105,-1))/_xll.ciqfunctions.udf.CIQ("XBI", "IQ_LASTSALEPRICE", WORKDAY(F105,5)))</f>
        <v>1.3248175954399047E-2</v>
      </c>
      <c r="R105">
        <f>_xll.ciqfunctions.udf.CIQ(A105, "IQ_SHORT_INTEREST_PERCENT", F105)</f>
        <v>2.2189399999999999</v>
      </c>
      <c r="S105">
        <f>_xll.ciqfunctions.udf.CIQ(A105, "IQ_BETA_1YR_RSQ", F105)</f>
        <v>0.13506000000000001</v>
      </c>
      <c r="T105">
        <f>_xll.ciqfunctions.udf.CIQ(A105, "IQ_VALUE_TRADED", F105)</f>
        <v>0.96606999999999998</v>
      </c>
    </row>
    <row r="106" spans="1:20" x14ac:dyDescent="0.3">
      <c r="A106" t="s">
        <v>367</v>
      </c>
      <c r="B106">
        <v>16.899999999999999</v>
      </c>
      <c r="C106" t="s">
        <v>368</v>
      </c>
      <c r="D106" t="s">
        <v>369</v>
      </c>
      <c r="E106" t="s">
        <v>46</v>
      </c>
      <c r="F106" s="1">
        <v>45307</v>
      </c>
      <c r="G106" t="s">
        <v>370</v>
      </c>
      <c r="H106">
        <v>106</v>
      </c>
      <c r="I106">
        <f>_xll.ciqfunctions.udf.CIQ(A106, "IQ_MARKETCAP", F106)</f>
        <v>1265.0590500000001</v>
      </c>
      <c r="J106">
        <f>_xll.ciqfunctions.udf.CIQ(A106, "IQ_PRICE_VOL_HIST_6MTH", F106)</f>
        <v>62.103999999999999</v>
      </c>
      <c r="K106">
        <f>_xll.ciqfunctions.udf.CIQ(A106, "IQ_LASTSALEPRICE", WORKDAY(F106,-1))</f>
        <v>17.510000000000002</v>
      </c>
      <c r="L106">
        <f>_xll.ciqfunctions.udf.CIQ(A106, "IQ_LASTSALEPRICE", F106)</f>
        <v>16.899999999999999</v>
      </c>
      <c r="M106">
        <f>_xll.ciqfunctions.udf.CIQ(A106, "IQ_LASTSALEPRICE", WORKDAY(F106,5))</f>
        <v>15.44</v>
      </c>
      <c r="N106">
        <f t="shared" si="2"/>
        <v>-3.5458524368732855E-2</v>
      </c>
      <c r="O106">
        <f t="shared" si="3"/>
        <v>-0.12581060170113045</v>
      </c>
      <c r="P106">
        <f>LN(_xll.ciqfunctions.udf.CIQ("XBI", "IQ_LASTSALEPRICE", WORKDAY(F106,-1))/_xll.ciqfunctions.udf.CIQ("XBI", "IQ_LASTSALEPRICE", WORKDAY(F106,1)))</f>
        <v>2.3272475698078686E-2</v>
      </c>
      <c r="Q106">
        <f>LN(_xll.ciqfunctions.udf.CIQ("XBI", "IQ_LASTSALEPRICE", WORKDAY(F106,-1))/_xll.ciqfunctions.udf.CIQ("XBI", "IQ_LASTSALEPRICE", WORKDAY(F106,5)))</f>
        <v>1.3248175954399047E-2</v>
      </c>
      <c r="R106">
        <f>_xll.ciqfunctions.udf.CIQ(A106, "IQ_SHORT_INTEREST_PERCENT", F106)</f>
        <v>9.7092700000000001</v>
      </c>
      <c r="S106">
        <f>_xll.ciqfunctions.udf.CIQ(A106, "IQ_BETA_1YR_RSQ", F106)</f>
        <v>0.10653</v>
      </c>
      <c r="T106">
        <f>_xll.ciqfunctions.udf.CIQ(A106, "IQ_VALUE_TRADED", F106)</f>
        <v>9.5129300000000008</v>
      </c>
    </row>
    <row r="107" spans="1:20" x14ac:dyDescent="0.3">
      <c r="A107" t="s">
        <v>371</v>
      </c>
      <c r="B107">
        <v>3.78</v>
      </c>
      <c r="C107" t="s">
        <v>372</v>
      </c>
      <c r="D107" t="s">
        <v>104</v>
      </c>
      <c r="E107" t="s">
        <v>17</v>
      </c>
      <c r="F107" s="1">
        <v>45307</v>
      </c>
      <c r="G107" t="s">
        <v>373</v>
      </c>
      <c r="H107">
        <v>47</v>
      </c>
      <c r="I107">
        <f>_xll.ciqfunctions.udf.CIQ(A107, "IQ_MARKETCAP", F107)</f>
        <v>165.69506000000001</v>
      </c>
      <c r="J107">
        <f>_xll.ciqfunctions.udf.CIQ(A107, "IQ_PRICE_VOL_HIST_6MTH", F107)</f>
        <v>98.631399999999999</v>
      </c>
      <c r="K107">
        <f>_xll.ciqfunctions.udf.CIQ(A107, "IQ_LASTSALEPRICE", WORKDAY(F107,-1))</f>
        <v>3.17</v>
      </c>
      <c r="L107">
        <f>_xll.ciqfunctions.udf.CIQ(A107, "IQ_LASTSALEPRICE", F107)</f>
        <v>3.78</v>
      </c>
      <c r="M107">
        <f>_xll.ciqfunctions.udf.CIQ(A107, "IQ_LASTSALEPRICE", WORKDAY(F107,5))</f>
        <v>3.2450000000000001</v>
      </c>
      <c r="N107">
        <f t="shared" si="2"/>
        <v>0.175992421742307</v>
      </c>
      <c r="O107">
        <f t="shared" si="3"/>
        <v>2.3383762266864144E-2</v>
      </c>
      <c r="P107">
        <f>LN(_xll.ciqfunctions.udf.CIQ("XBI", "IQ_LASTSALEPRICE", WORKDAY(F107,-1))/_xll.ciqfunctions.udf.CIQ("XBI", "IQ_LASTSALEPRICE", WORKDAY(F107,1)))</f>
        <v>2.3272475698078686E-2</v>
      </c>
      <c r="Q107">
        <f>LN(_xll.ciqfunctions.udf.CIQ("XBI", "IQ_LASTSALEPRICE", WORKDAY(F107,-1))/_xll.ciqfunctions.udf.CIQ("XBI", "IQ_LASTSALEPRICE", WORKDAY(F107,5)))</f>
        <v>1.3248175954399047E-2</v>
      </c>
      <c r="R107">
        <f>_xll.ciqfunctions.udf.CIQ(A107, "IQ_SHORT_INTEREST_PERCENT", F107)</f>
        <v>5.7439999999999998E-2</v>
      </c>
      <c r="S107">
        <f>_xll.ciqfunctions.udf.CIQ(A107, "IQ_BETA_1YR_RSQ", F107)</f>
        <v>4.2299999999999997E-2</v>
      </c>
      <c r="T107">
        <f>_xll.ciqfunctions.udf.CIQ(A107, "IQ_VALUE_TRADED", F107)</f>
        <v>2.2021700000000002</v>
      </c>
    </row>
    <row r="108" spans="1:20" x14ac:dyDescent="0.3">
      <c r="A108" t="s">
        <v>374</v>
      </c>
      <c r="B108">
        <v>4.5199999999999996</v>
      </c>
      <c r="C108" t="s">
        <v>375</v>
      </c>
      <c r="D108" t="s">
        <v>376</v>
      </c>
      <c r="E108" t="s">
        <v>197</v>
      </c>
      <c r="F108" s="1">
        <v>45308</v>
      </c>
      <c r="G108" t="s">
        <v>377</v>
      </c>
      <c r="H108">
        <v>1</v>
      </c>
      <c r="I108">
        <f>_xll.ciqfunctions.udf.CIQ(A108, "IQ_MARKETCAP", F108)</f>
        <v>62.231180000000002</v>
      </c>
      <c r="J108">
        <f>_xll.ciqfunctions.udf.CIQ(A108, "IQ_PRICE_VOL_HIST_6MTH", F108)</f>
        <v>132.07249999999999</v>
      </c>
      <c r="K108">
        <f>_xll.ciqfunctions.udf.CIQ(A108, "IQ_LASTSALEPRICE", WORKDAY(F108,-1))</f>
        <v>95</v>
      </c>
      <c r="L108">
        <f>_xll.ciqfunctions.udf.CIQ(A108, "IQ_LASTSALEPRICE", F108)</f>
        <v>90.4</v>
      </c>
      <c r="M108">
        <f>_xll.ciqfunctions.udf.CIQ(A108, "IQ_LASTSALEPRICE", WORKDAY(F108,5))</f>
        <v>80.400000000000006</v>
      </c>
      <c r="N108">
        <f t="shared" si="2"/>
        <v>-4.9632624202409992E-2</v>
      </c>
      <c r="O108">
        <f t="shared" si="3"/>
        <v>-0.16686271541562012</v>
      </c>
      <c r="P108">
        <f>LN(_xll.ciqfunctions.udf.CIQ("XBI", "IQ_LASTSALEPRICE", WORKDAY(F108,-1))/_xll.ciqfunctions.udf.CIQ("XBI", "IQ_LASTSALEPRICE", WORKDAY(F108,1)))</f>
        <v>2.2712763769404794E-2</v>
      </c>
      <c r="Q108">
        <f>LN(_xll.ciqfunctions.udf.CIQ("XBI", "IQ_LASTSALEPRICE", WORKDAY(F108,-1))/_xll.ciqfunctions.udf.CIQ("XBI", "IQ_LASTSALEPRICE", WORKDAY(F108,5)))</f>
        <v>1.5160376343869002E-2</v>
      </c>
      <c r="R108">
        <f>_xll.ciqfunctions.udf.CIQ(A108, "IQ_SHORT_INTEREST_PERCENT", F108)</f>
        <v>2.1698900000000001</v>
      </c>
      <c r="S108">
        <f>_xll.ciqfunctions.udf.CIQ(A108, "IQ_BETA_1YR_RSQ", F108)</f>
        <v>8.9700000000000005E-3</v>
      </c>
      <c r="T108">
        <f>_xll.ciqfunctions.udf.CIQ(A108, "IQ_VALUE_TRADED", F108)</f>
        <v>13.53894</v>
      </c>
    </row>
    <row r="109" spans="1:20" x14ac:dyDescent="0.3">
      <c r="A109" t="s">
        <v>378</v>
      </c>
      <c r="B109">
        <v>0.79</v>
      </c>
      <c r="C109" t="s">
        <v>379</v>
      </c>
      <c r="D109" t="s">
        <v>380</v>
      </c>
      <c r="E109" t="s">
        <v>22</v>
      </c>
      <c r="F109" s="1">
        <v>45308</v>
      </c>
      <c r="G109" t="s">
        <v>381</v>
      </c>
      <c r="H109">
        <v>6</v>
      </c>
      <c r="I109">
        <f>_xll.ciqfunctions.udf.CIQ(A109, "IQ_MARKETCAP", F109)</f>
        <v>32.517850000000003</v>
      </c>
      <c r="J109">
        <f>_xll.ciqfunctions.udf.CIQ(A109, "IQ_PRICE_VOL_HIST_6MTH", F109)</f>
        <v>44.222900000000003</v>
      </c>
      <c r="K109">
        <f>_xll.ciqfunctions.udf.CIQ(A109, "IQ_LASTSALEPRICE", WORKDAY(F109,-1))</f>
        <v>2.35</v>
      </c>
      <c r="L109">
        <f>_xll.ciqfunctions.udf.CIQ(A109, "IQ_LASTSALEPRICE", F109)</f>
        <v>2.34</v>
      </c>
      <c r="M109">
        <f>_xll.ciqfunctions.udf.CIQ(A109, "IQ_LASTSALEPRICE", WORKDAY(F109,5))</f>
        <v>2.2999999999999998</v>
      </c>
      <c r="N109">
        <f t="shared" si="2"/>
        <v>-4.2643987864576507E-3</v>
      </c>
      <c r="O109">
        <f t="shared" si="3"/>
        <v>-2.150620522096373E-2</v>
      </c>
      <c r="P109">
        <f>LN(_xll.ciqfunctions.udf.CIQ("XBI", "IQ_LASTSALEPRICE", WORKDAY(F109,-1))/_xll.ciqfunctions.udf.CIQ("XBI", "IQ_LASTSALEPRICE", WORKDAY(F109,1)))</f>
        <v>2.2712763769404794E-2</v>
      </c>
      <c r="Q109">
        <f>LN(_xll.ciqfunctions.udf.CIQ("XBI", "IQ_LASTSALEPRICE", WORKDAY(F109,-1))/_xll.ciqfunctions.udf.CIQ("XBI", "IQ_LASTSALEPRICE", WORKDAY(F109,5)))</f>
        <v>1.5160376343869002E-2</v>
      </c>
      <c r="R109">
        <f>_xll.ciqfunctions.udf.CIQ(A109, "IQ_SHORT_INTEREST_PERCENT", F109)</f>
        <v>0</v>
      </c>
      <c r="S109">
        <f>_xll.ciqfunctions.udf.CIQ(A109, "IQ_BETA_1YR_RSQ", F109)</f>
        <v>9.8799999999999999E-2</v>
      </c>
      <c r="T109">
        <f>_xll.ciqfunctions.udf.CIQ(A109, "IQ_VALUE_TRADED", F109)</f>
        <v>2.129E-2</v>
      </c>
    </row>
    <row r="110" spans="1:20" x14ac:dyDescent="0.3">
      <c r="A110" t="s">
        <v>203</v>
      </c>
      <c r="B110">
        <v>49.4</v>
      </c>
      <c r="C110" t="s">
        <v>379</v>
      </c>
      <c r="D110" t="s">
        <v>380</v>
      </c>
      <c r="E110" t="s">
        <v>22</v>
      </c>
      <c r="F110" s="1">
        <v>45308</v>
      </c>
      <c r="G110" t="s">
        <v>381</v>
      </c>
      <c r="I110">
        <f>_xll.ciqfunctions.udf.CIQ(A110, "IQ_MARKETCAP", F110)</f>
        <v>101697.19194999999</v>
      </c>
      <c r="J110">
        <f>_xll.ciqfunctions.udf.CIQ(A110, "IQ_PRICE_VOL_HIST_6MTH", F110)</f>
        <v>21.671099999999999</v>
      </c>
      <c r="K110">
        <f>_xll.ciqfunctions.udf.CIQ(A110, "IQ_LASTSALEPRICE", WORKDAY(F110,-1))</f>
        <v>50</v>
      </c>
      <c r="L110">
        <f>_xll.ciqfunctions.udf.CIQ(A110, "IQ_LASTSALEPRICE", F110)</f>
        <v>49.98</v>
      </c>
      <c r="M110">
        <f>_xll.ciqfunctions.udf.CIQ(A110, "IQ_LASTSALEPRICE", WORKDAY(F110,5))</f>
        <v>50.24</v>
      </c>
      <c r="N110">
        <f t="shared" si="2"/>
        <v>-4.0008002133980235E-4</v>
      </c>
      <c r="O110">
        <f t="shared" si="3"/>
        <v>4.7885167317973151E-3</v>
      </c>
      <c r="P110">
        <f>LN(_xll.ciqfunctions.udf.CIQ("XBI", "IQ_LASTSALEPRICE", WORKDAY(F110,-1))/_xll.ciqfunctions.udf.CIQ("XBI", "IQ_LASTSALEPRICE", WORKDAY(F110,1)))</f>
        <v>2.2712763769404794E-2</v>
      </c>
      <c r="Q110">
        <f>LN(_xll.ciqfunctions.udf.CIQ("XBI", "IQ_LASTSALEPRICE", WORKDAY(F110,-1))/_xll.ciqfunctions.udf.CIQ("XBI", "IQ_LASTSALEPRICE", WORKDAY(F110,5)))</f>
        <v>1.5160376343869002E-2</v>
      </c>
      <c r="R110">
        <f>_xll.ciqfunctions.udf.CIQ(A110, "IQ_SHORT_INTEREST_PERCENT", F110)</f>
        <v>1.0966899999999999</v>
      </c>
      <c r="S110">
        <f>_xll.ciqfunctions.udf.CIQ(A110, "IQ_BETA_1YR_RSQ", F110)</f>
        <v>0.10385999999999999</v>
      </c>
      <c r="T110">
        <f>_xll.ciqfunctions.udf.CIQ(A110, "IQ_VALUE_TRADED", F110)</f>
        <v>820.94294000000002</v>
      </c>
    </row>
    <row r="111" spans="1:20" x14ac:dyDescent="0.3">
      <c r="A111" t="s">
        <v>382</v>
      </c>
      <c r="B111" t="s">
        <v>43</v>
      </c>
      <c r="C111" t="s">
        <v>383</v>
      </c>
      <c r="D111" t="s">
        <v>104</v>
      </c>
      <c r="E111" t="s">
        <v>17</v>
      </c>
      <c r="F111" s="1">
        <v>45308</v>
      </c>
      <c r="G111" t="s">
        <v>384</v>
      </c>
      <c r="H111">
        <v>13</v>
      </c>
      <c r="I111" t="str">
        <f>_xll.ciqfunctions.udf.CIQ(A111, "IQ_MARKETCAP", F111)</f>
        <v>(Invalid Identifier)</v>
      </c>
      <c r="J111" t="str">
        <f>_xll.ciqfunctions.udf.CIQ(A111, "IQ_PRICE_VOL_HIST_6MTH", F111)</f>
        <v>(Invalid Identifier)</v>
      </c>
      <c r="K111" t="str">
        <f>_xll.ciqfunctions.udf.CIQ(A111, "IQ_LASTSALEPRICE", WORKDAY(F111,-1))</f>
        <v>(Invalid Identifier)</v>
      </c>
      <c r="L111" t="str">
        <f>_xll.ciqfunctions.udf.CIQ(A111, "IQ_LASTSALEPRICE", F111)</f>
        <v>(Invalid Identifier)</v>
      </c>
      <c r="M111" t="str">
        <f>_xll.ciqfunctions.udf.CIQ(A111, "IQ_LASTSALEPRICE", WORKDAY(F111,5))</f>
        <v>(Invalid Identifier)</v>
      </c>
      <c r="N111" t="e">
        <f t="shared" si="2"/>
        <v>#VALUE!</v>
      </c>
      <c r="O111" t="e">
        <f t="shared" si="3"/>
        <v>#VALUE!</v>
      </c>
      <c r="P111">
        <f>LN(_xll.ciqfunctions.udf.CIQ("XBI", "IQ_LASTSALEPRICE", WORKDAY(F111,-1))/_xll.ciqfunctions.udf.CIQ("XBI", "IQ_LASTSALEPRICE", WORKDAY(F111,1)))</f>
        <v>2.2712763769404794E-2</v>
      </c>
      <c r="Q111">
        <f>LN(_xll.ciqfunctions.udf.CIQ("XBI", "IQ_LASTSALEPRICE", WORKDAY(F111,-1))/_xll.ciqfunctions.udf.CIQ("XBI", "IQ_LASTSALEPRICE", WORKDAY(F111,5)))</f>
        <v>1.5160376343869002E-2</v>
      </c>
      <c r="R111" t="str">
        <f>_xll.ciqfunctions.udf.CIQ(A111, "IQ_SHORT_INTEREST_PERCENT", F111)</f>
        <v>(Invalid Identifier)</v>
      </c>
      <c r="S111" t="str">
        <f>_xll.ciqfunctions.udf.CIQ(A111, "IQ_BETA_1YR_RSQ", F111)</f>
        <v>(Invalid Identifier)</v>
      </c>
      <c r="T111" t="str">
        <f>_xll.ciqfunctions.udf.CIQ(A111, "IQ_VALUE_TRADED", F111)</f>
        <v>(Invalid Identifier)</v>
      </c>
    </row>
    <row r="112" spans="1:20" x14ac:dyDescent="0.3">
      <c r="A112" t="s">
        <v>385</v>
      </c>
      <c r="B112">
        <v>929.13</v>
      </c>
      <c r="C112" t="s">
        <v>386</v>
      </c>
      <c r="D112" t="s">
        <v>253</v>
      </c>
      <c r="E112" t="s">
        <v>76</v>
      </c>
      <c r="F112" s="1">
        <v>45308</v>
      </c>
      <c r="G112" t="s">
        <v>387</v>
      </c>
      <c r="H112">
        <v>105</v>
      </c>
      <c r="I112">
        <f>_xll.ciqfunctions.udf.CIQ(A112, "IQ_MARKETCAP", F112)</f>
        <v>98810.173240000004</v>
      </c>
      <c r="J112">
        <f>_xll.ciqfunctions.udf.CIQ(A112, "IQ_PRICE_VOL_HIST_6MTH", F112)</f>
        <v>18.866099999999999</v>
      </c>
      <c r="K112">
        <f>_xll.ciqfunctions.udf.CIQ(A112, "IQ_LASTSALEPRICE", WORKDAY(F112,-1))</f>
        <v>937.32</v>
      </c>
      <c r="L112">
        <f>_xll.ciqfunctions.udf.CIQ(A112, "IQ_LASTSALEPRICE", F112)</f>
        <v>929.13</v>
      </c>
      <c r="M112">
        <f>_xll.ciqfunctions.udf.CIQ(A112, "IQ_LASTSALEPRICE", WORKDAY(F112,5))</f>
        <v>948.24</v>
      </c>
      <c r="N112">
        <f t="shared" si="2"/>
        <v>-8.7760749719904899E-3</v>
      </c>
      <c r="O112">
        <f t="shared" si="3"/>
        <v>1.1582895361038691E-2</v>
      </c>
      <c r="P112">
        <f>LN(_xll.ciqfunctions.udf.CIQ("XBI", "IQ_LASTSALEPRICE", WORKDAY(F112,-1))/_xll.ciqfunctions.udf.CIQ("XBI", "IQ_LASTSALEPRICE", WORKDAY(F112,1)))</f>
        <v>2.2712763769404794E-2</v>
      </c>
      <c r="Q112">
        <f>LN(_xll.ciqfunctions.udf.CIQ("XBI", "IQ_LASTSALEPRICE", WORKDAY(F112,-1))/_xll.ciqfunctions.udf.CIQ("XBI", "IQ_LASTSALEPRICE", WORKDAY(F112,5)))</f>
        <v>1.5160376343869002E-2</v>
      </c>
      <c r="R112">
        <f>_xll.ciqfunctions.udf.CIQ(A112, "IQ_SHORT_INTEREST_PERCENT", F112)</f>
        <v>0.99899000000000004</v>
      </c>
      <c r="S112">
        <f>_xll.ciqfunctions.udf.CIQ(A112, "IQ_BETA_1YR_RSQ", F112)</f>
        <v>0.14735999999999999</v>
      </c>
      <c r="T112">
        <f>_xll.ciqfunctions.udf.CIQ(A112, "IQ_VALUE_TRADED", F112)</f>
        <v>489.40807999999998</v>
      </c>
    </row>
    <row r="113" spans="1:20" x14ac:dyDescent="0.3">
      <c r="A113" t="s">
        <v>388</v>
      </c>
      <c r="B113">
        <v>1.48</v>
      </c>
      <c r="C113" t="s">
        <v>386</v>
      </c>
      <c r="D113" t="s">
        <v>253</v>
      </c>
      <c r="E113" t="s">
        <v>76</v>
      </c>
      <c r="F113" s="1">
        <v>45308</v>
      </c>
      <c r="G113" t="s">
        <v>387</v>
      </c>
      <c r="H113">
        <v>32</v>
      </c>
      <c r="I113">
        <f>_xll.ciqfunctions.udf.CIQ(A113, "IQ_MARKETCAP", F113)</f>
        <v>25.07676</v>
      </c>
      <c r="J113">
        <f>_xll.ciqfunctions.udf.CIQ(A113, "IQ_PRICE_VOL_HIST_6MTH", F113)</f>
        <v>117.8391</v>
      </c>
      <c r="K113">
        <f>_xll.ciqfunctions.udf.CIQ(A113, "IQ_LASTSALEPRICE", WORKDAY(F113,-1))</f>
        <v>1.23</v>
      </c>
      <c r="L113">
        <f>_xll.ciqfunctions.udf.CIQ(A113, "IQ_LASTSALEPRICE", F113)</f>
        <v>1.48</v>
      </c>
      <c r="M113">
        <f>_xll.ciqfunctions.udf.CIQ(A113, "IQ_LASTSALEPRICE", WORKDAY(F113,5))</f>
        <v>1.41</v>
      </c>
      <c r="N113">
        <f t="shared" si="2"/>
        <v>0.18502791839169766</v>
      </c>
      <c r="O113">
        <f t="shared" si="3"/>
        <v>0.1365755350057507</v>
      </c>
      <c r="P113">
        <f>LN(_xll.ciqfunctions.udf.CIQ("XBI", "IQ_LASTSALEPRICE", WORKDAY(F113,-1))/_xll.ciqfunctions.udf.CIQ("XBI", "IQ_LASTSALEPRICE", WORKDAY(F113,1)))</f>
        <v>2.2712763769404794E-2</v>
      </c>
      <c r="Q113">
        <f>LN(_xll.ciqfunctions.udf.CIQ("XBI", "IQ_LASTSALEPRICE", WORKDAY(F113,-1))/_xll.ciqfunctions.udf.CIQ("XBI", "IQ_LASTSALEPRICE", WORKDAY(F113,5)))</f>
        <v>1.5160376343869002E-2</v>
      </c>
      <c r="R113">
        <f>_xll.ciqfunctions.udf.CIQ(A113, "IQ_SHORT_INTEREST_PERCENT", F113)</f>
        <v>0.55698000000000003</v>
      </c>
      <c r="S113">
        <f>_xll.ciqfunctions.udf.CIQ(A113, "IQ_BETA_1YR_RSQ", F113)</f>
        <v>2.0000000000000002E-5</v>
      </c>
      <c r="T113">
        <f>_xll.ciqfunctions.udf.CIQ(A113, "IQ_VALUE_TRADED", F113)</f>
        <v>5.5152999999999999</v>
      </c>
    </row>
    <row r="114" spans="1:20" x14ac:dyDescent="0.3">
      <c r="A114" t="s">
        <v>389</v>
      </c>
      <c r="B114">
        <v>2.94</v>
      </c>
      <c r="C114" t="s">
        <v>390</v>
      </c>
      <c r="D114" t="s">
        <v>391</v>
      </c>
      <c r="E114" t="s">
        <v>124</v>
      </c>
      <c r="F114" s="1">
        <v>45308</v>
      </c>
      <c r="G114" t="s">
        <v>392</v>
      </c>
      <c r="H114">
        <v>8</v>
      </c>
      <c r="I114">
        <f>_xll.ciqfunctions.udf.CIQ(A114, "IQ_MARKETCAP", F114)</f>
        <v>23.92998</v>
      </c>
      <c r="J114">
        <f>_xll.ciqfunctions.udf.CIQ(A114, "IQ_PRICE_VOL_HIST_6MTH", F114)</f>
        <v>67.998500000000007</v>
      </c>
      <c r="K114">
        <f>_xll.ciqfunctions.udf.CIQ(A114, "IQ_LASTSALEPRICE", WORKDAY(F114,-1))</f>
        <v>3.02</v>
      </c>
      <c r="L114">
        <f>_xll.ciqfunctions.udf.CIQ(A114, "IQ_LASTSALEPRICE", F114)</f>
        <v>2.94</v>
      </c>
      <c r="M114">
        <f>_xll.ciqfunctions.udf.CIQ(A114, "IQ_LASTSALEPRICE", WORKDAY(F114,5))</f>
        <v>2.75</v>
      </c>
      <c r="N114">
        <f t="shared" si="2"/>
        <v>-2.6847250036188052E-2</v>
      </c>
      <c r="O114">
        <f t="shared" si="3"/>
        <v>-9.3655919708298355E-2</v>
      </c>
      <c r="P114">
        <f>LN(_xll.ciqfunctions.udf.CIQ("XBI", "IQ_LASTSALEPRICE", WORKDAY(F114,-1))/_xll.ciqfunctions.udf.CIQ("XBI", "IQ_LASTSALEPRICE", WORKDAY(F114,1)))</f>
        <v>2.2712763769404794E-2</v>
      </c>
      <c r="Q114">
        <f>LN(_xll.ciqfunctions.udf.CIQ("XBI", "IQ_LASTSALEPRICE", WORKDAY(F114,-1))/_xll.ciqfunctions.udf.CIQ("XBI", "IQ_LASTSALEPRICE", WORKDAY(F114,5)))</f>
        <v>1.5160376343869002E-2</v>
      </c>
      <c r="R114">
        <f>_xll.ciqfunctions.udf.CIQ(A114, "IQ_SHORT_INTEREST_PERCENT", F114)</f>
        <v>0.73302999999999996</v>
      </c>
      <c r="S114">
        <f>_xll.ciqfunctions.udf.CIQ(A114, "IQ_BETA_1YR_RSQ", F114)</f>
        <v>6.336E-2</v>
      </c>
      <c r="T114">
        <f>_xll.ciqfunctions.udf.CIQ(A114, "IQ_VALUE_TRADED", F114)</f>
        <v>4.0050000000000002E-2</v>
      </c>
    </row>
    <row r="115" spans="1:20" x14ac:dyDescent="0.3">
      <c r="A115" t="s">
        <v>393</v>
      </c>
      <c r="B115">
        <v>0.44</v>
      </c>
      <c r="C115" t="s">
        <v>394</v>
      </c>
      <c r="D115" t="s">
        <v>395</v>
      </c>
      <c r="E115" t="s">
        <v>17</v>
      </c>
      <c r="F115" s="1">
        <v>45308</v>
      </c>
      <c r="G115" t="s">
        <v>396</v>
      </c>
      <c r="H115">
        <v>74</v>
      </c>
      <c r="I115">
        <f>_xll.ciqfunctions.udf.CIQ(A115, "IQ_MARKETCAP", F115)</f>
        <v>122.35702000000001</v>
      </c>
      <c r="J115">
        <f>_xll.ciqfunctions.udf.CIQ(A115, "IQ_PRICE_VOL_HIST_6MTH", F115)</f>
        <v>140.72139999999999</v>
      </c>
      <c r="K115">
        <f>_xll.ciqfunctions.udf.CIQ(A115, "IQ_LASTSALEPRICE", WORKDAY(F115,-1))</f>
        <v>4.5209999999999999</v>
      </c>
      <c r="L115">
        <f>_xll.ciqfunctions.udf.CIQ(A115, "IQ_LASTSALEPRICE", F115)</f>
        <v>4.3609999999999998</v>
      </c>
      <c r="M115">
        <f>_xll.ciqfunctions.udf.CIQ(A115, "IQ_LASTSALEPRICE", WORKDAY(F115,5))</f>
        <v>4.8860000000000001</v>
      </c>
      <c r="N115">
        <f t="shared" si="2"/>
        <v>-3.6031819451838761E-2</v>
      </c>
      <c r="O115">
        <f t="shared" si="3"/>
        <v>7.7640764523080608E-2</v>
      </c>
      <c r="P115">
        <f>LN(_xll.ciqfunctions.udf.CIQ("XBI", "IQ_LASTSALEPRICE", WORKDAY(F115,-1))/_xll.ciqfunctions.udf.CIQ("XBI", "IQ_LASTSALEPRICE", WORKDAY(F115,1)))</f>
        <v>2.2712763769404794E-2</v>
      </c>
      <c r="Q115">
        <f>LN(_xll.ciqfunctions.udf.CIQ("XBI", "IQ_LASTSALEPRICE", WORKDAY(F115,-1))/_xll.ciqfunctions.udf.CIQ("XBI", "IQ_LASTSALEPRICE", WORKDAY(F115,5)))</f>
        <v>1.5160376343869002E-2</v>
      </c>
      <c r="R115">
        <f>_xll.ciqfunctions.udf.CIQ(A115, "IQ_SHORT_INTEREST_PERCENT", F115)</f>
        <v>0.68891000000000002</v>
      </c>
      <c r="S115">
        <f>_xll.ciqfunctions.udf.CIQ(A115, "IQ_BETA_1YR_RSQ", F115)</f>
        <v>1.98E-3</v>
      </c>
      <c r="T115">
        <f>_xll.ciqfunctions.udf.CIQ(A115, "IQ_VALUE_TRADED", F115)</f>
        <v>0.37533</v>
      </c>
    </row>
    <row r="116" spans="1:20" x14ac:dyDescent="0.3">
      <c r="A116" t="s">
        <v>397</v>
      </c>
      <c r="B116">
        <v>35.33</v>
      </c>
      <c r="C116" t="s">
        <v>398</v>
      </c>
      <c r="D116" t="s">
        <v>399</v>
      </c>
      <c r="E116" t="s">
        <v>76</v>
      </c>
      <c r="F116" s="1">
        <v>45308</v>
      </c>
      <c r="G116" t="s">
        <v>400</v>
      </c>
      <c r="I116">
        <f>_xll.ciqfunctions.udf.CIQ(A116, "IQ_MARKETCAP", F116)</f>
        <v>3.6879300000000002</v>
      </c>
      <c r="J116">
        <f>_xll.ciqfunctions.udf.CIQ(A116, "IQ_PRICE_VOL_HIST_6MTH", F116)</f>
        <v>142.06219999999999</v>
      </c>
      <c r="K116">
        <f>_xll.ciqfunctions.udf.CIQ(A116, "IQ_LASTSALEPRICE", WORKDAY(F116,-1))</f>
        <v>21612.02161</v>
      </c>
      <c r="L116">
        <f>_xll.ciqfunctions.udf.CIQ(A116, "IQ_LASTSALEPRICE", F116)</f>
        <v>21195.021199999999</v>
      </c>
      <c r="M116">
        <f>_xll.ciqfunctions.udf.CIQ(A116, "IQ_LASTSALEPRICE", WORKDAY(F116,5))</f>
        <v>16869.016869999999</v>
      </c>
      <c r="N116">
        <f t="shared" si="2"/>
        <v>-1.9483410848773332E-2</v>
      </c>
      <c r="O116">
        <f t="shared" si="3"/>
        <v>-0.24777109785182366</v>
      </c>
      <c r="P116">
        <f>LN(_xll.ciqfunctions.udf.CIQ("XBI", "IQ_LASTSALEPRICE", WORKDAY(F116,-1))/_xll.ciqfunctions.udf.CIQ("XBI", "IQ_LASTSALEPRICE", WORKDAY(F116,1)))</f>
        <v>2.2712763769404794E-2</v>
      </c>
      <c r="Q116">
        <f>LN(_xll.ciqfunctions.udf.CIQ("XBI", "IQ_LASTSALEPRICE", WORKDAY(F116,-1))/_xll.ciqfunctions.udf.CIQ("XBI", "IQ_LASTSALEPRICE", WORKDAY(F116,5)))</f>
        <v>1.5160376343869002E-2</v>
      </c>
      <c r="R116">
        <f>_xll.ciqfunctions.udf.CIQ(A116, "IQ_SHORT_INTEREST_PERCENT", F116)</f>
        <v>4.1320600000000001</v>
      </c>
      <c r="S116">
        <f>_xll.ciqfunctions.udf.CIQ(A116, "IQ_BETA_1YR_RSQ", F116)</f>
        <v>1.076E-2</v>
      </c>
      <c r="T116">
        <f>_xll.ciqfunctions.udf.CIQ(A116, "IQ_VALUE_TRADED", F116)</f>
        <v>0.12717000000000001</v>
      </c>
    </row>
    <row r="117" spans="1:20" x14ac:dyDescent="0.3">
      <c r="A117" t="s">
        <v>401</v>
      </c>
      <c r="B117">
        <v>27.32</v>
      </c>
      <c r="C117" t="s">
        <v>402</v>
      </c>
      <c r="D117" t="s">
        <v>403</v>
      </c>
      <c r="E117" t="s">
        <v>46</v>
      </c>
      <c r="F117" s="1">
        <v>45308</v>
      </c>
      <c r="G117" t="s">
        <v>404</v>
      </c>
      <c r="I117">
        <f>_xll.ciqfunctions.udf.CIQ(A117, "IQ_MARKETCAP", F117)</f>
        <v>158946.53417</v>
      </c>
      <c r="J117">
        <f>_xll.ciqfunctions.udf.CIQ(A117, "IQ_PRICE_VOL_HIST_6MTH", F117)</f>
        <v>25.800999999999998</v>
      </c>
      <c r="K117">
        <f>_xll.ciqfunctions.udf.CIQ(A117, "IQ_LASTSALEPRICE", WORKDAY(F117,-1))</f>
        <v>28.32</v>
      </c>
      <c r="L117">
        <f>_xll.ciqfunctions.udf.CIQ(A117, "IQ_LASTSALEPRICE", F117)</f>
        <v>28.15</v>
      </c>
      <c r="M117">
        <f>_xll.ciqfunctions.udf.CIQ(A117, "IQ_LASTSALEPRICE", WORKDAY(F117,5))</f>
        <v>28.33</v>
      </c>
      <c r="N117">
        <f t="shared" si="2"/>
        <v>-6.0209142398197002E-3</v>
      </c>
      <c r="O117">
        <f t="shared" si="3"/>
        <v>3.5304501690618947E-4</v>
      </c>
      <c r="P117">
        <f>LN(_xll.ciqfunctions.udf.CIQ("XBI", "IQ_LASTSALEPRICE", WORKDAY(F117,-1))/_xll.ciqfunctions.udf.CIQ("XBI", "IQ_LASTSALEPRICE", WORKDAY(F117,1)))</f>
        <v>2.2712763769404794E-2</v>
      </c>
      <c r="Q117">
        <f>LN(_xll.ciqfunctions.udf.CIQ("XBI", "IQ_LASTSALEPRICE", WORKDAY(F117,-1))/_xll.ciqfunctions.udf.CIQ("XBI", "IQ_LASTSALEPRICE", WORKDAY(F117,5)))</f>
        <v>1.5160376343869002E-2</v>
      </c>
      <c r="R117">
        <f>_xll.ciqfunctions.udf.CIQ(A117, "IQ_SHORT_INTEREST_PERCENT", F117)</f>
        <v>1.01004</v>
      </c>
      <c r="S117">
        <f>_xll.ciqfunctions.udf.CIQ(A117, "IQ_BETA_1YR_RSQ", F117)</f>
        <v>8.5569999999999993E-2</v>
      </c>
      <c r="T117">
        <f>_xll.ciqfunctions.udf.CIQ(A117, "IQ_VALUE_TRADED", F117)</f>
        <v>937.74920999999995</v>
      </c>
    </row>
    <row r="118" spans="1:20" x14ac:dyDescent="0.3">
      <c r="A118" t="s">
        <v>405</v>
      </c>
      <c r="B118">
        <v>1.47</v>
      </c>
      <c r="C118" t="s">
        <v>402</v>
      </c>
      <c r="D118" t="s">
        <v>403</v>
      </c>
      <c r="E118" t="s">
        <v>46</v>
      </c>
      <c r="F118" s="1">
        <v>45308</v>
      </c>
      <c r="G118" t="s">
        <v>404</v>
      </c>
      <c r="H118">
        <v>66</v>
      </c>
      <c r="I118">
        <f>_xll.ciqfunctions.udf.CIQ(A118, "IQ_MARKETCAP", F118)</f>
        <v>65.675439999999995</v>
      </c>
      <c r="J118">
        <f>_xll.ciqfunctions.udf.CIQ(A118, "IQ_PRICE_VOL_HIST_6MTH", F118)</f>
        <v>91.794600000000003</v>
      </c>
      <c r="K118">
        <f>_xll.ciqfunctions.udf.CIQ(A118, "IQ_LASTSALEPRICE", WORKDAY(F118,-1))</f>
        <v>1.63</v>
      </c>
      <c r="L118">
        <f>_xll.ciqfunctions.udf.CIQ(A118, "IQ_LASTSALEPRICE", F118)</f>
        <v>1.47</v>
      </c>
      <c r="M118">
        <f>_xll.ciqfunctions.udf.CIQ(A118, "IQ_LASTSALEPRICE", WORKDAY(F118,5))</f>
        <v>1.5149999999999999</v>
      </c>
      <c r="N118">
        <f t="shared" si="2"/>
        <v>-0.10331761402802601</v>
      </c>
      <c r="O118">
        <f t="shared" si="3"/>
        <v>-7.3164575857338543E-2</v>
      </c>
      <c r="P118">
        <f>LN(_xll.ciqfunctions.udf.CIQ("XBI", "IQ_LASTSALEPRICE", WORKDAY(F118,-1))/_xll.ciqfunctions.udf.CIQ("XBI", "IQ_LASTSALEPRICE", WORKDAY(F118,1)))</f>
        <v>2.2712763769404794E-2</v>
      </c>
      <c r="Q118">
        <f>LN(_xll.ciqfunctions.udf.CIQ("XBI", "IQ_LASTSALEPRICE", WORKDAY(F118,-1))/_xll.ciqfunctions.udf.CIQ("XBI", "IQ_LASTSALEPRICE", WORKDAY(F118,5)))</f>
        <v>1.5160376343869002E-2</v>
      </c>
      <c r="R118">
        <f>_xll.ciqfunctions.udf.CIQ(A118, "IQ_SHORT_INTEREST_PERCENT", F118)</f>
        <v>2.9479000000000002</v>
      </c>
      <c r="S118">
        <f>_xll.ciqfunctions.udf.CIQ(A118, "IQ_BETA_1YR_RSQ", F118)</f>
        <v>7.918E-2</v>
      </c>
      <c r="T118">
        <f>_xll.ciqfunctions.udf.CIQ(A118, "IQ_VALUE_TRADED", F118)</f>
        <v>0.36656</v>
      </c>
    </row>
    <row r="119" spans="1:20" x14ac:dyDescent="0.3">
      <c r="A119" t="s">
        <v>406</v>
      </c>
      <c r="B119">
        <v>4.47</v>
      </c>
      <c r="C119" t="s">
        <v>407</v>
      </c>
      <c r="D119" t="s">
        <v>408</v>
      </c>
      <c r="E119" t="s">
        <v>27</v>
      </c>
      <c r="F119" s="1">
        <v>45308</v>
      </c>
      <c r="G119" t="s">
        <v>409</v>
      </c>
      <c r="H119">
        <v>347</v>
      </c>
      <c r="I119">
        <f>_xll.ciqfunctions.udf.CIQ(A119, "IQ_MARKETCAP", F119)</f>
        <v>70.952820000000003</v>
      </c>
      <c r="J119">
        <f>_xll.ciqfunctions.udf.CIQ(A119, "IQ_PRICE_VOL_HIST_6MTH", F119)</f>
        <v>157.8562</v>
      </c>
      <c r="K119">
        <f>_xll.ciqfunctions.udf.CIQ(A119, "IQ_LASTSALEPRICE", WORKDAY(F119,-1))</f>
        <v>4.45</v>
      </c>
      <c r="L119">
        <f>_xll.ciqfunctions.udf.CIQ(A119, "IQ_LASTSALEPRICE", F119)</f>
        <v>4.47</v>
      </c>
      <c r="M119">
        <f>_xll.ciqfunctions.udf.CIQ(A119, "IQ_LASTSALEPRICE", WORKDAY(F119,5))</f>
        <v>4.03</v>
      </c>
      <c r="N119">
        <f t="shared" si="2"/>
        <v>4.4843124473285863E-3</v>
      </c>
      <c r="O119">
        <f t="shared" si="3"/>
        <v>-9.913772021955719E-2</v>
      </c>
      <c r="P119">
        <f>LN(_xll.ciqfunctions.udf.CIQ("XBI", "IQ_LASTSALEPRICE", WORKDAY(F119,-1))/_xll.ciqfunctions.udf.CIQ("XBI", "IQ_LASTSALEPRICE", WORKDAY(F119,1)))</f>
        <v>2.2712763769404794E-2</v>
      </c>
      <c r="Q119">
        <f>LN(_xll.ciqfunctions.udf.CIQ("XBI", "IQ_LASTSALEPRICE", WORKDAY(F119,-1))/_xll.ciqfunctions.udf.CIQ("XBI", "IQ_LASTSALEPRICE", WORKDAY(F119,5)))</f>
        <v>1.5160376343869002E-2</v>
      </c>
      <c r="R119">
        <f>_xll.ciqfunctions.udf.CIQ(A119, "IQ_SHORT_INTEREST_PERCENT", F119)</f>
        <v>0.58984000000000003</v>
      </c>
      <c r="S119">
        <f>_xll.ciqfunctions.udf.CIQ(A119, "IQ_BETA_1YR_RSQ", F119)</f>
        <v>6.7110000000000003E-2</v>
      </c>
      <c r="T119">
        <f>_xll.ciqfunctions.udf.CIQ(A119, "IQ_VALUE_TRADED", F119)</f>
        <v>9.7439999999999999E-2</v>
      </c>
    </row>
    <row r="120" spans="1:20" x14ac:dyDescent="0.3">
      <c r="A120" t="s">
        <v>410</v>
      </c>
      <c r="B120">
        <v>6.65</v>
      </c>
      <c r="C120" t="s">
        <v>411</v>
      </c>
      <c r="D120" t="s">
        <v>412</v>
      </c>
      <c r="E120" t="s">
        <v>22</v>
      </c>
      <c r="F120" s="1">
        <v>45309</v>
      </c>
      <c r="G120" t="s">
        <v>413</v>
      </c>
      <c r="H120">
        <v>4</v>
      </c>
      <c r="I120">
        <f>_xll.ciqfunctions.udf.CIQ(A120, "IQ_MARKETCAP", F120)</f>
        <v>3.19469</v>
      </c>
      <c r="J120">
        <f>_xll.ciqfunctions.udf.CIQ(A120, "IQ_PRICE_VOL_HIST_6MTH", F120)</f>
        <v>186.1696</v>
      </c>
      <c r="K120">
        <f>_xll.ciqfunctions.udf.CIQ(A120, "IQ_LASTSALEPRICE", WORKDAY(F120,-1))</f>
        <v>8.6760000000000002</v>
      </c>
      <c r="L120">
        <f>_xll.ciqfunctions.udf.CIQ(A120, "IQ_LASTSALEPRICE", F120)</f>
        <v>6.65</v>
      </c>
      <c r="M120">
        <f>_xll.ciqfunctions.udf.CIQ(A120, "IQ_LASTSALEPRICE", WORKDAY(F120,5))</f>
        <v>3.25</v>
      </c>
      <c r="N120">
        <f t="shared" si="2"/>
        <v>-0.26594373829686513</v>
      </c>
      <c r="O120">
        <f t="shared" si="3"/>
        <v>-0.98190559662298182</v>
      </c>
      <c r="P120">
        <f>LN(_xll.ciqfunctions.udf.CIQ("XBI", "IQ_LASTSALEPRICE", WORKDAY(F120,-1))/_xll.ciqfunctions.udf.CIQ("XBI", "IQ_LASTSALEPRICE", WORKDAY(F120,1)))</f>
        <v>1.4710339954182382E-2</v>
      </c>
      <c r="Q120">
        <f>LN(_xll.ciqfunctions.udf.CIQ("XBI", "IQ_LASTSALEPRICE", WORKDAY(F120,-1))/_xll.ciqfunctions.udf.CIQ("XBI", "IQ_LASTSALEPRICE", WORKDAY(F120,5)))</f>
        <v>-1.8095458455033631E-3</v>
      </c>
      <c r="R120">
        <f>_xll.ciqfunctions.udf.CIQ(A120, "IQ_SHORT_INTEREST_PERCENT", F120)</f>
        <v>14.074820000000001</v>
      </c>
      <c r="S120">
        <f>_xll.ciqfunctions.udf.CIQ(A120, "IQ_BETA_1YR_RSQ", F120)</f>
        <v>2.5100000000000001E-3</v>
      </c>
      <c r="T120">
        <f>_xll.ciqfunctions.udf.CIQ(A120, "IQ_VALUE_TRADED", F120)</f>
        <v>0.89985999999999999</v>
      </c>
    </row>
    <row r="121" spans="1:20" x14ac:dyDescent="0.3">
      <c r="A121" t="s">
        <v>414</v>
      </c>
      <c r="B121" t="s">
        <v>43</v>
      </c>
      <c r="C121" t="s">
        <v>415</v>
      </c>
      <c r="D121" t="s">
        <v>416</v>
      </c>
      <c r="E121" t="s">
        <v>89</v>
      </c>
      <c r="F121" s="1">
        <v>45309</v>
      </c>
      <c r="G121" t="s">
        <v>417</v>
      </c>
      <c r="H121">
        <v>24</v>
      </c>
      <c r="I121">
        <f>_xll.ciqfunctions.udf.CIQ(A121, "IQ_MARKETCAP", F121)</f>
        <v>16.64087</v>
      </c>
      <c r="J121">
        <f>_xll.ciqfunctions.udf.CIQ(A121, "IQ_PRICE_VOL_HIST_6MTH", F121)</f>
        <v>82.9529</v>
      </c>
      <c r="K121">
        <f>_xll.ciqfunctions.udf.CIQ(A121, "IQ_LASTSALEPRICE", WORKDAY(F121,-1))</f>
        <v>3.38</v>
      </c>
      <c r="L121">
        <f>_xll.ciqfunctions.udf.CIQ(A121, "IQ_LASTSALEPRICE", F121)</f>
        <v>3.43</v>
      </c>
      <c r="M121">
        <f>_xll.ciqfunctions.udf.CIQ(A121, "IQ_LASTSALEPRICE", WORKDAY(F121,5))</f>
        <v>3.1198999999999999</v>
      </c>
      <c r="N121">
        <f t="shared" si="2"/>
        <v>1.4684551682921317E-2</v>
      </c>
      <c r="O121">
        <f t="shared" si="3"/>
        <v>-8.007475946924103E-2</v>
      </c>
      <c r="P121">
        <f>LN(_xll.ciqfunctions.udf.CIQ("XBI", "IQ_LASTSALEPRICE", WORKDAY(F121,-1))/_xll.ciqfunctions.udf.CIQ("XBI", "IQ_LASTSALEPRICE", WORKDAY(F121,1)))</f>
        <v>1.4710339954182382E-2</v>
      </c>
      <c r="Q121">
        <f>LN(_xll.ciqfunctions.udf.CIQ("XBI", "IQ_LASTSALEPRICE", WORKDAY(F121,-1))/_xll.ciqfunctions.udf.CIQ("XBI", "IQ_LASTSALEPRICE", WORKDAY(F121,5)))</f>
        <v>-1.8095458455033631E-3</v>
      </c>
      <c r="R121">
        <f>_xll.ciqfunctions.udf.CIQ(A121, "IQ_SHORT_INTEREST_PERCENT", F121)</f>
        <v>0.14051</v>
      </c>
      <c r="S121">
        <f>_xll.ciqfunctions.udf.CIQ(A121, "IQ_BETA_1YR_RSQ", F121)</f>
        <v>3.5970000000000002E-2</v>
      </c>
      <c r="T121">
        <f>_xll.ciqfunctions.udf.CIQ(A121, "IQ_VALUE_TRADED", F121)</f>
        <v>0.30424000000000001</v>
      </c>
    </row>
    <row r="122" spans="1:20" x14ac:dyDescent="0.3">
      <c r="A122" t="s">
        <v>418</v>
      </c>
      <c r="B122">
        <v>39.659999999999997</v>
      </c>
      <c r="C122" t="s">
        <v>419</v>
      </c>
      <c r="D122" t="s">
        <v>420</v>
      </c>
      <c r="E122" t="s">
        <v>76</v>
      </c>
      <c r="F122" s="1">
        <v>45309</v>
      </c>
      <c r="G122" t="s">
        <v>421</v>
      </c>
      <c r="H122">
        <v>66</v>
      </c>
      <c r="I122">
        <f>_xll.ciqfunctions.udf.CIQ(A122, "IQ_MARKETCAP", F122)</f>
        <v>2168.9735500000002</v>
      </c>
      <c r="J122">
        <f>_xll.ciqfunctions.udf.CIQ(A122, "IQ_PRICE_VOL_HIST_6MTH", F122)</f>
        <v>49.6952</v>
      </c>
      <c r="K122">
        <f>_xll.ciqfunctions.udf.CIQ(A122, "IQ_LASTSALEPRICE", WORKDAY(F122,-1))</f>
        <v>39.71</v>
      </c>
      <c r="L122">
        <f>_xll.ciqfunctions.udf.CIQ(A122, "IQ_LASTSALEPRICE", F122)</f>
        <v>39.659999999999997</v>
      </c>
      <c r="M122">
        <f>_xll.ciqfunctions.udf.CIQ(A122, "IQ_LASTSALEPRICE", WORKDAY(F122,5))</f>
        <v>37.340000000000003</v>
      </c>
      <c r="N122">
        <f t="shared" si="2"/>
        <v>-1.2599220515103068E-3</v>
      </c>
      <c r="O122">
        <f t="shared" si="3"/>
        <v>-6.1537907029583491E-2</v>
      </c>
      <c r="P122">
        <f>LN(_xll.ciqfunctions.udf.CIQ("XBI", "IQ_LASTSALEPRICE", WORKDAY(F122,-1))/_xll.ciqfunctions.udf.CIQ("XBI", "IQ_LASTSALEPRICE", WORKDAY(F122,1)))</f>
        <v>1.4710339954182382E-2</v>
      </c>
      <c r="Q122">
        <f>LN(_xll.ciqfunctions.udf.CIQ("XBI", "IQ_LASTSALEPRICE", WORKDAY(F122,-1))/_xll.ciqfunctions.udf.CIQ("XBI", "IQ_LASTSALEPRICE", WORKDAY(F122,5)))</f>
        <v>-1.8095458455033631E-3</v>
      </c>
      <c r="R122">
        <f>_xll.ciqfunctions.udf.CIQ(A122, "IQ_SHORT_INTEREST_PERCENT", F122)</f>
        <v>12.04683</v>
      </c>
      <c r="S122">
        <f>_xll.ciqfunctions.udf.CIQ(A122, "IQ_BETA_1YR_RSQ", F122)</f>
        <v>0.16446</v>
      </c>
      <c r="T122">
        <f>_xll.ciqfunctions.udf.CIQ(A122, "IQ_VALUE_TRADED", F122)</f>
        <v>16.695630000000001</v>
      </c>
    </row>
    <row r="123" spans="1:20" x14ac:dyDescent="0.3">
      <c r="A123" t="s">
        <v>422</v>
      </c>
      <c r="B123">
        <v>2.4</v>
      </c>
      <c r="C123" t="s">
        <v>423</v>
      </c>
      <c r="D123" t="s">
        <v>253</v>
      </c>
      <c r="E123" t="s">
        <v>76</v>
      </c>
      <c r="F123" s="1">
        <v>45309</v>
      </c>
      <c r="G123" t="s">
        <v>424</v>
      </c>
      <c r="H123">
        <v>116</v>
      </c>
      <c r="I123">
        <f>_xll.ciqfunctions.udf.CIQ(A123, "IQ_MARKETCAP", F123)</f>
        <v>267.27397000000002</v>
      </c>
      <c r="J123">
        <f>_xll.ciqfunctions.udf.CIQ(A123, "IQ_PRICE_VOL_HIST_6MTH", F123)</f>
        <v>115.9607</v>
      </c>
      <c r="K123">
        <f>_xll.ciqfunctions.udf.CIQ(A123, "IQ_LASTSALEPRICE", WORKDAY(F123,-1))</f>
        <v>2.46</v>
      </c>
      <c r="L123">
        <f>_xll.ciqfunctions.udf.CIQ(A123, "IQ_LASTSALEPRICE", F123)</f>
        <v>2.4</v>
      </c>
      <c r="M123">
        <f>_xll.ciqfunctions.udf.CIQ(A123, "IQ_LASTSALEPRICE", WORKDAY(F123,5))</f>
        <v>2.37</v>
      </c>
      <c r="N123">
        <f t="shared" si="2"/>
        <v>-2.4692612590371522E-2</v>
      </c>
      <c r="O123">
        <f t="shared" si="3"/>
        <v>-3.7271394797231537E-2</v>
      </c>
      <c r="P123">
        <f>LN(_xll.ciqfunctions.udf.CIQ("XBI", "IQ_LASTSALEPRICE", WORKDAY(F123,-1))/_xll.ciqfunctions.udf.CIQ("XBI", "IQ_LASTSALEPRICE", WORKDAY(F123,1)))</f>
        <v>1.4710339954182382E-2</v>
      </c>
      <c r="Q123">
        <f>LN(_xll.ciqfunctions.udf.CIQ("XBI", "IQ_LASTSALEPRICE", WORKDAY(F123,-1))/_xll.ciqfunctions.udf.CIQ("XBI", "IQ_LASTSALEPRICE", WORKDAY(F123,5)))</f>
        <v>-1.8095458455033631E-3</v>
      </c>
      <c r="R123">
        <f>_xll.ciqfunctions.udf.CIQ(A123, "IQ_SHORT_INTEREST_PERCENT", F123)</f>
        <v>21.753740000000001</v>
      </c>
      <c r="S123">
        <f>_xll.ciqfunctions.udf.CIQ(A123, "IQ_BETA_1YR_RSQ", F123)</f>
        <v>8.6760000000000004E-2</v>
      </c>
      <c r="T123">
        <f>_xll.ciqfunctions.udf.CIQ(A123, "IQ_VALUE_TRADED", F123)</f>
        <v>7.4235100000000003</v>
      </c>
    </row>
    <row r="124" spans="1:20" x14ac:dyDescent="0.3">
      <c r="A124" t="s">
        <v>425</v>
      </c>
      <c r="B124">
        <v>13.89</v>
      </c>
      <c r="C124" t="s">
        <v>426</v>
      </c>
      <c r="D124" t="s">
        <v>427</v>
      </c>
      <c r="E124" t="s">
        <v>36</v>
      </c>
      <c r="F124" s="1">
        <v>45309</v>
      </c>
      <c r="G124" t="s">
        <v>428</v>
      </c>
      <c r="H124">
        <v>86</v>
      </c>
      <c r="I124" t="str">
        <f>_xll.ciqfunctions.udf.CIQ(A124, "IQ_MARKETCAP", F124)</f>
        <v>(Invalid Identifier)</v>
      </c>
      <c r="J124" t="str">
        <f>_xll.ciqfunctions.udf.CIQ(A124, "IQ_PRICE_VOL_HIST_6MTH", F124)</f>
        <v>(Invalid Identifier)</v>
      </c>
      <c r="K124" t="str">
        <f>_xll.ciqfunctions.udf.CIQ(A124, "IQ_LASTSALEPRICE", WORKDAY(F124,-1))</f>
        <v>(Invalid Identifier)</v>
      </c>
      <c r="L124" t="str">
        <f>_xll.ciqfunctions.udf.CIQ(A124, "IQ_LASTSALEPRICE", F124)</f>
        <v>(Invalid Identifier)</v>
      </c>
      <c r="M124" t="str">
        <f>_xll.ciqfunctions.udf.CIQ(A124, "IQ_LASTSALEPRICE", WORKDAY(F124,5))</f>
        <v>(Invalid Identifier)</v>
      </c>
      <c r="N124" t="e">
        <f t="shared" si="2"/>
        <v>#VALUE!</v>
      </c>
      <c r="O124" t="e">
        <f t="shared" si="3"/>
        <v>#VALUE!</v>
      </c>
      <c r="P124">
        <f>LN(_xll.ciqfunctions.udf.CIQ("XBI", "IQ_LASTSALEPRICE", WORKDAY(F124,-1))/_xll.ciqfunctions.udf.CIQ("XBI", "IQ_LASTSALEPRICE", WORKDAY(F124,1)))</f>
        <v>1.4710339954182382E-2</v>
      </c>
      <c r="Q124">
        <f>LN(_xll.ciqfunctions.udf.CIQ("XBI", "IQ_LASTSALEPRICE", WORKDAY(F124,-1))/_xll.ciqfunctions.udf.CIQ("XBI", "IQ_LASTSALEPRICE", WORKDAY(F124,5)))</f>
        <v>-1.8095458455033631E-3</v>
      </c>
      <c r="R124" t="str">
        <f>_xll.ciqfunctions.udf.CIQ(A124, "IQ_SHORT_INTEREST_PERCENT", F124)</f>
        <v>(Invalid Identifier)</v>
      </c>
      <c r="S124" t="str">
        <f>_xll.ciqfunctions.udf.CIQ(A124, "IQ_BETA_1YR_RSQ", F124)</f>
        <v>(Invalid Identifier)</v>
      </c>
      <c r="T124" t="str">
        <f>_xll.ciqfunctions.udf.CIQ(A124, "IQ_VALUE_TRADED", F124)</f>
        <v>(Invalid Identifier)</v>
      </c>
    </row>
    <row r="125" spans="1:20" x14ac:dyDescent="0.3">
      <c r="A125" t="s">
        <v>429</v>
      </c>
      <c r="B125">
        <v>23.56</v>
      </c>
      <c r="C125" t="s">
        <v>426</v>
      </c>
      <c r="D125" t="s">
        <v>427</v>
      </c>
      <c r="E125" t="s">
        <v>36</v>
      </c>
      <c r="F125" s="1">
        <v>45309</v>
      </c>
      <c r="G125" t="s">
        <v>428</v>
      </c>
      <c r="H125">
        <v>109</v>
      </c>
      <c r="I125">
        <f>_xll.ciqfunctions.udf.CIQ(A125, "IQ_MARKETCAP", F125)</f>
        <v>2325.8297699999998</v>
      </c>
      <c r="J125">
        <f>_xll.ciqfunctions.udf.CIQ(A125, "IQ_PRICE_VOL_HIST_6MTH", F125)</f>
        <v>58.0974</v>
      </c>
      <c r="K125">
        <f>_xll.ciqfunctions.udf.CIQ(A125, "IQ_LASTSALEPRICE", WORKDAY(F125,-1))</f>
        <v>23.42</v>
      </c>
      <c r="L125">
        <f>_xll.ciqfunctions.udf.CIQ(A125, "IQ_LASTSALEPRICE", F125)</f>
        <v>23.56</v>
      </c>
      <c r="M125">
        <f>_xll.ciqfunctions.udf.CIQ(A125, "IQ_LASTSALEPRICE", WORKDAY(F125,5))</f>
        <v>23.03</v>
      </c>
      <c r="N125">
        <f t="shared" si="2"/>
        <v>5.9600006138145114E-3</v>
      </c>
      <c r="O125">
        <f t="shared" si="3"/>
        <v>-1.6792644336977476E-2</v>
      </c>
      <c r="P125">
        <f>LN(_xll.ciqfunctions.udf.CIQ("XBI", "IQ_LASTSALEPRICE", WORKDAY(F125,-1))/_xll.ciqfunctions.udf.CIQ("XBI", "IQ_LASTSALEPRICE", WORKDAY(F125,1)))</f>
        <v>1.4710339954182382E-2</v>
      </c>
      <c r="Q125">
        <f>LN(_xll.ciqfunctions.udf.CIQ("XBI", "IQ_LASTSALEPRICE", WORKDAY(F125,-1))/_xll.ciqfunctions.udf.CIQ("XBI", "IQ_LASTSALEPRICE", WORKDAY(F125,5)))</f>
        <v>-1.8095458455033631E-3</v>
      </c>
      <c r="R125">
        <f>_xll.ciqfunctions.udf.CIQ(A125, "IQ_SHORT_INTEREST_PERCENT", F125)</f>
        <v>4.25406</v>
      </c>
      <c r="S125">
        <f>_xll.ciqfunctions.udf.CIQ(A125, "IQ_BETA_1YR_RSQ", F125)</f>
        <v>0.24629000000000001</v>
      </c>
      <c r="T125">
        <f>_xll.ciqfunctions.udf.CIQ(A125, "IQ_VALUE_TRADED", F125)</f>
        <v>16.56475</v>
      </c>
    </row>
    <row r="126" spans="1:20" x14ac:dyDescent="0.3">
      <c r="A126" t="s">
        <v>42</v>
      </c>
      <c r="B126">
        <v>104.33</v>
      </c>
      <c r="C126" t="s">
        <v>430</v>
      </c>
      <c r="D126" t="s">
        <v>431</v>
      </c>
      <c r="E126" t="s">
        <v>36</v>
      </c>
      <c r="F126" s="1">
        <v>45310</v>
      </c>
      <c r="G126" t="s">
        <v>432</v>
      </c>
      <c r="I126">
        <f>_xll.ciqfunctions.udf.CIQ(A126, "IQ_MARKETCAP", F126)</f>
        <v>1371.44091</v>
      </c>
      <c r="J126">
        <f>_xll.ciqfunctions.udf.CIQ(A126, "IQ_PRICE_VOL_HIST_6MTH", F126)</f>
        <v>47.203299999999999</v>
      </c>
      <c r="K126">
        <f>_xll.ciqfunctions.udf.CIQ(A126, "IQ_LASTSALEPRICE", WORKDAY(F126,-1))</f>
        <v>4.5</v>
      </c>
      <c r="L126">
        <f>_xll.ciqfunctions.udf.CIQ(A126, "IQ_LASTSALEPRICE", F126)</f>
        <v>4.42</v>
      </c>
      <c r="M126">
        <f>_xll.ciqfunctions.udf.CIQ(A126, "IQ_LASTSALEPRICE", WORKDAY(F126,5))</f>
        <v>4.75</v>
      </c>
      <c r="N126">
        <f t="shared" si="2"/>
        <v>-1.7937700686667318E-2</v>
      </c>
      <c r="O126">
        <f t="shared" si="3"/>
        <v>5.4067221270275793E-2</v>
      </c>
      <c r="P126">
        <f>LN(_xll.ciqfunctions.udf.CIQ("XBI", "IQ_LASTSALEPRICE", WORKDAY(F126,-1))/_xll.ciqfunctions.udf.CIQ("XBI", "IQ_LASTSALEPRICE", WORKDAY(F126,1)))</f>
        <v>-2.2151186846688705E-2</v>
      </c>
      <c r="Q126">
        <f>LN(_xll.ciqfunctions.udf.CIQ("XBI", "IQ_LASTSALEPRICE", WORKDAY(F126,-1))/_xll.ciqfunctions.udf.CIQ("XBI", "IQ_LASTSALEPRICE", WORKDAY(F126,5)))</f>
        <v>-1.3462838821095514E-2</v>
      </c>
      <c r="R126">
        <f>_xll.ciqfunctions.udf.CIQ(A126, "IQ_SHORT_INTEREST_PERCENT", F126)</f>
        <v>0</v>
      </c>
      <c r="S126">
        <f>_xll.ciqfunctions.udf.CIQ(A126, "IQ_BETA_1YR_RSQ", F126)</f>
        <v>4.7200000000000002E-3</v>
      </c>
      <c r="T126">
        <f>_xll.ciqfunctions.udf.CIQ(A126, "IQ_VALUE_TRADED", F126)</f>
        <v>0.26782</v>
      </c>
    </row>
    <row r="127" spans="1:20" x14ac:dyDescent="0.3">
      <c r="A127" t="s">
        <v>433</v>
      </c>
      <c r="B127">
        <v>65.53</v>
      </c>
      <c r="C127" t="s">
        <v>434</v>
      </c>
      <c r="D127" t="s">
        <v>435</v>
      </c>
      <c r="E127" t="s">
        <v>36</v>
      </c>
      <c r="F127" s="1">
        <v>45310</v>
      </c>
      <c r="G127" t="s">
        <v>436</v>
      </c>
      <c r="I127">
        <f>_xll.ciqfunctions.udf.CIQ(A127, "IQ_MARKETCAP", F127)</f>
        <v>162891.08874000001</v>
      </c>
      <c r="J127">
        <f>_xll.ciqfunctions.udf.CIQ(A127, "IQ_PRICE_VOL_HIST_6MTH", F127)</f>
        <v>21.9162</v>
      </c>
      <c r="K127">
        <f>_xll.ciqfunctions.udf.CIQ(A127, "IQ_LASTSALEPRICE", WORKDAY(F127,-1))</f>
        <v>104.32</v>
      </c>
      <c r="L127">
        <f>_xll.ciqfunctions.udf.CIQ(A127, "IQ_LASTSALEPRICE", F127)</f>
        <v>105.08</v>
      </c>
      <c r="M127">
        <f>_xll.ciqfunctions.udf.CIQ(A127, "IQ_LASTSALEPRICE", WORKDAY(F127,5))</f>
        <v>105.46</v>
      </c>
      <c r="N127">
        <f t="shared" si="2"/>
        <v>7.2588666389963898E-3</v>
      </c>
      <c r="O127">
        <f t="shared" si="3"/>
        <v>1.0868635923980935E-2</v>
      </c>
      <c r="P127">
        <f>LN(_xll.ciqfunctions.udf.CIQ("XBI", "IQ_LASTSALEPRICE", WORKDAY(F127,-1))/_xll.ciqfunctions.udf.CIQ("XBI", "IQ_LASTSALEPRICE", WORKDAY(F127,1)))</f>
        <v>-2.2151186846688705E-2</v>
      </c>
      <c r="Q127">
        <f>LN(_xll.ciqfunctions.udf.CIQ("XBI", "IQ_LASTSALEPRICE", WORKDAY(F127,-1))/_xll.ciqfunctions.udf.CIQ("XBI", "IQ_LASTSALEPRICE", WORKDAY(F127,5)))</f>
        <v>-1.3462838821095514E-2</v>
      </c>
      <c r="R127">
        <f>_xll.ciqfunctions.udf.CIQ(A127, "IQ_SHORT_INTEREST_PERCENT", F127)</f>
        <v>0</v>
      </c>
      <c r="S127">
        <f>_xll.ciqfunctions.udf.CIQ(A127, "IQ_BETA_1YR_RSQ", F127)</f>
        <v>0.11419</v>
      </c>
      <c r="T127">
        <f>_xll.ciqfunctions.udf.CIQ(A127, "IQ_VALUE_TRADED", F127)</f>
        <v>269.92971</v>
      </c>
    </row>
    <row r="128" spans="1:20" x14ac:dyDescent="0.3">
      <c r="A128" t="s">
        <v>52</v>
      </c>
      <c r="B128">
        <v>11.18</v>
      </c>
      <c r="C128" t="s">
        <v>437</v>
      </c>
      <c r="D128" t="s">
        <v>438</v>
      </c>
      <c r="E128" t="s">
        <v>439</v>
      </c>
      <c r="F128" s="1">
        <v>45310</v>
      </c>
      <c r="G128" t="s">
        <v>440</v>
      </c>
      <c r="I128">
        <f>_xll.ciqfunctions.udf.CIQ(A128, "IQ_MARKETCAP", F128)</f>
        <v>12532.45804</v>
      </c>
      <c r="J128">
        <f>_xll.ciqfunctions.udf.CIQ(A128, "IQ_PRICE_VOL_HIST_6MTH", F128)</f>
        <v>36.924300000000002</v>
      </c>
      <c r="K128">
        <f>_xll.ciqfunctions.udf.CIQ(A128, "IQ_LASTSALEPRICE", WORKDAY(F128,-1))</f>
        <v>10.99</v>
      </c>
      <c r="L128">
        <f>_xll.ciqfunctions.udf.CIQ(A128, "IQ_LASTSALEPRICE", F128)</f>
        <v>11.18</v>
      </c>
      <c r="M128">
        <f>_xll.ciqfunctions.udf.CIQ(A128, "IQ_LASTSALEPRICE", WORKDAY(F128,5))</f>
        <v>11.91</v>
      </c>
      <c r="N128">
        <f t="shared" si="2"/>
        <v>1.7140699311422977E-2</v>
      </c>
      <c r="O128">
        <f t="shared" si="3"/>
        <v>8.0392614951678779E-2</v>
      </c>
      <c r="P128">
        <f>LN(_xll.ciqfunctions.udf.CIQ("XBI", "IQ_LASTSALEPRICE", WORKDAY(F128,-1))/_xll.ciqfunctions.udf.CIQ("XBI", "IQ_LASTSALEPRICE", WORKDAY(F128,1)))</f>
        <v>-2.2151186846688705E-2</v>
      </c>
      <c r="Q128">
        <f>LN(_xll.ciqfunctions.udf.CIQ("XBI", "IQ_LASTSALEPRICE", WORKDAY(F128,-1))/_xll.ciqfunctions.udf.CIQ("XBI", "IQ_LASTSALEPRICE", WORKDAY(F128,5)))</f>
        <v>-1.3462838821095514E-2</v>
      </c>
      <c r="R128">
        <f>_xll.ciqfunctions.udf.CIQ(A128, "IQ_SHORT_INTEREST_PERCENT", F128)</f>
        <v>1.45841</v>
      </c>
      <c r="S128">
        <f>_xll.ciqfunctions.udf.CIQ(A128, "IQ_BETA_1YR_RSQ", F128)</f>
        <v>5.885E-2</v>
      </c>
      <c r="T128">
        <f>_xll.ciqfunctions.udf.CIQ(A128, "IQ_VALUE_TRADED", F128)</f>
        <v>112.00724</v>
      </c>
    </row>
    <row r="129" spans="1:20" x14ac:dyDescent="0.3">
      <c r="A129" t="s">
        <v>56</v>
      </c>
      <c r="B129">
        <v>14.14</v>
      </c>
      <c r="C129" t="s">
        <v>437</v>
      </c>
      <c r="D129" t="s">
        <v>438</v>
      </c>
      <c r="E129" t="s">
        <v>439</v>
      </c>
      <c r="F129" s="1">
        <v>45310</v>
      </c>
      <c r="G129" t="s">
        <v>440</v>
      </c>
      <c r="H129">
        <v>301</v>
      </c>
      <c r="I129">
        <f>_xll.ciqfunctions.udf.CIQ(A129, "IQ_MARKETCAP", F129)</f>
        <v>3754.5902700000001</v>
      </c>
      <c r="J129">
        <f>_xll.ciqfunctions.udf.CIQ(A129, "IQ_PRICE_VOL_HIST_6MTH", F129)</f>
        <v>41.017899999999997</v>
      </c>
      <c r="K129">
        <f>_xll.ciqfunctions.udf.CIQ(A129, "IQ_LASTSALEPRICE", WORKDAY(F129,-1))</f>
        <v>12.265000000000001</v>
      </c>
      <c r="L129">
        <f>_xll.ciqfunctions.udf.CIQ(A129, "IQ_LASTSALEPRICE", F129)</f>
        <v>14.14</v>
      </c>
      <c r="M129">
        <f>_xll.ciqfunctions.udf.CIQ(A129, "IQ_LASTSALEPRICE", WORKDAY(F129,5))</f>
        <v>14.65</v>
      </c>
      <c r="N129">
        <f t="shared" si="2"/>
        <v>0.14225798275797402</v>
      </c>
      <c r="O129">
        <f t="shared" si="3"/>
        <v>0.17769065775262366</v>
      </c>
      <c r="P129">
        <f>LN(_xll.ciqfunctions.udf.CIQ("XBI", "IQ_LASTSALEPRICE", WORKDAY(F129,-1))/_xll.ciqfunctions.udf.CIQ("XBI", "IQ_LASTSALEPRICE", WORKDAY(F129,1)))</f>
        <v>-2.2151186846688705E-2</v>
      </c>
      <c r="Q129">
        <f>LN(_xll.ciqfunctions.udf.CIQ("XBI", "IQ_LASTSALEPRICE", WORKDAY(F129,-1))/_xll.ciqfunctions.udf.CIQ("XBI", "IQ_LASTSALEPRICE", WORKDAY(F129,5)))</f>
        <v>-1.3462838821095514E-2</v>
      </c>
      <c r="R129">
        <f>_xll.ciqfunctions.udf.CIQ(A129, "IQ_SHORT_INTEREST_PERCENT", F129)</f>
        <v>3.7100000000000001E-2</v>
      </c>
      <c r="S129">
        <f>_xll.ciqfunctions.udf.CIQ(A129, "IQ_BETA_1YR_RSQ", F129)</f>
        <v>9.9600000000000001E-3</v>
      </c>
      <c r="T129">
        <f>_xll.ciqfunctions.udf.CIQ(A129, "IQ_VALUE_TRADED", F129)</f>
        <v>33.936419999999998</v>
      </c>
    </row>
    <row r="130" spans="1:20" x14ac:dyDescent="0.3">
      <c r="A130" t="s">
        <v>52</v>
      </c>
      <c r="B130">
        <v>11.18</v>
      </c>
      <c r="C130" t="s">
        <v>441</v>
      </c>
      <c r="D130" t="s">
        <v>442</v>
      </c>
      <c r="E130" t="s">
        <v>439</v>
      </c>
      <c r="F130" s="1">
        <v>45310</v>
      </c>
      <c r="G130" t="s">
        <v>440</v>
      </c>
      <c r="I130">
        <f>_xll.ciqfunctions.udf.CIQ(A130, "IQ_MARKETCAP", F130)</f>
        <v>12532.45804</v>
      </c>
      <c r="J130">
        <f>_xll.ciqfunctions.udf.CIQ(A130, "IQ_PRICE_VOL_HIST_6MTH", F130)</f>
        <v>36.924300000000002</v>
      </c>
      <c r="K130">
        <f>_xll.ciqfunctions.udf.CIQ(A130, "IQ_LASTSALEPRICE", WORKDAY(F130,-1))</f>
        <v>10.99</v>
      </c>
      <c r="L130">
        <f>_xll.ciqfunctions.udf.CIQ(A130, "IQ_LASTSALEPRICE", F130)</f>
        <v>11.18</v>
      </c>
      <c r="M130">
        <f>_xll.ciqfunctions.udf.CIQ(A130, "IQ_LASTSALEPRICE", WORKDAY(F130,5))</f>
        <v>11.91</v>
      </c>
      <c r="N130">
        <f t="shared" si="2"/>
        <v>1.7140699311422977E-2</v>
      </c>
      <c r="O130">
        <f t="shared" si="3"/>
        <v>8.0392614951678779E-2</v>
      </c>
      <c r="P130">
        <f>LN(_xll.ciqfunctions.udf.CIQ("XBI", "IQ_LASTSALEPRICE", WORKDAY(F130,-1))/_xll.ciqfunctions.udf.CIQ("XBI", "IQ_LASTSALEPRICE", WORKDAY(F130,1)))</f>
        <v>-2.2151186846688705E-2</v>
      </c>
      <c r="Q130">
        <f>LN(_xll.ciqfunctions.udf.CIQ("XBI", "IQ_LASTSALEPRICE", WORKDAY(F130,-1))/_xll.ciqfunctions.udf.CIQ("XBI", "IQ_LASTSALEPRICE", WORKDAY(F130,5)))</f>
        <v>-1.3462838821095514E-2</v>
      </c>
      <c r="R130">
        <f>_xll.ciqfunctions.udf.CIQ(A130, "IQ_SHORT_INTEREST_PERCENT", F130)</f>
        <v>1.45841</v>
      </c>
      <c r="S130">
        <f>_xll.ciqfunctions.udf.CIQ(A130, "IQ_BETA_1YR_RSQ", F130)</f>
        <v>5.885E-2</v>
      </c>
      <c r="T130">
        <f>_xll.ciqfunctions.udf.CIQ(A130, "IQ_VALUE_TRADED", F130)</f>
        <v>112.00724</v>
      </c>
    </row>
    <row r="131" spans="1:20" x14ac:dyDescent="0.3">
      <c r="A131" t="s">
        <v>56</v>
      </c>
      <c r="B131">
        <v>14.14</v>
      </c>
      <c r="C131" t="s">
        <v>441</v>
      </c>
      <c r="D131" t="s">
        <v>442</v>
      </c>
      <c r="E131" t="s">
        <v>439</v>
      </c>
      <c r="F131" s="1">
        <v>45310</v>
      </c>
      <c r="G131" t="s">
        <v>440</v>
      </c>
      <c r="H131">
        <v>301</v>
      </c>
      <c r="I131">
        <f>_xll.ciqfunctions.udf.CIQ(A131, "IQ_MARKETCAP", F131)</f>
        <v>3754.5902700000001</v>
      </c>
      <c r="J131">
        <f>_xll.ciqfunctions.udf.CIQ(A131, "IQ_PRICE_VOL_HIST_6MTH", F131)</f>
        <v>41.017899999999997</v>
      </c>
      <c r="K131">
        <f>_xll.ciqfunctions.udf.CIQ(A131, "IQ_LASTSALEPRICE", WORKDAY(F131,-1))</f>
        <v>12.265000000000001</v>
      </c>
      <c r="L131">
        <f>_xll.ciqfunctions.udf.CIQ(A131, "IQ_LASTSALEPRICE", F131)</f>
        <v>14.14</v>
      </c>
      <c r="M131">
        <f>_xll.ciqfunctions.udf.CIQ(A131, "IQ_LASTSALEPRICE", WORKDAY(F131,5))</f>
        <v>14.65</v>
      </c>
      <c r="N131">
        <f t="shared" ref="N131:N194" si="4">LN(L131/K131)</f>
        <v>0.14225798275797402</v>
      </c>
      <c r="O131">
        <f t="shared" ref="O131:O194" si="5">LN(M131/K131)</f>
        <v>0.17769065775262366</v>
      </c>
      <c r="P131">
        <f>LN(_xll.ciqfunctions.udf.CIQ("XBI", "IQ_LASTSALEPRICE", WORKDAY(F131,-1))/_xll.ciqfunctions.udf.CIQ("XBI", "IQ_LASTSALEPRICE", WORKDAY(F131,1)))</f>
        <v>-2.2151186846688705E-2</v>
      </c>
      <c r="Q131">
        <f>LN(_xll.ciqfunctions.udf.CIQ("XBI", "IQ_LASTSALEPRICE", WORKDAY(F131,-1))/_xll.ciqfunctions.udf.CIQ("XBI", "IQ_LASTSALEPRICE", WORKDAY(F131,5)))</f>
        <v>-1.3462838821095514E-2</v>
      </c>
      <c r="R131">
        <f>_xll.ciqfunctions.udf.CIQ(A131, "IQ_SHORT_INTEREST_PERCENT", F131)</f>
        <v>3.7100000000000001E-2</v>
      </c>
      <c r="S131">
        <f>_xll.ciqfunctions.udf.CIQ(A131, "IQ_BETA_1YR_RSQ", F131)</f>
        <v>9.9600000000000001E-3</v>
      </c>
      <c r="T131">
        <f>_xll.ciqfunctions.udf.CIQ(A131, "IQ_VALUE_TRADED", F131)</f>
        <v>33.936419999999998</v>
      </c>
    </row>
    <row r="132" spans="1:20" x14ac:dyDescent="0.3">
      <c r="A132" t="s">
        <v>367</v>
      </c>
      <c r="B132">
        <v>15.34</v>
      </c>
      <c r="C132" t="s">
        <v>368</v>
      </c>
      <c r="D132" t="s">
        <v>369</v>
      </c>
      <c r="E132" t="s">
        <v>46</v>
      </c>
      <c r="F132" s="1">
        <v>45310</v>
      </c>
      <c r="G132" t="s">
        <v>443</v>
      </c>
      <c r="H132">
        <v>106</v>
      </c>
      <c r="I132">
        <f>_xll.ciqfunctions.udf.CIQ(A132, "IQ_MARKETCAP", F132)</f>
        <v>1148.2843700000001</v>
      </c>
      <c r="J132">
        <f>_xll.ciqfunctions.udf.CIQ(A132, "IQ_PRICE_VOL_HIST_6MTH", F132)</f>
        <v>61.975900000000003</v>
      </c>
      <c r="K132">
        <f>_xll.ciqfunctions.udf.CIQ(A132, "IQ_LASTSALEPRICE", WORKDAY(F132,-1))</f>
        <v>16.37</v>
      </c>
      <c r="L132">
        <f>_xll.ciqfunctions.udf.CIQ(A132, "IQ_LASTSALEPRICE", F132)</f>
        <v>15.34</v>
      </c>
      <c r="M132">
        <f>_xll.ciqfunctions.udf.CIQ(A132, "IQ_LASTSALEPRICE", WORKDAY(F132,5))</f>
        <v>15.13</v>
      </c>
      <c r="N132">
        <f t="shared" si="4"/>
        <v>-6.4986595443933509E-2</v>
      </c>
      <c r="O132">
        <f t="shared" si="5"/>
        <v>-7.8770863582779016E-2</v>
      </c>
      <c r="P132">
        <f>LN(_xll.ciqfunctions.udf.CIQ("XBI", "IQ_LASTSALEPRICE", WORKDAY(F132,-1))/_xll.ciqfunctions.udf.CIQ("XBI", "IQ_LASTSALEPRICE", WORKDAY(F132,1)))</f>
        <v>-2.2151186846688705E-2</v>
      </c>
      <c r="Q132">
        <f>LN(_xll.ciqfunctions.udf.CIQ("XBI", "IQ_LASTSALEPRICE", WORKDAY(F132,-1))/_xll.ciqfunctions.udf.CIQ("XBI", "IQ_LASTSALEPRICE", WORKDAY(F132,5)))</f>
        <v>-1.3462838821095514E-2</v>
      </c>
      <c r="R132">
        <f>_xll.ciqfunctions.udf.CIQ(A132, "IQ_SHORT_INTEREST_PERCENT", F132)</f>
        <v>9.7092700000000001</v>
      </c>
      <c r="S132">
        <f>_xll.ciqfunctions.udf.CIQ(A132, "IQ_BETA_1YR_RSQ", F132)</f>
        <v>9.8799999999999999E-2</v>
      </c>
      <c r="T132">
        <f>_xll.ciqfunctions.udf.CIQ(A132, "IQ_VALUE_TRADED", F132)</f>
        <v>28.670259999999999</v>
      </c>
    </row>
    <row r="133" spans="1:20" x14ac:dyDescent="0.3">
      <c r="A133" t="s">
        <v>203</v>
      </c>
      <c r="B133">
        <v>49.53</v>
      </c>
      <c r="C133" t="s">
        <v>444</v>
      </c>
      <c r="D133" t="s">
        <v>445</v>
      </c>
      <c r="E133" t="s">
        <v>36</v>
      </c>
      <c r="F133" s="1">
        <v>45311</v>
      </c>
      <c r="G133" t="s">
        <v>446</v>
      </c>
      <c r="I133">
        <f>_xll.ciqfunctions.udf.CIQ(A133, "IQ_MARKETCAP", F133)</f>
        <v>101961.71045</v>
      </c>
      <c r="J133">
        <f>_xll.ciqfunctions.udf.CIQ(A133, "IQ_PRICE_VOL_HIST_6MTH", F133)</f>
        <v>21.667899999999999</v>
      </c>
      <c r="K133">
        <f>_xll.ciqfunctions.udf.CIQ(A133, "IQ_LASTSALEPRICE", WORKDAY(F133,-1))</f>
        <v>50.11</v>
      </c>
      <c r="L133">
        <f>_xll.ciqfunctions.udf.CIQ(A133, "IQ_LASTSALEPRICE", F133)</f>
        <v>50.11</v>
      </c>
      <c r="M133">
        <f>_xll.ciqfunctions.udf.CIQ(A133, "IQ_LASTSALEPRICE", WORKDAY(F133,5))</f>
        <v>49.7</v>
      </c>
      <c r="N133">
        <f t="shared" si="4"/>
        <v>0</v>
      </c>
      <c r="O133">
        <f t="shared" si="5"/>
        <v>-8.2156558690501223E-3</v>
      </c>
      <c r="P133">
        <f>LN(_xll.ciqfunctions.udf.CIQ("XBI", "IQ_LASTSALEPRICE", WORKDAY(F133,-1))/_xll.ciqfunctions.udf.CIQ("XBI", "IQ_LASTSALEPRICE", WORKDAY(F133,1)))</f>
        <v>-2.2266056756642144E-2</v>
      </c>
      <c r="Q133">
        <f>LN(_xll.ciqfunctions.udf.CIQ("XBI", "IQ_LASTSALEPRICE", WORKDAY(F133,-1))/_xll.ciqfunctions.udf.CIQ("XBI", "IQ_LASTSALEPRICE", WORKDAY(F133,5)))</f>
        <v>-1.3577708731048908E-2</v>
      </c>
      <c r="R133">
        <f>_xll.ciqfunctions.udf.CIQ(A133, "IQ_SHORT_INTEREST_PERCENT", F133)</f>
        <v>1.0966899999999999</v>
      </c>
      <c r="S133">
        <f>_xll.ciqfunctions.udf.CIQ(A133, "IQ_BETA_1YR_RSQ", F133)</f>
        <v>0.11558</v>
      </c>
      <c r="T133">
        <f>_xll.ciqfunctions.udf.CIQ(A133, "IQ_VALUE_TRADED", F133)</f>
        <v>0</v>
      </c>
    </row>
    <row r="134" spans="1:20" x14ac:dyDescent="0.3">
      <c r="A134" t="s">
        <v>433</v>
      </c>
      <c r="B134">
        <v>66.12</v>
      </c>
      <c r="C134" t="s">
        <v>447</v>
      </c>
      <c r="D134" t="s">
        <v>369</v>
      </c>
      <c r="E134" t="s">
        <v>17</v>
      </c>
      <c r="F134" s="1">
        <v>45313</v>
      </c>
      <c r="G134" t="s">
        <v>448</v>
      </c>
      <c r="I134">
        <f>_xll.ciqfunctions.udf.CIQ(A134, "IQ_MARKETCAP", F134)</f>
        <v>164162.22209</v>
      </c>
      <c r="J134">
        <f>_xll.ciqfunctions.udf.CIQ(A134, "IQ_PRICE_VOL_HIST_6MTH", F134)</f>
        <v>21.856100000000001</v>
      </c>
      <c r="K134">
        <f>_xll.ciqfunctions.udf.CIQ(A134, "IQ_LASTSALEPRICE", WORKDAY(F134,-1))</f>
        <v>105.08</v>
      </c>
      <c r="L134">
        <f>_xll.ciqfunctions.udf.CIQ(A134, "IQ_LASTSALEPRICE", F134)</f>
        <v>105.9</v>
      </c>
      <c r="M134">
        <f>_xll.ciqfunctions.udf.CIQ(A134, "IQ_LASTSALEPRICE", WORKDAY(F134,5))</f>
        <v>105.68</v>
      </c>
      <c r="N134">
        <f t="shared" si="4"/>
        <v>7.7732877900216595E-3</v>
      </c>
      <c r="O134">
        <f t="shared" si="5"/>
        <v>5.6936953967308447E-3</v>
      </c>
      <c r="P134">
        <f>LN(_xll.ciqfunctions.udf.CIQ("XBI", "IQ_LASTSALEPRICE", WORKDAY(F134,-1))/_xll.ciqfunctions.udf.CIQ("XBI", "IQ_LASTSALEPRICE", WORKDAY(F134,1)))</f>
        <v>-2.4734639697862139E-2</v>
      </c>
      <c r="Q134">
        <f>LN(_xll.ciqfunctions.udf.CIQ("XBI", "IQ_LASTSALEPRICE", WORKDAY(F134,-1))/_xll.ciqfunctions.udf.CIQ("XBI", "IQ_LASTSALEPRICE", WORKDAY(F134,5)))</f>
        <v>-4.2176619393049578E-2</v>
      </c>
      <c r="R134">
        <f>_xll.ciqfunctions.udf.CIQ(A134, "IQ_SHORT_INTEREST_PERCENT", F134)</f>
        <v>0</v>
      </c>
      <c r="S134">
        <f>_xll.ciqfunctions.udf.CIQ(A134, "IQ_BETA_1YR_RSQ", F134)</f>
        <v>0.11419</v>
      </c>
      <c r="T134">
        <f>_xll.ciqfunctions.udf.CIQ(A134, "IQ_VALUE_TRADED", F134)</f>
        <v>479.68009000000001</v>
      </c>
    </row>
    <row r="135" spans="1:20" x14ac:dyDescent="0.3">
      <c r="A135" t="s">
        <v>449</v>
      </c>
      <c r="B135">
        <v>0.42</v>
      </c>
      <c r="C135" t="s">
        <v>447</v>
      </c>
      <c r="D135" t="s">
        <v>369</v>
      </c>
      <c r="E135" t="s">
        <v>17</v>
      </c>
      <c r="F135" s="1">
        <v>45313</v>
      </c>
      <c r="G135" t="s">
        <v>448</v>
      </c>
      <c r="H135">
        <v>2</v>
      </c>
      <c r="I135">
        <f>_xll.ciqfunctions.udf.CIQ(A135, "IQ_MARKETCAP", F135)</f>
        <v>62.644210000000001</v>
      </c>
      <c r="J135">
        <f>_xll.ciqfunctions.udf.CIQ(A135, "IQ_PRICE_VOL_HIST_6MTH", F135)</f>
        <v>61.790900000000001</v>
      </c>
      <c r="K135">
        <f>_xll.ciqfunctions.udf.CIQ(A135, "IQ_LASTSALEPRICE", WORKDAY(F135,-1))</f>
        <v>0.3</v>
      </c>
      <c r="L135">
        <f>_xll.ciqfunctions.udf.CIQ(A135, "IQ_LASTSALEPRICE", F135)</f>
        <v>0.3</v>
      </c>
      <c r="M135">
        <f>_xll.ciqfunctions.udf.CIQ(A135, "IQ_LASTSALEPRICE", WORKDAY(F135,5))</f>
        <v>0.28000000000000003</v>
      </c>
      <c r="N135">
        <f t="shared" si="4"/>
        <v>0</v>
      </c>
      <c r="O135">
        <f t="shared" si="5"/>
        <v>-6.899287148695131E-2</v>
      </c>
      <c r="P135">
        <f>LN(_xll.ciqfunctions.udf.CIQ("XBI", "IQ_LASTSALEPRICE", WORKDAY(F135,-1))/_xll.ciqfunctions.udf.CIQ("XBI", "IQ_LASTSALEPRICE", WORKDAY(F135,1)))</f>
        <v>-2.4734639697862139E-2</v>
      </c>
      <c r="Q135">
        <f>LN(_xll.ciqfunctions.udf.CIQ("XBI", "IQ_LASTSALEPRICE", WORKDAY(F135,-1))/_xll.ciqfunctions.udf.CIQ("XBI", "IQ_LASTSALEPRICE", WORKDAY(F135,5)))</f>
        <v>-4.2176619393049578E-2</v>
      </c>
      <c r="R135">
        <f>_xll.ciqfunctions.udf.CIQ(A135, "IQ_SHORT_INTEREST_PERCENT", F135)</f>
        <v>0</v>
      </c>
      <c r="S135">
        <f>_xll.ciqfunctions.udf.CIQ(A135, "IQ_BETA_1YR_RSQ", F135)</f>
        <v>8.1700000000000002E-3</v>
      </c>
      <c r="T135">
        <f>_xll.ciqfunctions.udf.CIQ(A135, "IQ_VALUE_TRADED", F135)</f>
        <v>1.5810000000000001E-2</v>
      </c>
    </row>
    <row r="136" spans="1:20" x14ac:dyDescent="0.3">
      <c r="A136" t="s">
        <v>194</v>
      </c>
      <c r="B136">
        <v>3.64</v>
      </c>
      <c r="C136" t="s">
        <v>195</v>
      </c>
      <c r="D136" t="s">
        <v>196</v>
      </c>
      <c r="E136" t="s">
        <v>197</v>
      </c>
      <c r="F136" s="1">
        <v>45313</v>
      </c>
      <c r="G136" t="s">
        <v>450</v>
      </c>
      <c r="H136">
        <v>3</v>
      </c>
      <c r="I136">
        <f>_xll.ciqfunctions.udf.CIQ(A136, "IQ_MARKETCAP", F136)</f>
        <v>44.729460000000003</v>
      </c>
      <c r="J136">
        <f>_xll.ciqfunctions.udf.CIQ(A136, "IQ_PRICE_VOL_HIST_6MTH", F136)</f>
        <v>85.228099999999998</v>
      </c>
      <c r="K136">
        <f>_xll.ciqfunctions.udf.CIQ(A136, "IQ_LASTSALEPRICE", WORKDAY(F136,-1))</f>
        <v>104.40009999999999</v>
      </c>
      <c r="L136">
        <f>_xll.ciqfunctions.udf.CIQ(A136, "IQ_LASTSALEPRICE", F136)</f>
        <v>109.20011</v>
      </c>
      <c r="M136">
        <f>_xll.ciqfunctions.udf.CIQ(A136, "IQ_LASTSALEPRICE", WORKDAY(F136,5))</f>
        <v>126.30013</v>
      </c>
      <c r="N136">
        <f t="shared" si="4"/>
        <v>4.4951437333818907E-2</v>
      </c>
      <c r="O136">
        <f t="shared" si="5"/>
        <v>0.19043042534875848</v>
      </c>
      <c r="P136">
        <f>LN(_xll.ciqfunctions.udf.CIQ("XBI", "IQ_LASTSALEPRICE", WORKDAY(F136,-1))/_xll.ciqfunctions.udf.CIQ("XBI", "IQ_LASTSALEPRICE", WORKDAY(F136,1)))</f>
        <v>-2.4734639697862139E-2</v>
      </c>
      <c r="Q136">
        <f>LN(_xll.ciqfunctions.udf.CIQ("XBI", "IQ_LASTSALEPRICE", WORKDAY(F136,-1))/_xll.ciqfunctions.udf.CIQ("XBI", "IQ_LASTSALEPRICE", WORKDAY(F136,5)))</f>
        <v>-4.2176619393049578E-2</v>
      </c>
      <c r="R136">
        <f>_xll.ciqfunctions.udf.CIQ(A136, "IQ_SHORT_INTEREST_PERCENT", F136)</f>
        <v>4.4036299999999997</v>
      </c>
      <c r="S136">
        <f>_xll.ciqfunctions.udf.CIQ(A136, "IQ_BETA_1YR_RSQ", F136)</f>
        <v>8.7059999999999998E-2</v>
      </c>
      <c r="T136">
        <f>_xll.ciqfunctions.udf.CIQ(A136, "IQ_VALUE_TRADED", F136)</f>
        <v>11.26323</v>
      </c>
    </row>
    <row r="137" spans="1:20" x14ac:dyDescent="0.3">
      <c r="A137" t="s">
        <v>451</v>
      </c>
      <c r="B137" t="s">
        <v>43</v>
      </c>
      <c r="C137" t="s">
        <v>452</v>
      </c>
      <c r="D137" t="s">
        <v>453</v>
      </c>
      <c r="E137" t="s">
        <v>36</v>
      </c>
      <c r="F137" s="1">
        <v>45313</v>
      </c>
      <c r="G137" t="s">
        <v>454</v>
      </c>
      <c r="H137">
        <v>9</v>
      </c>
      <c r="I137">
        <f>_xll.ciqfunctions.udf.CIQ(A137, "IQ_MARKETCAP", F137)</f>
        <v>0</v>
      </c>
      <c r="J137">
        <f>_xll.ciqfunctions.udf.CIQ(A137, "IQ_PRICE_VOL_HIST_6MTH", F137)</f>
        <v>0</v>
      </c>
      <c r="K137">
        <f>_xll.ciqfunctions.udf.CIQ(A137, "IQ_LASTSALEPRICE", WORKDAY(F137,-1))</f>
        <v>0</v>
      </c>
      <c r="L137">
        <f>_xll.ciqfunctions.udf.CIQ(A137, "IQ_LASTSALEPRICE", F137)</f>
        <v>0</v>
      </c>
      <c r="M137">
        <f>_xll.ciqfunctions.udf.CIQ(A137, "IQ_LASTSALEPRICE", WORKDAY(F137,5))</f>
        <v>0</v>
      </c>
      <c r="N137" t="e">
        <f t="shared" si="4"/>
        <v>#DIV/0!</v>
      </c>
      <c r="O137" t="e">
        <f t="shared" si="5"/>
        <v>#DIV/0!</v>
      </c>
      <c r="P137">
        <f>LN(_xll.ciqfunctions.udf.CIQ("XBI", "IQ_LASTSALEPRICE", WORKDAY(F137,-1))/_xll.ciqfunctions.udf.CIQ("XBI", "IQ_LASTSALEPRICE", WORKDAY(F137,1)))</f>
        <v>-2.4734639697862139E-2</v>
      </c>
      <c r="Q137">
        <f>LN(_xll.ciqfunctions.udf.CIQ("XBI", "IQ_LASTSALEPRICE", WORKDAY(F137,-1))/_xll.ciqfunctions.udf.CIQ("XBI", "IQ_LASTSALEPRICE", WORKDAY(F137,5)))</f>
        <v>-4.2176619393049578E-2</v>
      </c>
      <c r="R137">
        <f>_xll.ciqfunctions.udf.CIQ(A137, "IQ_SHORT_INTEREST_PERCENT", F137)</f>
        <v>0</v>
      </c>
      <c r="S137">
        <f>_xll.ciqfunctions.udf.CIQ(A137, "IQ_BETA_1YR_RSQ", F137)</f>
        <v>0</v>
      </c>
      <c r="T137">
        <f>_xll.ciqfunctions.udf.CIQ(A137, "IQ_VALUE_TRADED", F137)</f>
        <v>0</v>
      </c>
    </row>
    <row r="138" spans="1:20" x14ac:dyDescent="0.3">
      <c r="A138" t="s">
        <v>455</v>
      </c>
      <c r="B138">
        <v>18.420000000000002</v>
      </c>
      <c r="C138" t="s">
        <v>456</v>
      </c>
      <c r="D138" t="s">
        <v>457</v>
      </c>
      <c r="E138" t="s">
        <v>197</v>
      </c>
      <c r="F138" s="1">
        <v>45313</v>
      </c>
      <c r="G138" t="s">
        <v>458</v>
      </c>
      <c r="H138">
        <v>32</v>
      </c>
      <c r="I138">
        <f>_xll.ciqfunctions.udf.CIQ(A138, "IQ_MARKETCAP", F138)</f>
        <v>421.74232999999998</v>
      </c>
      <c r="J138">
        <f>_xll.ciqfunctions.udf.CIQ(A138, "IQ_PRICE_VOL_HIST_6MTH", F138)</f>
        <v>190.89879999999999</v>
      </c>
      <c r="K138">
        <f>_xll.ciqfunctions.udf.CIQ(A138, "IQ_LASTSALEPRICE", WORKDAY(F138,-1))</f>
        <v>6.82</v>
      </c>
      <c r="L138">
        <f>_xll.ciqfunctions.udf.CIQ(A138, "IQ_LASTSALEPRICE", F138)</f>
        <v>18.420000000000002</v>
      </c>
      <c r="M138">
        <f>_xll.ciqfunctions.udf.CIQ(A138, "IQ_LASTSALEPRICE", WORKDAY(F138,5))</f>
        <v>10.6</v>
      </c>
      <c r="N138">
        <f t="shared" si="4"/>
        <v>0.99357755897179012</v>
      </c>
      <c r="O138">
        <f t="shared" si="5"/>
        <v>0.4409945292626507</v>
      </c>
      <c r="P138">
        <f>LN(_xll.ciqfunctions.udf.CIQ("XBI", "IQ_LASTSALEPRICE", WORKDAY(F138,-1))/_xll.ciqfunctions.udf.CIQ("XBI", "IQ_LASTSALEPRICE", WORKDAY(F138,1)))</f>
        <v>-2.4734639697862139E-2</v>
      </c>
      <c r="Q138">
        <f>LN(_xll.ciqfunctions.udf.CIQ("XBI", "IQ_LASTSALEPRICE", WORKDAY(F138,-1))/_xll.ciqfunctions.udf.CIQ("XBI", "IQ_LASTSALEPRICE", WORKDAY(F138,5)))</f>
        <v>-4.2176619393049578E-2</v>
      </c>
      <c r="R138">
        <f>_xll.ciqfunctions.udf.CIQ(A138, "IQ_SHORT_INTEREST_PERCENT", F138)</f>
        <v>2.7157100000000001</v>
      </c>
      <c r="S138">
        <f>_xll.ciqfunctions.udf.CIQ(A138, "IQ_BETA_1YR_RSQ", F138)</f>
        <v>0.19400999999999999</v>
      </c>
      <c r="T138">
        <f>_xll.ciqfunctions.udf.CIQ(A138, "IQ_VALUE_TRADED", F138)</f>
        <v>666.24045999999998</v>
      </c>
    </row>
    <row r="139" spans="1:20" x14ac:dyDescent="0.3">
      <c r="A139" t="s">
        <v>459</v>
      </c>
      <c r="B139">
        <v>11.77</v>
      </c>
      <c r="C139" t="s">
        <v>460</v>
      </c>
      <c r="D139" t="s">
        <v>363</v>
      </c>
      <c r="E139" t="s">
        <v>76</v>
      </c>
      <c r="F139" s="1">
        <v>45313</v>
      </c>
      <c r="G139" t="s">
        <v>461</v>
      </c>
      <c r="H139">
        <v>31</v>
      </c>
      <c r="I139">
        <f>_xll.ciqfunctions.udf.CIQ(A139, "IQ_MARKETCAP", F139)</f>
        <v>224.51007999999999</v>
      </c>
      <c r="J139">
        <f>_xll.ciqfunctions.udf.CIQ(A139, "IQ_PRICE_VOL_HIST_6MTH", F139)</f>
        <v>82.616100000000003</v>
      </c>
      <c r="K139">
        <f>_xll.ciqfunctions.udf.CIQ(A139, "IQ_LASTSALEPRICE", WORKDAY(F139,-1))</f>
        <v>11.56</v>
      </c>
      <c r="L139">
        <f>_xll.ciqfunctions.udf.CIQ(A139, "IQ_LASTSALEPRICE", F139)</f>
        <v>11.77</v>
      </c>
      <c r="M139">
        <f>_xll.ciqfunctions.udf.CIQ(A139, "IQ_LASTSALEPRICE", WORKDAY(F139,5))</f>
        <v>13.89</v>
      </c>
      <c r="N139">
        <f t="shared" si="4"/>
        <v>1.800305802795394E-2</v>
      </c>
      <c r="O139">
        <f t="shared" si="5"/>
        <v>0.18361829352202091</v>
      </c>
      <c r="P139">
        <f>LN(_xll.ciqfunctions.udf.CIQ("XBI", "IQ_LASTSALEPRICE", WORKDAY(F139,-1))/_xll.ciqfunctions.udf.CIQ("XBI", "IQ_LASTSALEPRICE", WORKDAY(F139,1)))</f>
        <v>-2.4734639697862139E-2</v>
      </c>
      <c r="Q139">
        <f>LN(_xll.ciqfunctions.udf.CIQ("XBI", "IQ_LASTSALEPRICE", WORKDAY(F139,-1))/_xll.ciqfunctions.udf.CIQ("XBI", "IQ_LASTSALEPRICE", WORKDAY(F139,5)))</f>
        <v>-4.2176619393049578E-2</v>
      </c>
      <c r="R139">
        <f>_xll.ciqfunctions.udf.CIQ(A139, "IQ_SHORT_INTEREST_PERCENT", F139)</f>
        <v>10.395949999999999</v>
      </c>
      <c r="S139">
        <f>_xll.ciqfunctions.udf.CIQ(A139, "IQ_BETA_1YR_RSQ", F139)</f>
        <v>7.8560000000000005E-2</v>
      </c>
      <c r="T139">
        <f>_xll.ciqfunctions.udf.CIQ(A139, "IQ_VALUE_TRADED", F139)</f>
        <v>8.6877399999999998</v>
      </c>
    </row>
    <row r="140" spans="1:20" x14ac:dyDescent="0.3">
      <c r="A140" t="s">
        <v>462</v>
      </c>
      <c r="B140">
        <v>51.01</v>
      </c>
      <c r="C140" t="s">
        <v>463</v>
      </c>
      <c r="D140" t="s">
        <v>464</v>
      </c>
      <c r="E140" t="s">
        <v>36</v>
      </c>
      <c r="F140" s="1">
        <v>45313</v>
      </c>
      <c r="G140" t="s">
        <v>465</v>
      </c>
      <c r="H140">
        <v>159</v>
      </c>
      <c r="I140">
        <f>_xll.ciqfunctions.udf.CIQ(A140, "IQ_MARKETCAP", F140)</f>
        <v>7318.5127899999998</v>
      </c>
      <c r="J140">
        <f>_xll.ciqfunctions.udf.CIQ(A140, "IQ_PRICE_VOL_HIST_6MTH", F140)</f>
        <v>36.174900000000001</v>
      </c>
      <c r="K140">
        <f>_xll.ciqfunctions.udf.CIQ(A140, "IQ_LASTSALEPRICE", WORKDAY(F140,-1))</f>
        <v>50.98</v>
      </c>
      <c r="L140">
        <f>_xll.ciqfunctions.udf.CIQ(A140, "IQ_LASTSALEPRICE", F140)</f>
        <v>51.01</v>
      </c>
      <c r="M140">
        <f>_xll.ciqfunctions.udf.CIQ(A140, "IQ_LASTSALEPRICE", WORKDAY(F140,5))</f>
        <v>52.01</v>
      </c>
      <c r="N140">
        <f t="shared" si="4"/>
        <v>5.8829298686586282E-4</v>
      </c>
      <c r="O140">
        <f t="shared" si="5"/>
        <v>2.0002608837011725E-2</v>
      </c>
      <c r="P140">
        <f>LN(_xll.ciqfunctions.udf.CIQ("XBI", "IQ_LASTSALEPRICE", WORKDAY(F140,-1))/_xll.ciqfunctions.udf.CIQ("XBI", "IQ_LASTSALEPRICE", WORKDAY(F140,1)))</f>
        <v>-2.4734639697862139E-2</v>
      </c>
      <c r="Q140">
        <f>LN(_xll.ciqfunctions.udf.CIQ("XBI", "IQ_LASTSALEPRICE", WORKDAY(F140,-1))/_xll.ciqfunctions.udf.CIQ("XBI", "IQ_LASTSALEPRICE", WORKDAY(F140,5)))</f>
        <v>-4.2176619393049578E-2</v>
      </c>
      <c r="R140">
        <f>_xll.ciqfunctions.udf.CIQ(A140, "IQ_SHORT_INTEREST_PERCENT", F140)</f>
        <v>5.7452300000000003</v>
      </c>
      <c r="S140">
        <f>_xll.ciqfunctions.udf.CIQ(A140, "IQ_BETA_1YR_RSQ", F140)</f>
        <v>0.27790999999999999</v>
      </c>
      <c r="T140">
        <f>_xll.ciqfunctions.udf.CIQ(A140, "IQ_VALUE_TRADED", F140)</f>
        <v>73.538719999999998</v>
      </c>
    </row>
    <row r="141" spans="1:20" x14ac:dyDescent="0.3">
      <c r="A141" t="s">
        <v>466</v>
      </c>
      <c r="B141">
        <v>10.24</v>
      </c>
      <c r="C141" t="s">
        <v>467</v>
      </c>
      <c r="D141" t="s">
        <v>468</v>
      </c>
      <c r="E141" t="s">
        <v>76</v>
      </c>
      <c r="F141" s="1">
        <v>45313</v>
      </c>
      <c r="G141" t="s">
        <v>469</v>
      </c>
      <c r="I141">
        <f>_xll.ciqfunctions.udf.CIQ(A141, "IQ_MARKETCAP", F141)</f>
        <v>12.537039999999999</v>
      </c>
      <c r="J141">
        <f>_xll.ciqfunctions.udf.CIQ(A141, "IQ_PRICE_VOL_HIST_6MTH", F141)</f>
        <v>0</v>
      </c>
      <c r="K141">
        <f>_xll.ciqfunctions.udf.CIQ(A141, "IQ_LASTSALEPRICE", WORKDAY(F141,-1))</f>
        <v>0</v>
      </c>
      <c r="L141">
        <f>_xll.ciqfunctions.udf.CIQ(A141, "IQ_LASTSALEPRICE", F141)</f>
        <v>0</v>
      </c>
      <c r="M141">
        <f>_xll.ciqfunctions.udf.CIQ(A141, "IQ_LASTSALEPRICE", WORKDAY(F141,5))</f>
        <v>0</v>
      </c>
      <c r="N141" t="e">
        <f t="shared" si="4"/>
        <v>#DIV/0!</v>
      </c>
      <c r="O141" t="e">
        <f t="shared" si="5"/>
        <v>#DIV/0!</v>
      </c>
      <c r="P141">
        <f>LN(_xll.ciqfunctions.udf.CIQ("XBI", "IQ_LASTSALEPRICE", WORKDAY(F141,-1))/_xll.ciqfunctions.udf.CIQ("XBI", "IQ_LASTSALEPRICE", WORKDAY(F141,1)))</f>
        <v>-2.4734639697862139E-2</v>
      </c>
      <c r="Q141">
        <f>LN(_xll.ciqfunctions.udf.CIQ("XBI", "IQ_LASTSALEPRICE", WORKDAY(F141,-1))/_xll.ciqfunctions.udf.CIQ("XBI", "IQ_LASTSALEPRICE", WORKDAY(F141,5)))</f>
        <v>-4.2176619393049578E-2</v>
      </c>
      <c r="R141">
        <f>_xll.ciqfunctions.udf.CIQ(A141, "IQ_SHORT_INTEREST_PERCENT", F141)</f>
        <v>0</v>
      </c>
      <c r="S141">
        <f>_xll.ciqfunctions.udf.CIQ(A141, "IQ_BETA_1YR_RSQ", F141)</f>
        <v>0</v>
      </c>
      <c r="T141">
        <f>_xll.ciqfunctions.udf.CIQ(A141, "IQ_VALUE_TRADED", F141)</f>
        <v>0</v>
      </c>
    </row>
    <row r="142" spans="1:20" x14ac:dyDescent="0.3">
      <c r="A142" t="s">
        <v>470</v>
      </c>
      <c r="B142">
        <v>2.44</v>
      </c>
      <c r="C142" t="s">
        <v>471</v>
      </c>
      <c r="D142" t="s">
        <v>472</v>
      </c>
      <c r="E142" t="s">
        <v>197</v>
      </c>
      <c r="F142" s="1">
        <v>45313</v>
      </c>
      <c r="G142" t="s">
        <v>473</v>
      </c>
      <c r="I142">
        <f>_xll.ciqfunctions.udf.CIQ(A142, "IQ_MARKETCAP", F142)</f>
        <v>99.334299999999999</v>
      </c>
      <c r="J142">
        <f>_xll.ciqfunctions.udf.CIQ(A142, "IQ_PRICE_VOL_HIST_6MTH", F142)</f>
        <v>76.942999999999998</v>
      </c>
      <c r="K142">
        <f>_xll.ciqfunctions.udf.CIQ(A142, "IQ_LASTSALEPRICE", WORKDAY(F142,-1))</f>
        <v>179.25045</v>
      </c>
      <c r="L142">
        <f>_xll.ciqfunctions.udf.CIQ(A142, "IQ_LASTSALEPRICE", F142)</f>
        <v>183.00046</v>
      </c>
      <c r="M142">
        <f>_xll.ciqfunctions.udf.CIQ(A142, "IQ_LASTSALEPRICE", WORKDAY(F142,5))</f>
        <v>266.25067000000001</v>
      </c>
      <c r="N142">
        <f t="shared" si="4"/>
        <v>2.0704676562634246E-2</v>
      </c>
      <c r="O142">
        <f t="shared" si="5"/>
        <v>0.39565424351556405</v>
      </c>
      <c r="P142">
        <f>LN(_xll.ciqfunctions.udf.CIQ("XBI", "IQ_LASTSALEPRICE", WORKDAY(F142,-1))/_xll.ciqfunctions.udf.CIQ("XBI", "IQ_LASTSALEPRICE", WORKDAY(F142,1)))</f>
        <v>-2.4734639697862139E-2</v>
      </c>
      <c r="Q142">
        <f>LN(_xll.ciqfunctions.udf.CIQ("XBI", "IQ_LASTSALEPRICE", WORKDAY(F142,-1))/_xll.ciqfunctions.udf.CIQ("XBI", "IQ_LASTSALEPRICE", WORKDAY(F142,5)))</f>
        <v>-4.2176619393049578E-2</v>
      </c>
      <c r="R142">
        <f>_xll.ciqfunctions.udf.CIQ(A142, "IQ_SHORT_INTEREST_PERCENT", F142)</f>
        <v>0.18901999999999999</v>
      </c>
      <c r="S142">
        <f>_xll.ciqfunctions.udf.CIQ(A142, "IQ_BETA_1YR_RSQ", F142)</f>
        <v>5.994E-2</v>
      </c>
      <c r="T142">
        <f>_xll.ciqfunctions.udf.CIQ(A142, "IQ_VALUE_TRADED", F142)</f>
        <v>0.43152000000000001</v>
      </c>
    </row>
    <row r="143" spans="1:20" x14ac:dyDescent="0.3">
      <c r="A143" t="s">
        <v>474</v>
      </c>
      <c r="B143">
        <v>0.75</v>
      </c>
      <c r="C143" t="s">
        <v>475</v>
      </c>
      <c r="D143" t="s">
        <v>476</v>
      </c>
      <c r="E143" t="s">
        <v>76</v>
      </c>
      <c r="F143" s="1">
        <v>45313</v>
      </c>
      <c r="G143" t="s">
        <v>477</v>
      </c>
      <c r="H143">
        <v>4</v>
      </c>
      <c r="I143">
        <f>_xll.ciqfunctions.udf.CIQ(A143, "IQ_MARKETCAP", F143)</f>
        <v>4.35541</v>
      </c>
      <c r="J143">
        <f>_xll.ciqfunctions.udf.CIQ(A143, "IQ_PRICE_VOL_HIST_6MTH", F143)</f>
        <v>129.64859999999999</v>
      </c>
      <c r="K143">
        <f>_xll.ciqfunctions.udf.CIQ(A143, "IQ_LASTSALEPRICE", WORKDAY(F143,-1))</f>
        <v>37.560020000000002</v>
      </c>
      <c r="L143">
        <f>_xll.ciqfunctions.udf.CIQ(A143, "IQ_LASTSALEPRICE", F143)</f>
        <v>45.060020000000002</v>
      </c>
      <c r="M143">
        <f>_xll.ciqfunctions.udf.CIQ(A143, "IQ_LASTSALEPRICE", WORKDAY(F143,5))</f>
        <v>31.03201</v>
      </c>
      <c r="N143">
        <f t="shared" si="4"/>
        <v>0.18205519203535717</v>
      </c>
      <c r="O143">
        <f t="shared" si="5"/>
        <v>-0.19092093443566743</v>
      </c>
      <c r="P143">
        <f>LN(_xll.ciqfunctions.udf.CIQ("XBI", "IQ_LASTSALEPRICE", WORKDAY(F143,-1))/_xll.ciqfunctions.udf.CIQ("XBI", "IQ_LASTSALEPRICE", WORKDAY(F143,1)))</f>
        <v>-2.4734639697862139E-2</v>
      </c>
      <c r="Q143">
        <f>LN(_xll.ciqfunctions.udf.CIQ("XBI", "IQ_LASTSALEPRICE", WORKDAY(F143,-1))/_xll.ciqfunctions.udf.CIQ("XBI", "IQ_LASTSALEPRICE", WORKDAY(F143,5)))</f>
        <v>-4.2176619393049578E-2</v>
      </c>
      <c r="R143">
        <f>_xll.ciqfunctions.udf.CIQ(A143, "IQ_SHORT_INTEREST_PERCENT", F143)</f>
        <v>6.2642699999999998</v>
      </c>
      <c r="S143">
        <f>_xll.ciqfunctions.udf.CIQ(A143, "IQ_BETA_1YR_RSQ", F143)</f>
        <v>3.9899999999999998E-2</v>
      </c>
      <c r="T143">
        <f>_xll.ciqfunctions.udf.CIQ(A143, "IQ_VALUE_TRADED", F143)</f>
        <v>0.34511999999999998</v>
      </c>
    </row>
    <row r="144" spans="1:20" x14ac:dyDescent="0.3">
      <c r="A144" t="s">
        <v>478</v>
      </c>
      <c r="B144">
        <v>77.62</v>
      </c>
      <c r="C144" t="s">
        <v>479</v>
      </c>
      <c r="D144" t="s">
        <v>253</v>
      </c>
      <c r="E144" t="s">
        <v>36</v>
      </c>
      <c r="F144" s="1">
        <v>45313</v>
      </c>
      <c r="G144" t="s">
        <v>480</v>
      </c>
      <c r="I144">
        <f>_xll.ciqfunctions.udf.CIQ(A144, "IQ_MARKETCAP", F144)</f>
        <v>97727.065830000007</v>
      </c>
      <c r="J144">
        <f>_xll.ciqfunctions.udf.CIQ(A144, "IQ_PRICE_VOL_HIST_6MTH", F144)</f>
        <v>25.6097</v>
      </c>
      <c r="K144">
        <f>_xll.ciqfunctions.udf.CIQ(A144, "IQ_LASTSALEPRICE", WORKDAY(F144,-1))</f>
        <v>87.29</v>
      </c>
      <c r="L144">
        <f>_xll.ciqfunctions.udf.CIQ(A144, "IQ_LASTSALEPRICE", F144)</f>
        <v>78.430000000000007</v>
      </c>
      <c r="M144">
        <f>_xll.ciqfunctions.udf.CIQ(A144, "IQ_LASTSALEPRICE", WORKDAY(F144,5))</f>
        <v>79.069999999999993</v>
      </c>
      <c r="N144">
        <f t="shared" si="4"/>
        <v>-0.10702940152268328</v>
      </c>
      <c r="O144">
        <f t="shared" si="5"/>
        <v>-9.8902372664422894E-2</v>
      </c>
      <c r="P144">
        <f>LN(_xll.ciqfunctions.udf.CIQ("XBI", "IQ_LASTSALEPRICE", WORKDAY(F144,-1))/_xll.ciqfunctions.udf.CIQ("XBI", "IQ_LASTSALEPRICE", WORKDAY(F144,1)))</f>
        <v>-2.4734639697862139E-2</v>
      </c>
      <c r="Q144">
        <f>LN(_xll.ciqfunctions.udf.CIQ("XBI", "IQ_LASTSALEPRICE", WORKDAY(F144,-1))/_xll.ciqfunctions.udf.CIQ("XBI", "IQ_LASTSALEPRICE", WORKDAY(F144,5)))</f>
        <v>-4.2176619393049578E-2</v>
      </c>
      <c r="R144">
        <f>_xll.ciqfunctions.udf.CIQ(A144, "IQ_SHORT_INTEREST_PERCENT", F144)</f>
        <v>1.36744</v>
      </c>
      <c r="S144">
        <f>_xll.ciqfunctions.udf.CIQ(A144, "IQ_BETA_1YR_RSQ", F144)</f>
        <v>0.14949000000000001</v>
      </c>
      <c r="T144">
        <f>_xll.ciqfunctions.udf.CIQ(A144, "IQ_VALUE_TRADED", F144)</f>
        <v>1598.2897599999999</v>
      </c>
    </row>
    <row r="145" spans="1:20" x14ac:dyDescent="0.3">
      <c r="A145" t="s">
        <v>288</v>
      </c>
      <c r="B145">
        <v>7.3</v>
      </c>
      <c r="C145" t="s">
        <v>481</v>
      </c>
      <c r="D145" t="s">
        <v>482</v>
      </c>
      <c r="E145" t="s">
        <v>22</v>
      </c>
      <c r="F145" s="1">
        <v>45314</v>
      </c>
      <c r="G145" t="s">
        <v>483</v>
      </c>
      <c r="H145">
        <v>12</v>
      </c>
      <c r="I145">
        <f>_xll.ciqfunctions.udf.CIQ(A145, "IQ_MARKETCAP", F145)</f>
        <v>32.29289</v>
      </c>
      <c r="J145">
        <f>_xll.ciqfunctions.udf.CIQ(A145, "IQ_PRICE_VOL_HIST_6MTH", F145)</f>
        <v>101.5123</v>
      </c>
      <c r="K145">
        <f>_xll.ciqfunctions.udf.CIQ(A145, "IQ_LASTSALEPRICE", WORKDAY(F145,-1))</f>
        <v>7.6</v>
      </c>
      <c r="L145">
        <f>_xll.ciqfunctions.udf.CIQ(A145, "IQ_LASTSALEPRICE", F145)</f>
        <v>7.3</v>
      </c>
      <c r="M145">
        <f>_xll.ciqfunctions.udf.CIQ(A145, "IQ_LASTSALEPRICE", WORKDAY(F145,5))</f>
        <v>25.16</v>
      </c>
      <c r="N145">
        <f t="shared" si="4"/>
        <v>-4.027389913793996E-2</v>
      </c>
      <c r="O145">
        <f t="shared" si="5"/>
        <v>1.1971071845399546</v>
      </c>
      <c r="P145">
        <f>LN(_xll.ciqfunctions.udf.CIQ("XBI", "IQ_LASTSALEPRICE", WORKDAY(F145,-1))/_xll.ciqfunctions.udf.CIQ("XBI", "IQ_LASTSALEPRICE", WORKDAY(F145,1)))</f>
        <v>1.4598799421152851E-2</v>
      </c>
      <c r="Q145">
        <f>LN(_xll.ciqfunctions.udf.CIQ("XBI", "IQ_LASTSALEPRICE", WORKDAY(F145,-1))/_xll.ciqfunctions.udf.CIQ("XBI", "IQ_LASTSALEPRICE", WORKDAY(F145,5)))</f>
        <v>2.6999678906123653E-3</v>
      </c>
      <c r="R145">
        <f>_xll.ciqfunctions.udf.CIQ(A145, "IQ_SHORT_INTEREST_PERCENT", F145)</f>
        <v>0.90024999999999999</v>
      </c>
      <c r="S145">
        <f>_xll.ciqfunctions.udf.CIQ(A145, "IQ_BETA_1YR_RSQ", F145)</f>
        <v>2.547E-2</v>
      </c>
      <c r="T145">
        <f>_xll.ciqfunctions.udf.CIQ(A145, "IQ_VALUE_TRADED", F145)</f>
        <v>0.63361000000000001</v>
      </c>
    </row>
    <row r="146" spans="1:20" x14ac:dyDescent="0.3">
      <c r="A146" t="s">
        <v>484</v>
      </c>
      <c r="B146">
        <v>1.38</v>
      </c>
      <c r="C146" t="s">
        <v>485</v>
      </c>
      <c r="D146" t="s">
        <v>486</v>
      </c>
      <c r="E146" t="s">
        <v>89</v>
      </c>
      <c r="F146" s="1">
        <v>45314</v>
      </c>
      <c r="G146" t="s">
        <v>487</v>
      </c>
      <c r="H146">
        <v>1</v>
      </c>
      <c r="I146">
        <f>_xll.ciqfunctions.udf.CIQ(A146, "IQ_MARKETCAP", F146)</f>
        <v>4.40076</v>
      </c>
      <c r="J146">
        <f>_xll.ciqfunctions.udf.CIQ(A146, "IQ_PRICE_VOL_HIST_6MTH", F146)</f>
        <v>77.300299999999993</v>
      </c>
      <c r="K146">
        <f>_xll.ciqfunctions.udf.CIQ(A146, "IQ_LASTSALEPRICE", WORKDAY(F146,-1))</f>
        <v>8.34</v>
      </c>
      <c r="L146">
        <f>_xll.ciqfunctions.udf.CIQ(A146, "IQ_LASTSALEPRICE", F146)</f>
        <v>8.2799999999999994</v>
      </c>
      <c r="M146">
        <f>_xll.ciqfunctions.udf.CIQ(A146, "IQ_LASTSALEPRICE", WORKDAY(F146,5))</f>
        <v>8.2799999999999994</v>
      </c>
      <c r="N146">
        <f t="shared" si="4"/>
        <v>-7.220247973487132E-3</v>
      </c>
      <c r="O146">
        <f t="shared" si="5"/>
        <v>-7.220247973487132E-3</v>
      </c>
      <c r="P146">
        <f>LN(_xll.ciqfunctions.udf.CIQ("XBI", "IQ_LASTSALEPRICE", WORKDAY(F146,-1))/_xll.ciqfunctions.udf.CIQ("XBI", "IQ_LASTSALEPRICE", WORKDAY(F146,1)))</f>
        <v>1.4598799421152851E-2</v>
      </c>
      <c r="Q146">
        <f>LN(_xll.ciqfunctions.udf.CIQ("XBI", "IQ_LASTSALEPRICE", WORKDAY(F146,-1))/_xll.ciqfunctions.udf.CIQ("XBI", "IQ_LASTSALEPRICE", WORKDAY(F146,5)))</f>
        <v>2.6999678906123653E-3</v>
      </c>
      <c r="R146">
        <f>_xll.ciqfunctions.udf.CIQ(A146, "IQ_SHORT_INTEREST_PERCENT", F146)</f>
        <v>0.45606999999999998</v>
      </c>
      <c r="S146">
        <f>_xll.ciqfunctions.udf.CIQ(A146, "IQ_BETA_1YR_RSQ", F146)</f>
        <v>1.3610000000000001E-2</v>
      </c>
      <c r="T146">
        <f>_xll.ciqfunctions.udf.CIQ(A146, "IQ_VALUE_TRADED", F146)</f>
        <v>1.197E-2</v>
      </c>
    </row>
    <row r="147" spans="1:20" x14ac:dyDescent="0.3">
      <c r="A147" t="s">
        <v>488</v>
      </c>
      <c r="B147">
        <v>627.55999999999995</v>
      </c>
      <c r="C147" t="s">
        <v>489</v>
      </c>
      <c r="D147" t="s">
        <v>490</v>
      </c>
      <c r="E147" t="s">
        <v>17</v>
      </c>
      <c r="F147" s="1">
        <v>45314</v>
      </c>
      <c r="G147" t="s">
        <v>491</v>
      </c>
      <c r="H147">
        <v>946</v>
      </c>
      <c r="I147">
        <f>_xll.ciqfunctions.udf.CIQ(A147, "IQ_MARKETCAP", F147)</f>
        <v>566275.78099</v>
      </c>
      <c r="J147">
        <f>_xll.ciqfunctions.udf.CIQ(A147, "IQ_PRICE_VOL_HIST_6MTH", F147)</f>
        <v>32.130299999999998</v>
      </c>
      <c r="K147">
        <f>_xll.ciqfunctions.udf.CIQ(A147, "IQ_LASTSALEPRICE", WORKDAY(F147,-1))</f>
        <v>630.88</v>
      </c>
      <c r="L147">
        <f>_xll.ciqfunctions.udf.CIQ(A147, "IQ_LASTSALEPRICE", F147)</f>
        <v>629.67999999999995</v>
      </c>
      <c r="M147">
        <f>_xll.ciqfunctions.udf.CIQ(A147, "IQ_LASTSALEPRICE", WORKDAY(F147,5))</f>
        <v>644.98</v>
      </c>
      <c r="N147">
        <f t="shared" si="4"/>
        <v>-1.9039162951223511E-3</v>
      </c>
      <c r="O147">
        <f t="shared" si="5"/>
        <v>2.2103638433767114E-2</v>
      </c>
      <c r="P147">
        <f>LN(_xll.ciqfunctions.udf.CIQ("XBI", "IQ_LASTSALEPRICE", WORKDAY(F147,-1))/_xll.ciqfunctions.udf.CIQ("XBI", "IQ_LASTSALEPRICE", WORKDAY(F147,1)))</f>
        <v>1.4598799421152851E-2</v>
      </c>
      <c r="Q147">
        <f>LN(_xll.ciqfunctions.udf.CIQ("XBI", "IQ_LASTSALEPRICE", WORKDAY(F147,-1))/_xll.ciqfunctions.udf.CIQ("XBI", "IQ_LASTSALEPRICE", WORKDAY(F147,5)))</f>
        <v>2.6999678906123653E-3</v>
      </c>
      <c r="R147">
        <f>_xll.ciqfunctions.udf.CIQ(A147, "IQ_SHORT_INTEREST_PERCENT", F147)</f>
        <v>0.56637000000000004</v>
      </c>
      <c r="S147">
        <f>_xll.ciqfunctions.udf.CIQ(A147, "IQ_BETA_1YR_RSQ", F147)</f>
        <v>7.4000000000000003E-3</v>
      </c>
      <c r="T147">
        <f>_xll.ciqfunctions.udf.CIQ(A147, "IQ_VALUE_TRADED", F147)</f>
        <v>1589.9313</v>
      </c>
    </row>
    <row r="148" spans="1:20" x14ac:dyDescent="0.3">
      <c r="A148" t="s">
        <v>492</v>
      </c>
      <c r="B148">
        <v>3.71</v>
      </c>
      <c r="C148" t="s">
        <v>493</v>
      </c>
      <c r="D148" t="s">
        <v>494</v>
      </c>
      <c r="E148" t="s">
        <v>184</v>
      </c>
      <c r="F148" s="1">
        <v>45314</v>
      </c>
      <c r="G148" t="s">
        <v>495</v>
      </c>
      <c r="H148">
        <v>59</v>
      </c>
      <c r="I148">
        <f>_xll.ciqfunctions.udf.CIQ(A148, "IQ_MARKETCAP", F148)</f>
        <v>213.44372000000001</v>
      </c>
      <c r="J148">
        <f>_xll.ciqfunctions.udf.CIQ(A148, "IQ_PRICE_VOL_HIST_6MTH", F148)</f>
        <v>58.279200000000003</v>
      </c>
      <c r="K148">
        <f>_xll.ciqfunctions.udf.CIQ(A148, "IQ_LASTSALEPRICE", WORKDAY(F148,-1))</f>
        <v>3.79</v>
      </c>
      <c r="L148">
        <f>_xll.ciqfunctions.udf.CIQ(A148, "IQ_LASTSALEPRICE", F148)</f>
        <v>3.71</v>
      </c>
      <c r="M148">
        <f>_xll.ciqfunctions.udf.CIQ(A148, "IQ_LASTSALEPRICE", WORKDAY(F148,5))</f>
        <v>3.65</v>
      </c>
      <c r="N148">
        <f t="shared" si="4"/>
        <v>-2.1334142474991172E-2</v>
      </c>
      <c r="O148">
        <f t="shared" si="5"/>
        <v>-3.7638851499934921E-2</v>
      </c>
      <c r="P148">
        <f>LN(_xll.ciqfunctions.udf.CIQ("XBI", "IQ_LASTSALEPRICE", WORKDAY(F148,-1))/_xll.ciqfunctions.udf.CIQ("XBI", "IQ_LASTSALEPRICE", WORKDAY(F148,1)))</f>
        <v>1.4598799421152851E-2</v>
      </c>
      <c r="Q148">
        <f>LN(_xll.ciqfunctions.udf.CIQ("XBI", "IQ_LASTSALEPRICE", WORKDAY(F148,-1))/_xll.ciqfunctions.udf.CIQ("XBI", "IQ_LASTSALEPRICE", WORKDAY(F148,5)))</f>
        <v>2.6999678906123653E-3</v>
      </c>
      <c r="R148">
        <f>_xll.ciqfunctions.udf.CIQ(A148, "IQ_SHORT_INTEREST_PERCENT", F148)</f>
        <v>3.0107200000000001</v>
      </c>
      <c r="S148">
        <f>_xll.ciqfunctions.udf.CIQ(A148, "IQ_BETA_1YR_RSQ", F148)</f>
        <v>1.8120000000000001E-2</v>
      </c>
      <c r="T148">
        <f>_xll.ciqfunctions.udf.CIQ(A148, "IQ_VALUE_TRADED", F148)</f>
        <v>4.2103900000000003</v>
      </c>
    </row>
    <row r="149" spans="1:20" x14ac:dyDescent="0.3">
      <c r="A149" t="s">
        <v>496</v>
      </c>
      <c r="B149">
        <v>2.2000000000000002</v>
      </c>
      <c r="C149" t="s">
        <v>497</v>
      </c>
      <c r="D149" t="s">
        <v>498</v>
      </c>
      <c r="E149" t="s">
        <v>160</v>
      </c>
      <c r="F149" s="1">
        <v>45314</v>
      </c>
      <c r="G149" t="s">
        <v>499</v>
      </c>
      <c r="H149">
        <v>153</v>
      </c>
      <c r="I149">
        <f>_xll.ciqfunctions.udf.CIQ(A149, "IQ_MARKETCAP", F149)</f>
        <v>330.15980999999999</v>
      </c>
      <c r="J149">
        <f>_xll.ciqfunctions.udf.CIQ(A149, "IQ_PRICE_VOL_HIST_6MTH", F149)</f>
        <v>117.67310000000001</v>
      </c>
      <c r="K149">
        <f>_xll.ciqfunctions.udf.CIQ(A149, "IQ_LASTSALEPRICE", WORKDAY(F149,-1))</f>
        <v>2.34</v>
      </c>
      <c r="L149">
        <f>_xll.ciqfunctions.udf.CIQ(A149, "IQ_LASTSALEPRICE", F149)</f>
        <v>2.2000000000000002</v>
      </c>
      <c r="M149">
        <f>_xll.ciqfunctions.udf.CIQ(A149, "IQ_LASTSALEPRICE", WORKDAY(F149,5))</f>
        <v>2.4900000000000002</v>
      </c>
      <c r="N149">
        <f t="shared" si="4"/>
        <v>-6.1693569005339781E-2</v>
      </c>
      <c r="O149">
        <f t="shared" si="5"/>
        <v>6.2131781107006387E-2</v>
      </c>
      <c r="P149">
        <f>LN(_xll.ciqfunctions.udf.CIQ("XBI", "IQ_LASTSALEPRICE", WORKDAY(F149,-1))/_xll.ciqfunctions.udf.CIQ("XBI", "IQ_LASTSALEPRICE", WORKDAY(F149,1)))</f>
        <v>1.4598799421152851E-2</v>
      </c>
      <c r="Q149">
        <f>LN(_xll.ciqfunctions.udf.CIQ("XBI", "IQ_LASTSALEPRICE", WORKDAY(F149,-1))/_xll.ciqfunctions.udf.CIQ("XBI", "IQ_LASTSALEPRICE", WORKDAY(F149,5)))</f>
        <v>2.6999678906123653E-3</v>
      </c>
      <c r="R149">
        <f>_xll.ciqfunctions.udf.CIQ(A149, "IQ_SHORT_INTEREST_PERCENT", F149)</f>
        <v>13.46927</v>
      </c>
      <c r="S149">
        <f>_xll.ciqfunctions.udf.CIQ(A149, "IQ_BETA_1YR_RSQ", F149)</f>
        <v>5.2729999999999999E-2</v>
      </c>
      <c r="T149">
        <f>_xll.ciqfunctions.udf.CIQ(A149, "IQ_VALUE_TRADED", F149)</f>
        <v>8.9777000000000005</v>
      </c>
    </row>
    <row r="150" spans="1:20" x14ac:dyDescent="0.3">
      <c r="A150" t="s">
        <v>500</v>
      </c>
      <c r="B150">
        <v>15.04</v>
      </c>
      <c r="C150" t="s">
        <v>501</v>
      </c>
      <c r="D150" t="s">
        <v>502</v>
      </c>
      <c r="E150" t="s">
        <v>154</v>
      </c>
      <c r="F150" s="1">
        <v>45315</v>
      </c>
      <c r="G150" t="s">
        <v>503</v>
      </c>
      <c r="H150">
        <v>46</v>
      </c>
      <c r="I150">
        <f>_xll.ciqfunctions.udf.CIQ(A150, "IQ_MARKETCAP", F150)</f>
        <v>464.22944999999999</v>
      </c>
      <c r="J150">
        <f>_xll.ciqfunctions.udf.CIQ(A150, "IQ_PRICE_VOL_HIST_6MTH", F150)</f>
        <v>115.3267</v>
      </c>
      <c r="K150">
        <f>_xll.ciqfunctions.udf.CIQ(A150, "IQ_LASTSALEPRICE", WORKDAY(F150,-1))</f>
        <v>15.11</v>
      </c>
      <c r="L150">
        <f>_xll.ciqfunctions.udf.CIQ(A150, "IQ_LASTSALEPRICE", F150)</f>
        <v>15.04</v>
      </c>
      <c r="M150">
        <f>_xll.ciqfunctions.udf.CIQ(A150, "IQ_LASTSALEPRICE", WORKDAY(F150,5))</f>
        <v>15.7</v>
      </c>
      <c r="N150">
        <f t="shared" si="4"/>
        <v>-4.6434577629544073E-3</v>
      </c>
      <c r="O150">
        <f t="shared" si="5"/>
        <v>3.8303936069614117E-2</v>
      </c>
      <c r="P150">
        <f>LN(_xll.ciqfunctions.udf.CIQ("XBI", "IQ_LASTSALEPRICE", WORKDAY(F150,-1))/_xll.ciqfunctions.udf.CIQ("XBI", "IQ_LASTSALEPRICE", WORKDAY(F150,1)))</f>
        <v>8.2147538981762851E-3</v>
      </c>
      <c r="Q150">
        <f>LN(_xll.ciqfunctions.udf.CIQ("XBI", "IQ_LASTSALEPRICE", WORKDAY(F150,-1))/_xll.ciqfunctions.udf.CIQ("XBI", "IQ_LASTSALEPRICE", WORKDAY(F150,5)))</f>
        <v>2.037883271926047E-2</v>
      </c>
      <c r="R150">
        <f>_xll.ciqfunctions.udf.CIQ(A150, "IQ_SHORT_INTEREST_PERCENT", F150)</f>
        <v>10.98551</v>
      </c>
      <c r="S150">
        <f>_xll.ciqfunctions.udf.CIQ(A150, "IQ_BETA_1YR_RSQ", F150)</f>
        <v>2.5700000000000001E-2</v>
      </c>
      <c r="T150">
        <f>_xll.ciqfunctions.udf.CIQ(A150, "IQ_VALUE_TRADED", F150)</f>
        <v>3.1922999999999999</v>
      </c>
    </row>
    <row r="151" spans="1:20" x14ac:dyDescent="0.3">
      <c r="A151" t="s">
        <v>504</v>
      </c>
      <c r="B151">
        <v>9.09</v>
      </c>
      <c r="C151" t="s">
        <v>505</v>
      </c>
      <c r="D151" t="s">
        <v>506</v>
      </c>
      <c r="E151" t="s">
        <v>36</v>
      </c>
      <c r="F151" s="1">
        <v>45315</v>
      </c>
      <c r="G151" t="s">
        <v>507</v>
      </c>
      <c r="H151">
        <v>19</v>
      </c>
      <c r="I151">
        <f>_xll.ciqfunctions.udf.CIQ(A151, "IQ_MARKETCAP", F151)</f>
        <v>93.284059999999997</v>
      </c>
      <c r="J151">
        <f>_xll.ciqfunctions.udf.CIQ(A151, "IQ_PRICE_VOL_HIST_6MTH", F151)</f>
        <v>110.18170000000001</v>
      </c>
      <c r="K151">
        <f>_xll.ciqfunctions.udf.CIQ(A151, "IQ_LASTSALEPRICE", WORKDAY(F151,-1))</f>
        <v>11.64</v>
      </c>
      <c r="L151">
        <f>_xll.ciqfunctions.udf.CIQ(A151, "IQ_LASTSALEPRICE", F151)</f>
        <v>9.09</v>
      </c>
      <c r="M151">
        <f>_xll.ciqfunctions.udf.CIQ(A151, "IQ_LASTSALEPRICE", WORKDAY(F151,5))</f>
        <v>11.05</v>
      </c>
      <c r="N151">
        <f t="shared" si="4"/>
        <v>-0.24727253411390429</v>
      </c>
      <c r="O151">
        <f t="shared" si="5"/>
        <v>-5.201701433952987E-2</v>
      </c>
      <c r="P151">
        <f>LN(_xll.ciqfunctions.udf.CIQ("XBI", "IQ_LASTSALEPRICE", WORKDAY(F151,-1))/_xll.ciqfunctions.udf.CIQ("XBI", "IQ_LASTSALEPRICE", WORKDAY(F151,1)))</f>
        <v>8.2147538981762851E-3</v>
      </c>
      <c r="Q151">
        <f>LN(_xll.ciqfunctions.udf.CIQ("XBI", "IQ_LASTSALEPRICE", WORKDAY(F151,-1))/_xll.ciqfunctions.udf.CIQ("XBI", "IQ_LASTSALEPRICE", WORKDAY(F151,5)))</f>
        <v>2.037883271926047E-2</v>
      </c>
      <c r="R151">
        <f>_xll.ciqfunctions.udf.CIQ(A151, "IQ_SHORT_INTEREST_PERCENT", F151)</f>
        <v>9.55138</v>
      </c>
      <c r="S151">
        <f>_xll.ciqfunctions.udf.CIQ(A151, "IQ_BETA_1YR_RSQ", F151)</f>
        <v>2.4879999999999999E-2</v>
      </c>
      <c r="T151">
        <f>_xll.ciqfunctions.udf.CIQ(A151, "IQ_VALUE_TRADED", F151)</f>
        <v>11.255039999999999</v>
      </c>
    </row>
    <row r="152" spans="1:20" x14ac:dyDescent="0.3">
      <c r="A152" t="s">
        <v>508</v>
      </c>
      <c r="B152">
        <v>1.5</v>
      </c>
      <c r="C152" t="s">
        <v>509</v>
      </c>
      <c r="D152" t="s">
        <v>510</v>
      </c>
      <c r="E152" t="s">
        <v>22</v>
      </c>
      <c r="F152" s="1">
        <v>45316</v>
      </c>
      <c r="G152" t="s">
        <v>511</v>
      </c>
      <c r="H152">
        <v>2</v>
      </c>
      <c r="I152">
        <f>_xll.ciqfunctions.udf.CIQ(A152, "IQ_MARKETCAP", F152)</f>
        <v>4.7191000000000001</v>
      </c>
      <c r="J152">
        <f>_xll.ciqfunctions.udf.CIQ(A152, "IQ_PRICE_VOL_HIST_6MTH", F152)</f>
        <v>111.4355</v>
      </c>
      <c r="K152">
        <f>_xll.ciqfunctions.udf.CIQ(A152, "IQ_LASTSALEPRICE", WORKDAY(F152,-1))</f>
        <v>19.94999</v>
      </c>
      <c r="L152">
        <f>_xll.ciqfunctions.udf.CIQ(A152, "IQ_LASTSALEPRICE", F152)</f>
        <v>22.49999</v>
      </c>
      <c r="M152">
        <f>_xll.ciqfunctions.udf.CIQ(A152, "IQ_LASTSALEPRICE", WORKDAY(F152,5))</f>
        <v>22.19999</v>
      </c>
      <c r="N152">
        <f t="shared" si="4"/>
        <v>0.12028622268321719</v>
      </c>
      <c r="O152">
        <f t="shared" si="5"/>
        <v>0.10686319634506783</v>
      </c>
      <c r="P152">
        <f>LN(_xll.ciqfunctions.udf.CIQ("XBI", "IQ_LASTSALEPRICE", WORKDAY(F152,-1))/_xll.ciqfunctions.udf.CIQ("XBI", "IQ_LASTSALEPRICE", WORKDAY(F152,1)))</f>
        <v>-5.9104513955595345E-3</v>
      </c>
      <c r="Q152">
        <f>LN(_xll.ciqfunctions.udf.CIQ("XBI", "IQ_LASTSALEPRICE", WORKDAY(F152,-1))/_xll.ciqfunctions.udf.CIQ("XBI", "IQ_LASTSALEPRICE", WORKDAY(F152,5)))</f>
        <v>-1.4149310706988594E-2</v>
      </c>
      <c r="R152">
        <f>_xll.ciqfunctions.udf.CIQ(A152, "IQ_SHORT_INTEREST_PERCENT", F152)</f>
        <v>7.8283100000000001</v>
      </c>
      <c r="S152">
        <f>_xll.ciqfunctions.udf.CIQ(A152, "IQ_BETA_1YR_RSQ", F152)</f>
        <v>1.15E-2</v>
      </c>
      <c r="T152">
        <f>_xll.ciqfunctions.udf.CIQ(A152, "IQ_VALUE_TRADED", F152)</f>
        <v>4.1784100000000004</v>
      </c>
    </row>
    <row r="153" spans="1:20" x14ac:dyDescent="0.3">
      <c r="A153" t="s">
        <v>410</v>
      </c>
      <c r="B153">
        <v>3.25</v>
      </c>
      <c r="C153" t="s">
        <v>512</v>
      </c>
      <c r="D153" t="s">
        <v>513</v>
      </c>
      <c r="E153" t="s">
        <v>27</v>
      </c>
      <c r="F153" s="1">
        <v>45316</v>
      </c>
      <c r="G153" t="s">
        <v>514</v>
      </c>
      <c r="H153">
        <v>4</v>
      </c>
      <c r="I153">
        <f>_xll.ciqfunctions.udf.CIQ(A153, "IQ_MARKETCAP", F153)</f>
        <v>1.56131</v>
      </c>
      <c r="J153">
        <f>_xll.ciqfunctions.udf.CIQ(A153, "IQ_PRICE_VOL_HIST_6MTH", F153)</f>
        <v>197.3261</v>
      </c>
      <c r="K153">
        <f>_xll.ciqfunctions.udf.CIQ(A153, "IQ_LASTSALEPRICE", WORKDAY(F153,-1))</f>
        <v>3.65</v>
      </c>
      <c r="L153">
        <f>_xll.ciqfunctions.udf.CIQ(A153, "IQ_LASTSALEPRICE", F153)</f>
        <v>3.25</v>
      </c>
      <c r="M153">
        <f>_xll.ciqfunctions.udf.CIQ(A153, "IQ_LASTSALEPRICE", WORKDAY(F153,5))</f>
        <v>1.26</v>
      </c>
      <c r="N153">
        <f t="shared" si="4"/>
        <v>-0.11607217125275401</v>
      </c>
      <c r="O153">
        <f t="shared" si="5"/>
        <v>-1.0636154466310135</v>
      </c>
      <c r="P153">
        <f>LN(_xll.ciqfunctions.udf.CIQ("XBI", "IQ_LASTSALEPRICE", WORKDAY(F153,-1))/_xll.ciqfunctions.udf.CIQ("XBI", "IQ_LASTSALEPRICE", WORKDAY(F153,1)))</f>
        <v>-5.9104513955595345E-3</v>
      </c>
      <c r="Q153">
        <f>LN(_xll.ciqfunctions.udf.CIQ("XBI", "IQ_LASTSALEPRICE", WORKDAY(F153,-1))/_xll.ciqfunctions.udf.CIQ("XBI", "IQ_LASTSALEPRICE", WORKDAY(F153,5)))</f>
        <v>-1.4149310706988594E-2</v>
      </c>
      <c r="R153">
        <f>_xll.ciqfunctions.udf.CIQ(A153, "IQ_SHORT_INTEREST_PERCENT", F153)</f>
        <v>9.6494</v>
      </c>
      <c r="S153">
        <f>_xll.ciqfunctions.udf.CIQ(A153, "IQ_BETA_1YR_RSQ", F153)</f>
        <v>1.0399999999999999E-3</v>
      </c>
      <c r="T153">
        <f>_xll.ciqfunctions.udf.CIQ(A153, "IQ_VALUE_TRADED", F153)</f>
        <v>1.08064</v>
      </c>
    </row>
    <row r="154" spans="1:20" x14ac:dyDescent="0.3">
      <c r="A154" t="s">
        <v>515</v>
      </c>
      <c r="B154">
        <v>25.31</v>
      </c>
      <c r="C154" t="s">
        <v>516</v>
      </c>
      <c r="D154" t="s">
        <v>517</v>
      </c>
      <c r="E154" t="s">
        <v>197</v>
      </c>
      <c r="F154" s="1">
        <v>45316</v>
      </c>
      <c r="G154" t="s">
        <v>518</v>
      </c>
      <c r="H154">
        <v>63</v>
      </c>
      <c r="I154">
        <f>_xll.ciqfunctions.udf.CIQ(A154, "IQ_MARKETCAP", F154)</f>
        <v>1124.5978399999999</v>
      </c>
      <c r="J154">
        <f>_xll.ciqfunctions.udf.CIQ(A154, "IQ_PRICE_VOL_HIST_6MTH", F154)</f>
        <v>88.716099999999997</v>
      </c>
      <c r="K154">
        <f>_xll.ciqfunctions.udf.CIQ(A154, "IQ_LASTSALEPRICE", WORKDAY(F154,-1))</f>
        <v>17.02</v>
      </c>
      <c r="L154">
        <f>_xll.ciqfunctions.udf.CIQ(A154, "IQ_LASTSALEPRICE", F154)</f>
        <v>25.31</v>
      </c>
      <c r="M154">
        <f>_xll.ciqfunctions.udf.CIQ(A154, "IQ_LASTSALEPRICE", WORKDAY(F154,5))</f>
        <v>38</v>
      </c>
      <c r="N154">
        <f t="shared" si="4"/>
        <v>0.3968104514118046</v>
      </c>
      <c r="O154">
        <f t="shared" si="5"/>
        <v>0.80319703658115771</v>
      </c>
      <c r="P154">
        <f>LN(_xll.ciqfunctions.udf.CIQ("XBI", "IQ_LASTSALEPRICE", WORKDAY(F154,-1))/_xll.ciqfunctions.udf.CIQ("XBI", "IQ_LASTSALEPRICE", WORKDAY(F154,1)))</f>
        <v>-5.9104513955595345E-3</v>
      </c>
      <c r="Q154">
        <f>LN(_xll.ciqfunctions.udf.CIQ("XBI", "IQ_LASTSALEPRICE", WORKDAY(F154,-1))/_xll.ciqfunctions.udf.CIQ("XBI", "IQ_LASTSALEPRICE", WORKDAY(F154,5)))</f>
        <v>-1.4149310706988594E-2</v>
      </c>
      <c r="R154">
        <f>_xll.ciqfunctions.udf.CIQ(A154, "IQ_SHORT_INTEREST_PERCENT", F154)</f>
        <v>13.61666</v>
      </c>
      <c r="S154">
        <f>_xll.ciqfunctions.udf.CIQ(A154, "IQ_BETA_1YR_RSQ", F154)</f>
        <v>6.404E-2</v>
      </c>
      <c r="T154">
        <f>_xll.ciqfunctions.udf.CIQ(A154, "IQ_VALUE_TRADED", F154)</f>
        <v>291.27744999999999</v>
      </c>
    </row>
    <row r="155" spans="1:20" x14ac:dyDescent="0.3">
      <c r="A155" t="s">
        <v>519</v>
      </c>
      <c r="B155">
        <v>82.91</v>
      </c>
      <c r="C155" t="s">
        <v>520</v>
      </c>
      <c r="D155" t="s">
        <v>521</v>
      </c>
      <c r="E155" t="s">
        <v>76</v>
      </c>
      <c r="F155" s="1">
        <v>45316</v>
      </c>
      <c r="G155" t="s">
        <v>522</v>
      </c>
      <c r="H155">
        <v>119</v>
      </c>
      <c r="I155">
        <f>_xll.ciqfunctions.udf.CIQ(A155, "IQ_MARKETCAP", F155)</f>
        <v>8129.6278700000003</v>
      </c>
      <c r="J155">
        <f>_xll.ciqfunctions.udf.CIQ(A155, "IQ_PRICE_VOL_HIST_6MTH", F155)</f>
        <v>107.87949999999999</v>
      </c>
      <c r="K155">
        <f>_xll.ciqfunctions.udf.CIQ(A155, "IQ_LASTSALEPRICE", WORKDAY(F155,-1))</f>
        <v>81.77</v>
      </c>
      <c r="L155">
        <f>_xll.ciqfunctions.udf.CIQ(A155, "IQ_LASTSALEPRICE", F155)</f>
        <v>82.91</v>
      </c>
      <c r="M155">
        <f>_xll.ciqfunctions.udf.CIQ(A155, "IQ_LASTSALEPRICE", WORKDAY(F155,5))</f>
        <v>81.25</v>
      </c>
      <c r="N155">
        <f t="shared" si="4"/>
        <v>1.3845253954241488E-2</v>
      </c>
      <c r="O155">
        <f t="shared" si="5"/>
        <v>-6.379606964038928E-3</v>
      </c>
      <c r="P155">
        <f>LN(_xll.ciqfunctions.udf.CIQ("XBI", "IQ_LASTSALEPRICE", WORKDAY(F155,-1))/_xll.ciqfunctions.udf.CIQ("XBI", "IQ_LASTSALEPRICE", WORKDAY(F155,1)))</f>
        <v>-5.9104513955595345E-3</v>
      </c>
      <c r="Q155">
        <f>LN(_xll.ciqfunctions.udf.CIQ("XBI", "IQ_LASTSALEPRICE", WORKDAY(F155,-1))/_xll.ciqfunctions.udf.CIQ("XBI", "IQ_LASTSALEPRICE", WORKDAY(F155,5)))</f>
        <v>-1.4149310706988594E-2</v>
      </c>
      <c r="R155">
        <f>_xll.ciqfunctions.udf.CIQ(A155, "IQ_SHORT_INTEREST_PERCENT", F155)</f>
        <v>14.02121</v>
      </c>
      <c r="S155">
        <f>_xll.ciqfunctions.udf.CIQ(A155, "IQ_BETA_1YR_RSQ", F155)</f>
        <v>2.1170000000000001E-2</v>
      </c>
      <c r="T155">
        <f>_xll.ciqfunctions.udf.CIQ(A155, "IQ_VALUE_TRADED", F155)</f>
        <v>144.08456000000001</v>
      </c>
    </row>
    <row r="156" spans="1:20" x14ac:dyDescent="0.3">
      <c r="A156" t="s">
        <v>523</v>
      </c>
      <c r="B156">
        <v>22.09</v>
      </c>
      <c r="C156" t="s">
        <v>524</v>
      </c>
      <c r="D156" t="s">
        <v>525</v>
      </c>
      <c r="E156" t="s">
        <v>36</v>
      </c>
      <c r="F156" s="1">
        <v>45316</v>
      </c>
      <c r="G156" t="s">
        <v>526</v>
      </c>
      <c r="H156">
        <v>269</v>
      </c>
      <c r="I156">
        <f>_xll.ciqfunctions.udf.CIQ(A156, "IQ_MARKETCAP", F156)</f>
        <v>6869.4181600000002</v>
      </c>
      <c r="J156">
        <f>_xll.ciqfunctions.udf.CIQ(A156, "IQ_PRICE_VOL_HIST_6MTH", F156)</f>
        <v>28.865300000000001</v>
      </c>
      <c r="K156">
        <f>_xll.ciqfunctions.udf.CIQ(A156, "IQ_LASTSALEPRICE", WORKDAY(F156,-1))</f>
        <v>22.11</v>
      </c>
      <c r="L156">
        <f>_xll.ciqfunctions.udf.CIQ(A156, "IQ_LASTSALEPRICE", F156)</f>
        <v>22.09</v>
      </c>
      <c r="M156">
        <f>_xll.ciqfunctions.udf.CIQ(A156, "IQ_LASTSALEPRICE", WORKDAY(F156,5))</f>
        <v>21.75</v>
      </c>
      <c r="N156">
        <f t="shared" si="4"/>
        <v>-9.0497743732911732E-4</v>
      </c>
      <c r="O156">
        <f t="shared" si="5"/>
        <v>-1.6416237334661753E-2</v>
      </c>
      <c r="P156">
        <f>LN(_xll.ciqfunctions.udf.CIQ("XBI", "IQ_LASTSALEPRICE", WORKDAY(F156,-1))/_xll.ciqfunctions.udf.CIQ("XBI", "IQ_LASTSALEPRICE", WORKDAY(F156,1)))</f>
        <v>-5.9104513955595345E-3</v>
      </c>
      <c r="Q156">
        <f>LN(_xll.ciqfunctions.udf.CIQ("XBI", "IQ_LASTSALEPRICE", WORKDAY(F156,-1))/_xll.ciqfunctions.udf.CIQ("XBI", "IQ_LASTSALEPRICE", WORKDAY(F156,5)))</f>
        <v>-1.4149310706988594E-2</v>
      </c>
      <c r="R156">
        <f>_xll.ciqfunctions.udf.CIQ(A156, "IQ_SHORT_INTEREST_PERCENT", F156)</f>
        <v>2.7538200000000002</v>
      </c>
      <c r="S156">
        <f>_xll.ciqfunctions.udf.CIQ(A156, "IQ_BETA_1YR_RSQ", F156)</f>
        <v>0.12204</v>
      </c>
      <c r="T156">
        <f>_xll.ciqfunctions.udf.CIQ(A156, "IQ_VALUE_TRADED", F156)</f>
        <v>66.65898</v>
      </c>
    </row>
    <row r="157" spans="1:20" x14ac:dyDescent="0.3">
      <c r="A157" t="s">
        <v>527</v>
      </c>
      <c r="B157">
        <v>27.99</v>
      </c>
      <c r="C157" t="s">
        <v>524</v>
      </c>
      <c r="D157" t="s">
        <v>525</v>
      </c>
      <c r="E157" t="s">
        <v>36</v>
      </c>
      <c r="F157" s="1">
        <v>45316</v>
      </c>
      <c r="G157" t="s">
        <v>526</v>
      </c>
      <c r="H157">
        <v>328</v>
      </c>
      <c r="I157">
        <f>_xll.ciqfunctions.udf.CIQ(A157, "IQ_MARKETCAP", F157)</f>
        <v>8848.7084699999996</v>
      </c>
      <c r="J157">
        <f>_xll.ciqfunctions.udf.CIQ(A157, "IQ_PRICE_VOL_HIST_6MTH", F157)</f>
        <v>0</v>
      </c>
      <c r="K157">
        <f>_xll.ciqfunctions.udf.CIQ(A157, "IQ_LASTSALEPRICE", WORKDAY(F157,-1))</f>
        <v>0</v>
      </c>
      <c r="L157">
        <f>_xll.ciqfunctions.udf.CIQ(A157, "IQ_LASTSALEPRICE", F157)</f>
        <v>0</v>
      </c>
      <c r="M157">
        <f>_xll.ciqfunctions.udf.CIQ(A157, "IQ_LASTSALEPRICE", WORKDAY(F157,5))</f>
        <v>0</v>
      </c>
      <c r="N157" t="e">
        <f t="shared" si="4"/>
        <v>#DIV/0!</v>
      </c>
      <c r="O157" t="e">
        <f t="shared" si="5"/>
        <v>#DIV/0!</v>
      </c>
      <c r="P157">
        <f>LN(_xll.ciqfunctions.udf.CIQ("XBI", "IQ_LASTSALEPRICE", WORKDAY(F157,-1))/_xll.ciqfunctions.udf.CIQ("XBI", "IQ_LASTSALEPRICE", WORKDAY(F157,1)))</f>
        <v>-5.9104513955595345E-3</v>
      </c>
      <c r="Q157">
        <f>LN(_xll.ciqfunctions.udf.CIQ("XBI", "IQ_LASTSALEPRICE", WORKDAY(F157,-1))/_xll.ciqfunctions.udf.CIQ("XBI", "IQ_LASTSALEPRICE", WORKDAY(F157,5)))</f>
        <v>-1.4149310706988594E-2</v>
      </c>
      <c r="R157">
        <f>_xll.ciqfunctions.udf.CIQ(A157, "IQ_SHORT_INTEREST_PERCENT", F157)</f>
        <v>0</v>
      </c>
      <c r="S157">
        <f>_xll.ciqfunctions.udf.CIQ(A157, "IQ_BETA_1YR_RSQ", F157)</f>
        <v>0</v>
      </c>
      <c r="T157">
        <f>_xll.ciqfunctions.udf.CIQ(A157, "IQ_VALUE_TRADED", F157)</f>
        <v>0</v>
      </c>
    </row>
    <row r="158" spans="1:20" x14ac:dyDescent="0.3">
      <c r="A158" t="s">
        <v>528</v>
      </c>
      <c r="B158">
        <v>14.91</v>
      </c>
      <c r="C158" t="s">
        <v>529</v>
      </c>
      <c r="D158" t="s">
        <v>183</v>
      </c>
      <c r="E158" t="s">
        <v>89</v>
      </c>
      <c r="F158" s="1">
        <v>45316</v>
      </c>
      <c r="G158" t="s">
        <v>530</v>
      </c>
      <c r="H158">
        <v>96</v>
      </c>
      <c r="I158">
        <f>_xll.ciqfunctions.udf.CIQ(A158, "IQ_MARKETCAP", F158)</f>
        <v>1075.65598</v>
      </c>
      <c r="J158">
        <f>_xll.ciqfunctions.udf.CIQ(A158, "IQ_PRICE_VOL_HIST_6MTH", F158)</f>
        <v>83.503100000000003</v>
      </c>
      <c r="K158">
        <f>_xll.ciqfunctions.udf.CIQ(A158, "IQ_LASTSALEPRICE", WORKDAY(F158,-1))</f>
        <v>14.74</v>
      </c>
      <c r="L158">
        <f>_xll.ciqfunctions.udf.CIQ(A158, "IQ_LASTSALEPRICE", F158)</f>
        <v>14.91</v>
      </c>
      <c r="M158">
        <f>_xll.ciqfunctions.udf.CIQ(A158, "IQ_LASTSALEPRICE", WORKDAY(F158,5))</f>
        <v>14.94</v>
      </c>
      <c r="N158">
        <f t="shared" si="4"/>
        <v>1.1467242015456508E-2</v>
      </c>
      <c r="O158">
        <f t="shared" si="5"/>
        <v>1.3477292943480641E-2</v>
      </c>
      <c r="P158">
        <f>LN(_xll.ciqfunctions.udf.CIQ("XBI", "IQ_LASTSALEPRICE", WORKDAY(F158,-1))/_xll.ciqfunctions.udf.CIQ("XBI", "IQ_LASTSALEPRICE", WORKDAY(F158,1)))</f>
        <v>-5.9104513955595345E-3</v>
      </c>
      <c r="Q158">
        <f>LN(_xll.ciqfunctions.udf.CIQ("XBI", "IQ_LASTSALEPRICE", WORKDAY(F158,-1))/_xll.ciqfunctions.udf.CIQ("XBI", "IQ_LASTSALEPRICE", WORKDAY(F158,5)))</f>
        <v>-1.4149310706988594E-2</v>
      </c>
      <c r="R158">
        <f>_xll.ciqfunctions.udf.CIQ(A158, "IQ_SHORT_INTEREST_PERCENT", F158)</f>
        <v>16.015519999999999</v>
      </c>
      <c r="S158">
        <f>_xll.ciqfunctions.udf.CIQ(A158, "IQ_BETA_1YR_RSQ", F158)</f>
        <v>1.525E-2</v>
      </c>
      <c r="T158">
        <f>_xll.ciqfunctions.udf.CIQ(A158, "IQ_VALUE_TRADED", F158)</f>
        <v>7.9255800000000001</v>
      </c>
    </row>
    <row r="159" spans="1:20" x14ac:dyDescent="0.3">
      <c r="A159" t="s">
        <v>531</v>
      </c>
      <c r="B159">
        <v>5.0999999999999996</v>
      </c>
      <c r="C159" t="s">
        <v>532</v>
      </c>
      <c r="D159" t="s">
        <v>533</v>
      </c>
      <c r="E159" t="s">
        <v>46</v>
      </c>
      <c r="F159" s="1">
        <v>45316</v>
      </c>
      <c r="G159" t="s">
        <v>534</v>
      </c>
      <c r="H159">
        <v>50</v>
      </c>
      <c r="I159">
        <f>_xll.ciqfunctions.udf.CIQ(A159, "IQ_MARKETCAP", F159)</f>
        <v>6.2815500000000002</v>
      </c>
      <c r="J159">
        <f>_xll.ciqfunctions.udf.CIQ(A159, "IQ_PRICE_VOL_HIST_6MTH", F159)</f>
        <v>232.81</v>
      </c>
      <c r="K159">
        <f>_xll.ciqfunctions.udf.CIQ(A159, "IQ_LASTSALEPRICE", WORKDAY(F159,-1))</f>
        <v>2.0499999999999998</v>
      </c>
      <c r="L159">
        <f>_xll.ciqfunctions.udf.CIQ(A159, "IQ_LASTSALEPRICE", F159)</f>
        <v>5.0999999999999996</v>
      </c>
      <c r="M159">
        <f>_xll.ciqfunctions.udf.CIQ(A159, "IQ_LASTSALEPRICE", WORKDAY(F159,5))</f>
        <v>2.34</v>
      </c>
      <c r="N159">
        <f t="shared" si="4"/>
        <v>0.91140074657996328</v>
      </c>
      <c r="O159">
        <f t="shared" si="5"/>
        <v>0.13231113621929336</v>
      </c>
      <c r="P159">
        <f>LN(_xll.ciqfunctions.udf.CIQ("XBI", "IQ_LASTSALEPRICE", WORKDAY(F159,-1))/_xll.ciqfunctions.udf.CIQ("XBI", "IQ_LASTSALEPRICE", WORKDAY(F159,1)))</f>
        <v>-5.9104513955595345E-3</v>
      </c>
      <c r="Q159">
        <f>LN(_xll.ciqfunctions.udf.CIQ("XBI", "IQ_LASTSALEPRICE", WORKDAY(F159,-1))/_xll.ciqfunctions.udf.CIQ("XBI", "IQ_LASTSALEPRICE", WORKDAY(F159,5)))</f>
        <v>-1.4149310706988594E-2</v>
      </c>
      <c r="R159">
        <f>_xll.ciqfunctions.udf.CIQ(A159, "IQ_SHORT_INTEREST_PERCENT", F159)</f>
        <v>0.72189000000000003</v>
      </c>
      <c r="S159">
        <f>_xll.ciqfunctions.udf.CIQ(A159, "IQ_BETA_1YR_RSQ", F159)</f>
        <v>2.3869999999999999E-2</v>
      </c>
      <c r="T159">
        <f>_xll.ciqfunctions.udf.CIQ(A159, "IQ_VALUE_TRADED", F159)</f>
        <v>377.50898000000001</v>
      </c>
    </row>
    <row r="160" spans="1:20" x14ac:dyDescent="0.3">
      <c r="A160" t="s">
        <v>535</v>
      </c>
      <c r="B160">
        <v>6.8</v>
      </c>
      <c r="C160" t="s">
        <v>536</v>
      </c>
      <c r="D160" t="s">
        <v>537</v>
      </c>
      <c r="E160" t="s">
        <v>17</v>
      </c>
      <c r="F160" s="1">
        <v>45316</v>
      </c>
      <c r="G160" t="s">
        <v>538</v>
      </c>
      <c r="H160">
        <v>47</v>
      </c>
      <c r="I160">
        <f>_xll.ciqfunctions.udf.CIQ(A160, "IQ_MARKETCAP", F160)</f>
        <v>300.1662</v>
      </c>
      <c r="J160">
        <f>_xll.ciqfunctions.udf.CIQ(A160, "IQ_PRICE_VOL_HIST_6MTH", F160)</f>
        <v>0</v>
      </c>
      <c r="K160">
        <f>_xll.ciqfunctions.udf.CIQ(A160, "IQ_LASTSALEPRICE", WORKDAY(F160,-1))</f>
        <v>0</v>
      </c>
      <c r="L160">
        <f>_xll.ciqfunctions.udf.CIQ(A160, "IQ_LASTSALEPRICE", F160)</f>
        <v>0</v>
      </c>
      <c r="M160">
        <f>_xll.ciqfunctions.udf.CIQ(A160, "IQ_LASTSALEPRICE", WORKDAY(F160,5))</f>
        <v>0</v>
      </c>
      <c r="N160" t="e">
        <f t="shared" si="4"/>
        <v>#DIV/0!</v>
      </c>
      <c r="O160" t="e">
        <f t="shared" si="5"/>
        <v>#DIV/0!</v>
      </c>
      <c r="P160">
        <f>LN(_xll.ciqfunctions.udf.CIQ("XBI", "IQ_LASTSALEPRICE", WORKDAY(F160,-1))/_xll.ciqfunctions.udf.CIQ("XBI", "IQ_LASTSALEPRICE", WORKDAY(F160,1)))</f>
        <v>-5.9104513955595345E-3</v>
      </c>
      <c r="Q160">
        <f>LN(_xll.ciqfunctions.udf.CIQ("XBI", "IQ_LASTSALEPRICE", WORKDAY(F160,-1))/_xll.ciqfunctions.udf.CIQ("XBI", "IQ_LASTSALEPRICE", WORKDAY(F160,5)))</f>
        <v>-1.4149310706988594E-2</v>
      </c>
      <c r="R160">
        <f>_xll.ciqfunctions.udf.CIQ(A160, "IQ_SHORT_INTEREST_PERCENT", F160)</f>
        <v>0</v>
      </c>
      <c r="S160">
        <f>_xll.ciqfunctions.udf.CIQ(A160, "IQ_BETA_1YR_RSQ", F160)</f>
        <v>0</v>
      </c>
      <c r="T160">
        <f>_xll.ciqfunctions.udf.CIQ(A160, "IQ_VALUE_TRADED", F160)</f>
        <v>0</v>
      </c>
    </row>
    <row r="161" spans="1:20" x14ac:dyDescent="0.3">
      <c r="A161" t="s">
        <v>385</v>
      </c>
      <c r="B161">
        <v>948.87</v>
      </c>
      <c r="C161" t="s">
        <v>539</v>
      </c>
      <c r="D161" t="s">
        <v>540</v>
      </c>
      <c r="E161" t="s">
        <v>160</v>
      </c>
      <c r="F161" s="1">
        <v>45316</v>
      </c>
      <c r="G161" t="s">
        <v>541</v>
      </c>
      <c r="H161">
        <v>105</v>
      </c>
      <c r="I161">
        <f>_xll.ciqfunctions.udf.CIQ(A161, "IQ_MARKETCAP", F161)</f>
        <v>100909.46271000001</v>
      </c>
      <c r="J161">
        <f>_xll.ciqfunctions.udf.CIQ(A161, "IQ_PRICE_VOL_HIST_6MTH", F161)</f>
        <v>18.714400000000001</v>
      </c>
      <c r="K161">
        <f>_xll.ciqfunctions.udf.CIQ(A161, "IQ_LASTSALEPRICE", WORKDAY(F161,-1))</f>
        <v>948.24</v>
      </c>
      <c r="L161">
        <f>_xll.ciqfunctions.udf.CIQ(A161, "IQ_LASTSALEPRICE", F161)</f>
        <v>948.87</v>
      </c>
      <c r="M161">
        <f>_xll.ciqfunctions.udf.CIQ(A161, "IQ_LASTSALEPRICE", WORKDAY(F161,5))</f>
        <v>957.78</v>
      </c>
      <c r="N161">
        <f t="shared" si="4"/>
        <v>6.641681538325806E-4</v>
      </c>
      <c r="O161">
        <f t="shared" si="5"/>
        <v>1.0010471733197508E-2</v>
      </c>
      <c r="P161">
        <f>LN(_xll.ciqfunctions.udf.CIQ("XBI", "IQ_LASTSALEPRICE", WORKDAY(F161,-1))/_xll.ciqfunctions.udf.CIQ("XBI", "IQ_LASTSALEPRICE", WORKDAY(F161,1)))</f>
        <v>-5.9104513955595345E-3</v>
      </c>
      <c r="Q161">
        <f>LN(_xll.ciqfunctions.udf.CIQ("XBI", "IQ_LASTSALEPRICE", WORKDAY(F161,-1))/_xll.ciqfunctions.udf.CIQ("XBI", "IQ_LASTSALEPRICE", WORKDAY(F161,5)))</f>
        <v>-1.4149310706988594E-2</v>
      </c>
      <c r="R161">
        <f>_xll.ciqfunctions.udf.CIQ(A161, "IQ_SHORT_INTEREST_PERCENT", F161)</f>
        <v>1.0036400000000001</v>
      </c>
      <c r="S161">
        <f>_xll.ciqfunctions.udf.CIQ(A161, "IQ_BETA_1YR_RSQ", F161)</f>
        <v>0.14521999999999999</v>
      </c>
      <c r="T161">
        <f>_xll.ciqfunctions.udf.CIQ(A161, "IQ_VALUE_TRADED", F161)</f>
        <v>374.03127000000001</v>
      </c>
    </row>
    <row r="162" spans="1:20" x14ac:dyDescent="0.3">
      <c r="A162" t="s">
        <v>542</v>
      </c>
      <c r="B162">
        <v>47.88</v>
      </c>
      <c r="C162" t="s">
        <v>539</v>
      </c>
      <c r="D162" t="s">
        <v>540</v>
      </c>
      <c r="E162" t="s">
        <v>160</v>
      </c>
      <c r="F162" s="1">
        <v>45316</v>
      </c>
      <c r="G162" t="s">
        <v>541</v>
      </c>
      <c r="I162">
        <f>_xll.ciqfunctions.udf.CIQ(A162, "IQ_MARKETCAP", F162)</f>
        <v>114957.32702</v>
      </c>
      <c r="J162">
        <f>_xll.ciqfunctions.udf.CIQ(A162, "IQ_PRICE_VOL_HIST_6MTH", F162)</f>
        <v>34.4925</v>
      </c>
      <c r="K162">
        <f>_xll.ciqfunctions.udf.CIQ(A162, "IQ_LASTSALEPRICE", WORKDAY(F162,-1))</f>
        <v>49.89</v>
      </c>
      <c r="L162">
        <f>_xll.ciqfunctions.udf.CIQ(A162, "IQ_LASTSALEPRICE", F162)</f>
        <v>49.88</v>
      </c>
      <c r="M162">
        <f>_xll.ciqfunctions.udf.CIQ(A162, "IQ_LASTSALEPRICE", WORKDAY(F162,5))</f>
        <v>48.41</v>
      </c>
      <c r="N162">
        <f t="shared" si="4"/>
        <v>-2.0046106111027684E-4</v>
      </c>
      <c r="O162">
        <f t="shared" si="5"/>
        <v>-3.0114177921343039E-2</v>
      </c>
      <c r="P162">
        <f>LN(_xll.ciqfunctions.udf.CIQ("XBI", "IQ_LASTSALEPRICE", WORKDAY(F162,-1))/_xll.ciqfunctions.udf.CIQ("XBI", "IQ_LASTSALEPRICE", WORKDAY(F162,1)))</f>
        <v>-5.9104513955595345E-3</v>
      </c>
      <c r="Q162">
        <f>LN(_xll.ciqfunctions.udf.CIQ("XBI", "IQ_LASTSALEPRICE", WORKDAY(F162,-1))/_xll.ciqfunctions.udf.CIQ("XBI", "IQ_LASTSALEPRICE", WORKDAY(F162,5)))</f>
        <v>-1.4149310706988594E-2</v>
      </c>
      <c r="R162">
        <f>_xll.ciqfunctions.udf.CIQ(A162, "IQ_SHORT_INTEREST_PERCENT", F162)</f>
        <v>0</v>
      </c>
      <c r="S162">
        <f>_xll.ciqfunctions.udf.CIQ(A162, "IQ_BETA_1YR_RSQ", F162)</f>
        <v>0</v>
      </c>
      <c r="T162">
        <f>_xll.ciqfunctions.udf.CIQ(A162, "IQ_VALUE_TRADED", F162)</f>
        <v>143.86749</v>
      </c>
    </row>
    <row r="163" spans="1:20" x14ac:dyDescent="0.3">
      <c r="A163" t="s">
        <v>203</v>
      </c>
      <c r="B163">
        <v>49.04</v>
      </c>
      <c r="C163" t="s">
        <v>543</v>
      </c>
      <c r="D163" t="s">
        <v>544</v>
      </c>
      <c r="E163" t="s">
        <v>22</v>
      </c>
      <c r="F163" s="1">
        <v>45316</v>
      </c>
      <c r="G163" t="s">
        <v>545</v>
      </c>
      <c r="I163">
        <f>_xll.ciqfunctions.udf.CIQ(A163, "IQ_MARKETCAP", F163)</f>
        <v>100944.33158</v>
      </c>
      <c r="J163">
        <f>_xll.ciqfunctions.udf.CIQ(A163, "IQ_PRICE_VOL_HIST_6MTH", F163)</f>
        <v>21.253699999999998</v>
      </c>
      <c r="K163">
        <f>_xll.ciqfunctions.udf.CIQ(A163, "IQ_LASTSALEPRICE", WORKDAY(F163,-1))</f>
        <v>50.24</v>
      </c>
      <c r="L163">
        <f>_xll.ciqfunctions.udf.CIQ(A163, "IQ_LASTSALEPRICE", F163)</f>
        <v>49.61</v>
      </c>
      <c r="M163">
        <f>_xll.ciqfunctions.udf.CIQ(A163, "IQ_LASTSALEPRICE", WORKDAY(F163,5))</f>
        <v>48.67</v>
      </c>
      <c r="N163">
        <f t="shared" si="4"/>
        <v>-1.2619095846985787E-2</v>
      </c>
      <c r="O163">
        <f t="shared" si="5"/>
        <v>-3.1748698314580298E-2</v>
      </c>
      <c r="P163">
        <f>LN(_xll.ciqfunctions.udf.CIQ("XBI", "IQ_LASTSALEPRICE", WORKDAY(F163,-1))/_xll.ciqfunctions.udf.CIQ("XBI", "IQ_LASTSALEPRICE", WORKDAY(F163,1)))</f>
        <v>-5.9104513955595345E-3</v>
      </c>
      <c r="Q163">
        <f>LN(_xll.ciqfunctions.udf.CIQ("XBI", "IQ_LASTSALEPRICE", WORKDAY(F163,-1))/_xll.ciqfunctions.udf.CIQ("XBI", "IQ_LASTSALEPRICE", WORKDAY(F163,5)))</f>
        <v>-1.4149310706988594E-2</v>
      </c>
      <c r="R163">
        <f>_xll.ciqfunctions.udf.CIQ(A163, "IQ_SHORT_INTEREST_PERCENT", F163)</f>
        <v>1.4343699999999999</v>
      </c>
      <c r="S163">
        <f>_xll.ciqfunctions.udf.CIQ(A163, "IQ_BETA_1YR_RSQ", F163)</f>
        <v>0.11558</v>
      </c>
      <c r="T163">
        <f>_xll.ciqfunctions.udf.CIQ(A163, "IQ_VALUE_TRADED", F163)</f>
        <v>875.10258999999996</v>
      </c>
    </row>
    <row r="164" spans="1:20" x14ac:dyDescent="0.3">
      <c r="A164" t="s">
        <v>288</v>
      </c>
      <c r="B164">
        <v>29.49</v>
      </c>
      <c r="C164" t="s">
        <v>481</v>
      </c>
      <c r="D164" t="s">
        <v>482</v>
      </c>
      <c r="E164" t="s">
        <v>22</v>
      </c>
      <c r="F164" s="1">
        <v>45317</v>
      </c>
      <c r="G164" t="s">
        <v>546</v>
      </c>
      <c r="H164">
        <v>12</v>
      </c>
      <c r="I164">
        <f>_xll.ciqfunctions.udf.CIQ(A164, "IQ_MARKETCAP", F164)</f>
        <v>130.45441</v>
      </c>
      <c r="J164">
        <f>_xll.ciqfunctions.udf.CIQ(A164, "IQ_PRICE_VOL_HIST_6MTH", F164)</f>
        <v>202.9898</v>
      </c>
      <c r="K164">
        <f>_xll.ciqfunctions.udf.CIQ(A164, "IQ_LASTSALEPRICE", WORKDAY(F164,-1))</f>
        <v>8.44</v>
      </c>
      <c r="L164">
        <f>_xll.ciqfunctions.udf.CIQ(A164, "IQ_LASTSALEPRICE", F164)</f>
        <v>29.49</v>
      </c>
      <c r="M164">
        <f>_xll.ciqfunctions.udf.CIQ(A164, "IQ_LASTSALEPRICE", WORKDAY(F164,5))</f>
        <v>26.72</v>
      </c>
      <c r="N164">
        <f t="shared" si="4"/>
        <v>1.251068914219319</v>
      </c>
      <c r="O164">
        <f t="shared" si="5"/>
        <v>1.1524300400605794</v>
      </c>
      <c r="P164">
        <f>LN(_xll.ciqfunctions.udf.CIQ("XBI", "IQ_LASTSALEPRICE", WORKDAY(F164,-1))/_xll.ciqfunctions.udf.CIQ("XBI", "IQ_LASTSALEPRICE", WORKDAY(F164,1)))</f>
        <v>-2.5656733593363696E-2</v>
      </c>
      <c r="Q164">
        <f>LN(_xll.ciqfunctions.udf.CIQ("XBI", "IQ_LASTSALEPRICE", WORKDAY(F164,-1))/_xll.ciqfunctions.udf.CIQ("XBI", "IQ_LASTSALEPRICE", WORKDAY(F164,5)))</f>
        <v>6.0067047493005798E-3</v>
      </c>
      <c r="R164">
        <f>_xll.ciqfunctions.udf.CIQ(A164, "IQ_SHORT_INTEREST_PERCENT", F164)</f>
        <v>0.63400000000000001</v>
      </c>
      <c r="S164">
        <f>_xll.ciqfunctions.udf.CIQ(A164, "IQ_BETA_1YR_RSQ", F164)</f>
        <v>1.8370000000000001E-2</v>
      </c>
      <c r="T164">
        <f>_xll.ciqfunctions.udf.CIQ(A164, "IQ_VALUE_TRADED", F164)</f>
        <v>981.74354000000005</v>
      </c>
    </row>
    <row r="165" spans="1:20" x14ac:dyDescent="0.3">
      <c r="A165" t="s">
        <v>130</v>
      </c>
      <c r="B165">
        <v>119.33</v>
      </c>
      <c r="C165" t="s">
        <v>547</v>
      </c>
      <c r="D165" t="s">
        <v>548</v>
      </c>
      <c r="E165" t="s">
        <v>36</v>
      </c>
      <c r="F165" s="1">
        <v>45317</v>
      </c>
      <c r="G165" t="s">
        <v>549</v>
      </c>
      <c r="I165">
        <f>_xll.ciqfunctions.udf.CIQ(A165, "IQ_MARKETCAP", F165)</f>
        <v>306160.66901000001</v>
      </c>
      <c r="J165">
        <f>_xll.ciqfunctions.udf.CIQ(A165, "IQ_PRICE_VOL_HIST_6MTH", F165)</f>
        <v>16.706299999999999</v>
      </c>
      <c r="K165">
        <f>_xll.ciqfunctions.udf.CIQ(A165, "IQ_LASTSALEPRICE", WORKDAY(F165,-1))</f>
        <v>120.13</v>
      </c>
      <c r="L165">
        <f>_xll.ciqfunctions.udf.CIQ(A165, "IQ_LASTSALEPRICE", F165)</f>
        <v>120.82</v>
      </c>
      <c r="M165">
        <f>_xll.ciqfunctions.udf.CIQ(A165, "IQ_LASTSALEPRICE", WORKDAY(F165,5))</f>
        <v>126.41</v>
      </c>
      <c r="N165">
        <f t="shared" si="4"/>
        <v>5.727344977311497E-3</v>
      </c>
      <c r="O165">
        <f t="shared" si="5"/>
        <v>5.095610277418243E-2</v>
      </c>
      <c r="P165">
        <f>LN(_xll.ciqfunctions.udf.CIQ("XBI", "IQ_LASTSALEPRICE", WORKDAY(F165,-1))/_xll.ciqfunctions.udf.CIQ("XBI", "IQ_LASTSALEPRICE", WORKDAY(F165,1)))</f>
        <v>-2.5656733593363696E-2</v>
      </c>
      <c r="Q165">
        <f>LN(_xll.ciqfunctions.udf.CIQ("XBI", "IQ_LASTSALEPRICE", WORKDAY(F165,-1))/_xll.ciqfunctions.udf.CIQ("XBI", "IQ_LASTSALEPRICE", WORKDAY(F165,5)))</f>
        <v>6.0067047493005798E-3</v>
      </c>
      <c r="R165">
        <f>_xll.ciqfunctions.udf.CIQ(A165, "IQ_SHORT_INTEREST_PERCENT", F165)</f>
        <v>0.82138999999999995</v>
      </c>
      <c r="S165">
        <f>_xll.ciqfunctions.udf.CIQ(A165, "IQ_BETA_1YR_RSQ", F165)</f>
        <v>1.027E-2</v>
      </c>
      <c r="T165">
        <f>_xll.ciqfunctions.udf.CIQ(A165, "IQ_VALUE_TRADED", F165)</f>
        <v>1002.84273</v>
      </c>
    </row>
    <row r="166" spans="1:20" x14ac:dyDescent="0.3">
      <c r="A166" t="s">
        <v>203</v>
      </c>
      <c r="B166">
        <v>49.13</v>
      </c>
      <c r="C166" t="s">
        <v>550</v>
      </c>
      <c r="D166" t="s">
        <v>551</v>
      </c>
      <c r="E166" t="s">
        <v>36</v>
      </c>
      <c r="F166" s="1">
        <v>45318</v>
      </c>
      <c r="G166" t="s">
        <v>552</v>
      </c>
      <c r="I166">
        <f>_xll.ciqfunctions.udf.CIQ(A166, "IQ_MARKETCAP", F166)</f>
        <v>101127.45978</v>
      </c>
      <c r="J166">
        <f>_xll.ciqfunctions.udf.CIQ(A166, "IQ_PRICE_VOL_HIST_6MTH", F166)</f>
        <v>21.255199999999999</v>
      </c>
      <c r="K166">
        <f>_xll.ciqfunctions.udf.CIQ(A166, "IQ_LASTSALEPRICE", WORKDAY(F166,-1))</f>
        <v>49.7</v>
      </c>
      <c r="L166">
        <f>_xll.ciqfunctions.udf.CIQ(A166, "IQ_LASTSALEPRICE", F166)</f>
        <v>49.7</v>
      </c>
      <c r="M166">
        <f>_xll.ciqfunctions.udf.CIQ(A166, "IQ_LASTSALEPRICE", WORKDAY(F166,5))</f>
        <v>48.71</v>
      </c>
      <c r="N166">
        <f t="shared" si="4"/>
        <v>0</v>
      </c>
      <c r="O166">
        <f t="shared" si="5"/>
        <v>-2.0120585284131805E-2</v>
      </c>
      <c r="P166">
        <f>LN(_xll.ciqfunctions.udf.CIQ("XBI", "IQ_LASTSALEPRICE", WORKDAY(F166,-1))/_xll.ciqfunctions.udf.CIQ("XBI", "IQ_LASTSALEPRICE", WORKDAY(F166,1)))</f>
        <v>-2.8598910662000643E-2</v>
      </c>
      <c r="Q166">
        <f>LN(_xll.ciqfunctions.udf.CIQ("XBI", "IQ_LASTSALEPRICE", WORKDAY(F166,-1))/_xll.ciqfunctions.udf.CIQ("XBI", "IQ_LASTSALEPRICE", WORKDAY(F166,5)))</f>
        <v>3.0645276806637953E-3</v>
      </c>
      <c r="R166">
        <f>_xll.ciqfunctions.udf.CIQ(A166, "IQ_SHORT_INTEREST_PERCENT", F166)</f>
        <v>1.4343699999999999</v>
      </c>
      <c r="S166">
        <f>_xll.ciqfunctions.udf.CIQ(A166, "IQ_BETA_1YR_RSQ", F166)</f>
        <v>0.12831000000000001</v>
      </c>
      <c r="T166">
        <f>_xll.ciqfunctions.udf.CIQ(A166, "IQ_VALUE_TRADED", F166)</f>
        <v>0</v>
      </c>
    </row>
    <row r="167" spans="1:20" x14ac:dyDescent="0.3">
      <c r="A167" t="s">
        <v>348</v>
      </c>
      <c r="B167">
        <v>34.21</v>
      </c>
      <c r="C167" t="s">
        <v>550</v>
      </c>
      <c r="D167" t="s">
        <v>551</v>
      </c>
      <c r="E167" t="s">
        <v>36</v>
      </c>
      <c r="F167" s="1">
        <v>45318</v>
      </c>
      <c r="G167" t="s">
        <v>552</v>
      </c>
      <c r="H167">
        <v>116</v>
      </c>
      <c r="I167">
        <f>_xll.ciqfunctions.udf.CIQ(A167, "IQ_MARKETCAP", F167)</f>
        <v>4519.0763399999996</v>
      </c>
      <c r="J167">
        <f>_xll.ciqfunctions.udf.CIQ(A167, "IQ_PRICE_VOL_HIST_6MTH", F167)</f>
        <v>38.905500000000004</v>
      </c>
      <c r="K167">
        <f>_xll.ciqfunctions.udf.CIQ(A167, "IQ_LASTSALEPRICE", WORKDAY(F167,-1))</f>
        <v>34.21</v>
      </c>
      <c r="L167">
        <f>_xll.ciqfunctions.udf.CIQ(A167, "IQ_LASTSALEPRICE", F167)</f>
        <v>34.21</v>
      </c>
      <c r="M167">
        <f>_xll.ciqfunctions.udf.CIQ(A167, "IQ_LASTSALEPRICE", WORKDAY(F167,5))</f>
        <v>33.68</v>
      </c>
      <c r="N167">
        <f t="shared" si="4"/>
        <v>0</v>
      </c>
      <c r="O167">
        <f t="shared" si="5"/>
        <v>-1.5613809615387329E-2</v>
      </c>
      <c r="P167">
        <f>LN(_xll.ciqfunctions.udf.CIQ("XBI", "IQ_LASTSALEPRICE", WORKDAY(F167,-1))/_xll.ciqfunctions.udf.CIQ("XBI", "IQ_LASTSALEPRICE", WORKDAY(F167,1)))</f>
        <v>-2.8598910662000643E-2</v>
      </c>
      <c r="Q167">
        <f>LN(_xll.ciqfunctions.udf.CIQ("XBI", "IQ_LASTSALEPRICE", WORKDAY(F167,-1))/_xll.ciqfunctions.udf.CIQ("XBI", "IQ_LASTSALEPRICE", WORKDAY(F167,5)))</f>
        <v>3.0645276806637953E-3</v>
      </c>
      <c r="R167">
        <f>_xll.ciqfunctions.udf.CIQ(A167, "IQ_SHORT_INTEREST_PERCENT", F167)</f>
        <v>5.4245400000000004</v>
      </c>
      <c r="S167">
        <f>_xll.ciqfunctions.udf.CIQ(A167, "IQ_BETA_1YR_RSQ", F167)</f>
        <v>0.16900999999999999</v>
      </c>
      <c r="T167">
        <f>_xll.ciqfunctions.udf.CIQ(A167, "IQ_VALUE_TRADED", F167)</f>
        <v>0</v>
      </c>
    </row>
    <row r="168" spans="1:20" x14ac:dyDescent="0.3">
      <c r="A168" t="s">
        <v>130</v>
      </c>
      <c r="B168">
        <v>119.79</v>
      </c>
      <c r="C168" t="s">
        <v>553</v>
      </c>
      <c r="D168" t="s">
        <v>554</v>
      </c>
      <c r="E168" t="s">
        <v>36</v>
      </c>
      <c r="F168" s="1">
        <v>45320</v>
      </c>
      <c r="G168" t="s">
        <v>555</v>
      </c>
      <c r="I168">
        <f>_xll.ciqfunctions.udf.CIQ(A168, "IQ_MARKETCAP", F168)</f>
        <v>307326.31962999998</v>
      </c>
      <c r="J168">
        <f>_xll.ciqfunctions.udf.CIQ(A168, "IQ_PRICE_VOL_HIST_6MTH", F168)</f>
        <v>16.5213</v>
      </c>
      <c r="K168">
        <f>_xll.ciqfunctions.udf.CIQ(A168, "IQ_LASTSALEPRICE", WORKDAY(F168,-1))</f>
        <v>120.82</v>
      </c>
      <c r="L168">
        <f>_xll.ciqfunctions.udf.CIQ(A168, "IQ_LASTSALEPRICE", F168)</f>
        <v>121.28</v>
      </c>
      <c r="M168">
        <f>_xll.ciqfunctions.udf.CIQ(A168, "IQ_LASTSALEPRICE", WORKDAY(F168,5))</f>
        <v>126.18</v>
      </c>
      <c r="N168">
        <f t="shared" si="4"/>
        <v>3.8000871834664293E-3</v>
      </c>
      <c r="O168">
        <f t="shared" si="5"/>
        <v>4.3407624232068405E-2</v>
      </c>
      <c r="P168">
        <f>LN(_xll.ciqfunctions.udf.CIQ("XBI", "IQ_LASTSALEPRICE", WORKDAY(F168,-1))/_xll.ciqfunctions.udf.CIQ("XBI", "IQ_LASTSALEPRICE", WORKDAY(F168,1)))</f>
        <v>-5.9883801349809081E-3</v>
      </c>
      <c r="Q168">
        <f>LN(_xll.ciqfunctions.udf.CIQ("XBI", "IQ_LASTSALEPRICE", WORKDAY(F168,-1))/_xll.ciqfunctions.udf.CIQ("XBI", "IQ_LASTSALEPRICE", WORKDAY(F168,5)))</f>
        <v>-1.9247104724660006E-3</v>
      </c>
      <c r="R168">
        <f>_xll.ciqfunctions.udf.CIQ(A168, "IQ_SHORT_INTEREST_PERCENT", F168)</f>
        <v>0.82138999999999995</v>
      </c>
      <c r="S168">
        <f>_xll.ciqfunctions.udf.CIQ(A168, "IQ_BETA_1YR_RSQ", F168)</f>
        <v>1.027E-2</v>
      </c>
      <c r="T168">
        <f>_xll.ciqfunctions.udf.CIQ(A168, "IQ_VALUE_TRADED", F168)</f>
        <v>1108.3054</v>
      </c>
    </row>
    <row r="169" spans="1:20" x14ac:dyDescent="0.3">
      <c r="A169" t="s">
        <v>556</v>
      </c>
      <c r="B169">
        <v>1.17</v>
      </c>
      <c r="C169" t="s">
        <v>557</v>
      </c>
      <c r="D169" t="s">
        <v>558</v>
      </c>
      <c r="E169" t="s">
        <v>46</v>
      </c>
      <c r="F169" s="1">
        <v>45320</v>
      </c>
      <c r="G169" t="s">
        <v>559</v>
      </c>
      <c r="H169">
        <v>17</v>
      </c>
      <c r="I169">
        <f>_xll.ciqfunctions.udf.CIQ(A169, "IQ_MARKETCAP", F169)</f>
        <v>13.742290000000001</v>
      </c>
      <c r="J169">
        <f>_xll.ciqfunctions.udf.CIQ(A169, "IQ_PRICE_VOL_HIST_6MTH", F169)</f>
        <v>65.680499999999995</v>
      </c>
      <c r="K169">
        <f>_xll.ciqfunctions.udf.CIQ(A169, "IQ_LASTSALEPRICE", WORKDAY(F169,-1))</f>
        <v>1.07</v>
      </c>
      <c r="L169">
        <f>_xll.ciqfunctions.udf.CIQ(A169, "IQ_LASTSALEPRICE", F169)</f>
        <v>1.17</v>
      </c>
      <c r="M169">
        <f>_xll.ciqfunctions.udf.CIQ(A169, "IQ_LASTSALEPRICE", WORKDAY(F169,5))</f>
        <v>1.1200000000000001</v>
      </c>
      <c r="N169">
        <f t="shared" si="4"/>
        <v>8.9345100335849748E-2</v>
      </c>
      <c r="O169">
        <f t="shared" si="5"/>
        <v>4.5670036833188481E-2</v>
      </c>
      <c r="P169">
        <f>LN(_xll.ciqfunctions.udf.CIQ("XBI", "IQ_LASTSALEPRICE", WORKDAY(F169,-1))/_xll.ciqfunctions.udf.CIQ("XBI", "IQ_LASTSALEPRICE", WORKDAY(F169,1)))</f>
        <v>-5.9883801349809081E-3</v>
      </c>
      <c r="Q169">
        <f>LN(_xll.ciqfunctions.udf.CIQ("XBI", "IQ_LASTSALEPRICE", WORKDAY(F169,-1))/_xll.ciqfunctions.udf.CIQ("XBI", "IQ_LASTSALEPRICE", WORKDAY(F169,5)))</f>
        <v>-1.9247104724660006E-3</v>
      </c>
      <c r="R169">
        <f>_xll.ciqfunctions.udf.CIQ(A169, "IQ_SHORT_INTEREST_PERCENT", F169)</f>
        <v>2.6084999999999998</v>
      </c>
      <c r="S169">
        <f>_xll.ciqfunctions.udf.CIQ(A169, "IQ_BETA_1YR_RSQ", F169)</f>
        <v>1.6719999999999999E-2</v>
      </c>
      <c r="T169">
        <f>_xll.ciqfunctions.udf.CIQ(A169, "IQ_VALUE_TRADED", F169)</f>
        <v>0.49075999999999997</v>
      </c>
    </row>
    <row r="170" spans="1:20" x14ac:dyDescent="0.3">
      <c r="A170" t="s">
        <v>433</v>
      </c>
      <c r="B170">
        <v>66.17</v>
      </c>
      <c r="C170" t="s">
        <v>560</v>
      </c>
      <c r="D170" t="s">
        <v>561</v>
      </c>
      <c r="E170" t="s">
        <v>184</v>
      </c>
      <c r="F170" s="1">
        <v>45320</v>
      </c>
      <c r="G170" t="s">
        <v>562</v>
      </c>
      <c r="I170">
        <f>_xll.ciqfunctions.udf.CIQ(A170, "IQ_MARKETCAP", F170)</f>
        <v>163821.18632000001</v>
      </c>
      <c r="J170">
        <f>_xll.ciqfunctions.udf.CIQ(A170, "IQ_PRICE_VOL_HIST_6MTH", F170)</f>
        <v>21.4466</v>
      </c>
      <c r="K170">
        <f>_xll.ciqfunctions.udf.CIQ(A170, "IQ_LASTSALEPRICE", WORKDAY(F170,-1))</f>
        <v>105.46</v>
      </c>
      <c r="L170">
        <f>_xll.ciqfunctions.udf.CIQ(A170, "IQ_LASTSALEPRICE", F170)</f>
        <v>105.68</v>
      </c>
      <c r="M170">
        <f>_xll.ciqfunctions.udf.CIQ(A170, "IQ_LASTSALEPRICE", WORKDAY(F170,5))</f>
        <v>103.6</v>
      </c>
      <c r="N170">
        <f t="shared" si="4"/>
        <v>2.0839261117462393E-3</v>
      </c>
      <c r="O170">
        <f t="shared" si="5"/>
        <v>-1.7794404276941074E-2</v>
      </c>
      <c r="P170">
        <f>LN(_xll.ciqfunctions.udf.CIQ("XBI", "IQ_LASTSALEPRICE", WORKDAY(F170,-1))/_xll.ciqfunctions.udf.CIQ("XBI", "IQ_LASTSALEPRICE", WORKDAY(F170,1)))</f>
        <v>-5.9883801349809081E-3</v>
      </c>
      <c r="Q170">
        <f>LN(_xll.ciqfunctions.udf.CIQ("XBI", "IQ_LASTSALEPRICE", WORKDAY(F170,-1))/_xll.ciqfunctions.udf.CIQ("XBI", "IQ_LASTSALEPRICE", WORKDAY(F170,5)))</f>
        <v>-1.9247104724660006E-3</v>
      </c>
      <c r="R170">
        <f>_xll.ciqfunctions.udf.CIQ(A170, "IQ_SHORT_INTEREST_PERCENT", F170)</f>
        <v>0</v>
      </c>
      <c r="S170">
        <f>_xll.ciqfunctions.udf.CIQ(A170, "IQ_BETA_1YR_RSQ", F170)</f>
        <v>0.14005000000000001</v>
      </c>
      <c r="T170">
        <f>_xll.ciqfunctions.udf.CIQ(A170, "IQ_VALUE_TRADED", F170)</f>
        <v>189.76324</v>
      </c>
    </row>
    <row r="171" spans="1:20" x14ac:dyDescent="0.3">
      <c r="A171" t="s">
        <v>374</v>
      </c>
      <c r="B171">
        <v>3.68</v>
      </c>
      <c r="C171" t="s">
        <v>375</v>
      </c>
      <c r="D171" t="s">
        <v>376</v>
      </c>
      <c r="E171" t="s">
        <v>197</v>
      </c>
      <c r="F171" s="1">
        <v>45320</v>
      </c>
      <c r="G171" t="s">
        <v>563</v>
      </c>
      <c r="H171">
        <v>1</v>
      </c>
      <c r="I171">
        <f>_xll.ciqfunctions.udf.CIQ(A171, "IQ_MARKETCAP", F171)</f>
        <v>50.666089999999997</v>
      </c>
      <c r="J171">
        <f>_xll.ciqfunctions.udf.CIQ(A171, "IQ_PRICE_VOL_HIST_6MTH", F171)</f>
        <v>133.4118</v>
      </c>
      <c r="K171">
        <f>_xll.ciqfunctions.udf.CIQ(A171, "IQ_LASTSALEPRICE", WORKDAY(F171,-1))</f>
        <v>77.400000000000006</v>
      </c>
      <c r="L171">
        <f>_xll.ciqfunctions.udf.CIQ(A171, "IQ_LASTSALEPRICE", F171)</f>
        <v>73.599999999999994</v>
      </c>
      <c r="M171">
        <f>_xll.ciqfunctions.udf.CIQ(A171, "IQ_LASTSALEPRICE", WORKDAY(F171,5))</f>
        <v>62.8</v>
      </c>
      <c r="N171">
        <f t="shared" si="4"/>
        <v>-5.0341754860851046E-2</v>
      </c>
      <c r="O171">
        <f t="shared" si="5"/>
        <v>-0.20903170712152852</v>
      </c>
      <c r="P171">
        <f>LN(_xll.ciqfunctions.udf.CIQ("XBI", "IQ_LASTSALEPRICE", WORKDAY(F171,-1))/_xll.ciqfunctions.udf.CIQ("XBI", "IQ_LASTSALEPRICE", WORKDAY(F171,1)))</f>
        <v>-5.9883801349809081E-3</v>
      </c>
      <c r="Q171">
        <f>LN(_xll.ciqfunctions.udf.CIQ("XBI", "IQ_LASTSALEPRICE", WORKDAY(F171,-1))/_xll.ciqfunctions.udf.CIQ("XBI", "IQ_LASTSALEPRICE", WORKDAY(F171,5)))</f>
        <v>-1.9247104724660006E-3</v>
      </c>
      <c r="R171">
        <f>_xll.ciqfunctions.udf.CIQ(A171, "IQ_SHORT_INTEREST_PERCENT", F171)</f>
        <v>1.7692000000000001</v>
      </c>
      <c r="S171">
        <f>_xll.ciqfunctions.udf.CIQ(A171, "IQ_BETA_1YR_RSQ", F171)</f>
        <v>8.6599999999999993E-3</v>
      </c>
      <c r="T171">
        <f>_xll.ciqfunctions.udf.CIQ(A171, "IQ_VALUE_TRADED", F171)</f>
        <v>0.98343999999999998</v>
      </c>
    </row>
    <row r="172" spans="1:20" x14ac:dyDescent="0.3">
      <c r="A172" t="s">
        <v>357</v>
      </c>
      <c r="B172">
        <v>120.5</v>
      </c>
      <c r="C172" t="s">
        <v>564</v>
      </c>
      <c r="D172" t="s">
        <v>565</v>
      </c>
      <c r="E172" t="s">
        <v>76</v>
      </c>
      <c r="F172" s="1">
        <v>45320</v>
      </c>
      <c r="G172" t="s">
        <v>566</v>
      </c>
      <c r="H172">
        <v>97</v>
      </c>
      <c r="I172">
        <f>_xll.ciqfunctions.udf.CIQ(A172, "IQ_MARKETCAP", F172)</f>
        <v>11272.37506</v>
      </c>
      <c r="J172">
        <f>_xll.ciqfunctions.udf.CIQ(A172, "IQ_PRICE_VOL_HIST_6MTH", F172)</f>
        <v>79.812700000000007</v>
      </c>
      <c r="K172">
        <f>_xll.ciqfunctions.udf.CIQ(A172, "IQ_LASTSALEPRICE", WORKDAY(F172,-1))</f>
        <v>118.73</v>
      </c>
      <c r="L172">
        <f>_xll.ciqfunctions.udf.CIQ(A172, "IQ_LASTSALEPRICE", F172)</f>
        <v>120.5</v>
      </c>
      <c r="M172">
        <f>_xll.ciqfunctions.udf.CIQ(A172, "IQ_LASTSALEPRICE", WORKDAY(F172,5))</f>
        <v>125.55</v>
      </c>
      <c r="N172">
        <f t="shared" si="4"/>
        <v>1.4797745253008846E-2</v>
      </c>
      <c r="O172">
        <f t="shared" si="5"/>
        <v>5.5852077925893001E-2</v>
      </c>
      <c r="P172">
        <f>LN(_xll.ciqfunctions.udf.CIQ("XBI", "IQ_LASTSALEPRICE", WORKDAY(F172,-1))/_xll.ciqfunctions.udf.CIQ("XBI", "IQ_LASTSALEPRICE", WORKDAY(F172,1)))</f>
        <v>-5.9883801349809081E-3</v>
      </c>
      <c r="Q172">
        <f>LN(_xll.ciqfunctions.udf.CIQ("XBI", "IQ_LASTSALEPRICE", WORKDAY(F172,-1))/_xll.ciqfunctions.udf.CIQ("XBI", "IQ_LASTSALEPRICE", WORKDAY(F172,5)))</f>
        <v>-1.9247104724660006E-3</v>
      </c>
      <c r="R172">
        <f>_xll.ciqfunctions.udf.CIQ(A172, "IQ_SHORT_INTEREST_PERCENT", F172)</f>
        <v>6.06663</v>
      </c>
      <c r="S172">
        <f>_xll.ciqfunctions.udf.CIQ(A172, "IQ_BETA_1YR_RSQ", F172)</f>
        <v>7.4200000000000004E-3</v>
      </c>
      <c r="T172">
        <f>_xll.ciqfunctions.udf.CIQ(A172, "IQ_VALUE_TRADED", F172)</f>
        <v>139.49091999999999</v>
      </c>
    </row>
    <row r="173" spans="1:20" x14ac:dyDescent="0.3">
      <c r="A173" t="s">
        <v>567</v>
      </c>
      <c r="B173">
        <v>14.4</v>
      </c>
      <c r="C173" t="s">
        <v>568</v>
      </c>
      <c r="D173" t="s">
        <v>569</v>
      </c>
      <c r="E173" t="s">
        <v>89</v>
      </c>
      <c r="F173" s="1">
        <v>45320</v>
      </c>
      <c r="G173" t="s">
        <v>570</v>
      </c>
      <c r="H173">
        <v>9</v>
      </c>
      <c r="I173">
        <f>_xll.ciqfunctions.udf.CIQ(A173, "IQ_MARKETCAP", F173)</f>
        <v>8.9047699999999992</v>
      </c>
      <c r="J173">
        <f>_xll.ciqfunctions.udf.CIQ(A173, "IQ_PRICE_VOL_HIST_6MTH", F173)</f>
        <v>220.97839999999999</v>
      </c>
      <c r="K173">
        <f>_xll.ciqfunctions.udf.CIQ(A173, "IQ_LASTSALEPRICE", WORKDAY(F173,-1))</f>
        <v>7.8</v>
      </c>
      <c r="L173">
        <f>_xll.ciqfunctions.udf.CIQ(A173, "IQ_LASTSALEPRICE", F173)</f>
        <v>14.399990000000001</v>
      </c>
      <c r="M173">
        <f>_xll.ciqfunctions.udf.CIQ(A173, "IQ_LASTSALEPRICE", WORKDAY(F173,5))</f>
        <v>7.65</v>
      </c>
      <c r="N173">
        <f t="shared" si="4"/>
        <v>0.61310377844172337</v>
      </c>
      <c r="O173">
        <f t="shared" si="5"/>
        <v>-1.9418085857101513E-2</v>
      </c>
      <c r="P173">
        <f>LN(_xll.ciqfunctions.udf.CIQ("XBI", "IQ_LASTSALEPRICE", WORKDAY(F173,-1))/_xll.ciqfunctions.udf.CIQ("XBI", "IQ_LASTSALEPRICE", WORKDAY(F173,1)))</f>
        <v>-5.9883801349809081E-3</v>
      </c>
      <c r="Q173">
        <f>LN(_xll.ciqfunctions.udf.CIQ("XBI", "IQ_LASTSALEPRICE", WORKDAY(F173,-1))/_xll.ciqfunctions.udf.CIQ("XBI", "IQ_LASTSALEPRICE", WORKDAY(F173,5)))</f>
        <v>-1.9247104724660006E-3</v>
      </c>
      <c r="R173">
        <f>_xll.ciqfunctions.udf.CIQ(A173, "IQ_SHORT_INTEREST_PERCENT", F173)</f>
        <v>1.3909100000000001</v>
      </c>
      <c r="S173">
        <f>_xll.ciqfunctions.udf.CIQ(A173, "IQ_BETA_1YR_RSQ", F173)</f>
        <v>0.10296</v>
      </c>
      <c r="T173">
        <f>_xll.ciqfunctions.udf.CIQ(A173, "IQ_VALUE_TRADED", F173)</f>
        <v>130.57946000000001</v>
      </c>
    </row>
    <row r="174" spans="1:20" x14ac:dyDescent="0.3">
      <c r="A174" t="s">
        <v>351</v>
      </c>
      <c r="B174">
        <v>14.77</v>
      </c>
      <c r="C174" t="s">
        <v>571</v>
      </c>
      <c r="D174" t="s">
        <v>572</v>
      </c>
      <c r="E174" t="s">
        <v>160</v>
      </c>
      <c r="F174" s="1">
        <v>45320</v>
      </c>
      <c r="G174" t="s">
        <v>573</v>
      </c>
      <c r="I174">
        <f>_xll.ciqfunctions.udf.CIQ(A174, "IQ_MARKETCAP", F174)</f>
        <v>6843576.48226</v>
      </c>
      <c r="J174">
        <f>_xll.ciqfunctions.udf.CIQ(A174, "IQ_PRICE_VOL_HIST_6MTH", F174)</f>
        <v>18.611599999999999</v>
      </c>
      <c r="K174">
        <f>_xll.ciqfunctions.udf.CIQ(A174, "IQ_LASTSALEPRICE", WORKDAY(F174,-1))</f>
        <v>14.6</v>
      </c>
      <c r="L174">
        <f>_xll.ciqfunctions.udf.CIQ(A174, "IQ_LASTSALEPRICE", F174)</f>
        <v>14.77</v>
      </c>
      <c r="M174">
        <f>_xll.ciqfunctions.udf.CIQ(A174, "IQ_LASTSALEPRICE", WORKDAY(F174,5))</f>
        <v>13.92</v>
      </c>
      <c r="N174">
        <f t="shared" si="4"/>
        <v>1.1576567828997658E-2</v>
      </c>
      <c r="O174">
        <f t="shared" si="5"/>
        <v>-4.7694873808017201E-2</v>
      </c>
      <c r="P174">
        <f>LN(_xll.ciqfunctions.udf.CIQ("XBI", "IQ_LASTSALEPRICE", WORKDAY(F174,-1))/_xll.ciqfunctions.udf.CIQ("XBI", "IQ_LASTSALEPRICE", WORKDAY(F174,1)))</f>
        <v>-5.9883801349809081E-3</v>
      </c>
      <c r="Q174">
        <f>LN(_xll.ciqfunctions.udf.CIQ("XBI", "IQ_LASTSALEPRICE", WORKDAY(F174,-1))/_xll.ciqfunctions.udf.CIQ("XBI", "IQ_LASTSALEPRICE", WORKDAY(F174,5)))</f>
        <v>-1.9247104724660006E-3</v>
      </c>
      <c r="R174">
        <f>_xll.ciqfunctions.udf.CIQ(A174, "IQ_SHORT_INTEREST_PERCENT", F174)</f>
        <v>0</v>
      </c>
      <c r="S174">
        <f>_xll.ciqfunctions.udf.CIQ(A174, "IQ_BETA_1YR_RSQ", F174)</f>
        <v>0</v>
      </c>
      <c r="T174">
        <f>_xll.ciqfunctions.udf.CIQ(A174, "IQ_VALUE_TRADED", F174)</f>
        <v>23.554179999999999</v>
      </c>
    </row>
    <row r="175" spans="1:20" x14ac:dyDescent="0.3">
      <c r="A175" t="s">
        <v>574</v>
      </c>
      <c r="B175">
        <v>2.15</v>
      </c>
      <c r="C175" t="s">
        <v>575</v>
      </c>
      <c r="D175" t="s">
        <v>576</v>
      </c>
      <c r="E175" t="s">
        <v>17</v>
      </c>
      <c r="F175" s="1">
        <v>45320</v>
      </c>
      <c r="G175" t="s">
        <v>577</v>
      </c>
      <c r="H175">
        <v>4</v>
      </c>
      <c r="I175">
        <f>_xll.ciqfunctions.udf.CIQ(A175, "IQ_MARKETCAP", F175)</f>
        <v>4.8359699999999997</v>
      </c>
      <c r="J175">
        <f>_xll.ciqfunctions.udf.CIQ(A175, "IQ_PRICE_VOL_HIST_6MTH", F175)</f>
        <v>98.601399999999998</v>
      </c>
      <c r="K175">
        <f>_xll.ciqfunctions.udf.CIQ(A175, "IQ_LASTSALEPRICE", WORKDAY(F175,-1))</f>
        <v>1.99</v>
      </c>
      <c r="L175">
        <f>_xll.ciqfunctions.udf.CIQ(A175, "IQ_LASTSALEPRICE", F175)</f>
        <v>2.15</v>
      </c>
      <c r="M175">
        <f>_xll.ciqfunctions.udf.CIQ(A175, "IQ_LASTSALEPRICE", WORKDAY(F175,5))</f>
        <v>2.02</v>
      </c>
      <c r="N175">
        <f t="shared" si="4"/>
        <v>7.733320340317032E-2</v>
      </c>
      <c r="O175">
        <f t="shared" si="5"/>
        <v>1.496287267671232E-2</v>
      </c>
      <c r="P175">
        <f>LN(_xll.ciqfunctions.udf.CIQ("XBI", "IQ_LASTSALEPRICE", WORKDAY(F175,-1))/_xll.ciqfunctions.udf.CIQ("XBI", "IQ_LASTSALEPRICE", WORKDAY(F175,1)))</f>
        <v>-5.9883801349809081E-3</v>
      </c>
      <c r="Q175">
        <f>LN(_xll.ciqfunctions.udf.CIQ("XBI", "IQ_LASTSALEPRICE", WORKDAY(F175,-1))/_xll.ciqfunctions.udf.CIQ("XBI", "IQ_LASTSALEPRICE", WORKDAY(F175,5)))</f>
        <v>-1.9247104724660006E-3</v>
      </c>
      <c r="R175">
        <f>_xll.ciqfunctions.udf.CIQ(A175, "IQ_SHORT_INTEREST_PERCENT", F175)</f>
        <v>0.21087</v>
      </c>
      <c r="S175">
        <f>_xll.ciqfunctions.udf.CIQ(A175, "IQ_BETA_1YR_RSQ", F175)</f>
        <v>5.0410000000000003E-2</v>
      </c>
      <c r="T175">
        <f>_xll.ciqfunctions.udf.CIQ(A175, "IQ_VALUE_TRADED", F175)</f>
        <v>8.2619999999999999E-2</v>
      </c>
    </row>
    <row r="176" spans="1:20" x14ac:dyDescent="0.3">
      <c r="A176" t="s">
        <v>578</v>
      </c>
      <c r="B176">
        <v>3.21</v>
      </c>
      <c r="C176" t="s">
        <v>579</v>
      </c>
      <c r="D176" t="s">
        <v>580</v>
      </c>
      <c r="E176" t="s">
        <v>22</v>
      </c>
      <c r="F176" s="1">
        <v>45320</v>
      </c>
      <c r="G176" t="s">
        <v>581</v>
      </c>
      <c r="H176">
        <v>74</v>
      </c>
      <c r="I176">
        <f>_xll.ciqfunctions.udf.CIQ(A176, "IQ_MARKETCAP", F176)</f>
        <v>19.81944</v>
      </c>
      <c r="J176">
        <f>_xll.ciqfunctions.udf.CIQ(A176, "IQ_PRICE_VOL_HIST_6MTH", F176)</f>
        <v>133.78809999999999</v>
      </c>
      <c r="K176">
        <f>_xll.ciqfunctions.udf.CIQ(A176, "IQ_LASTSALEPRICE", WORKDAY(F176,-1))</f>
        <v>2.96</v>
      </c>
      <c r="L176">
        <f>_xll.ciqfunctions.udf.CIQ(A176, "IQ_LASTSALEPRICE", F176)</f>
        <v>3.21</v>
      </c>
      <c r="M176">
        <f>_xll.ciqfunctions.udf.CIQ(A176, "IQ_LASTSALEPRICE", WORKDAY(F176,5))</f>
        <v>2.5499999999999998</v>
      </c>
      <c r="N176">
        <f t="shared" si="4"/>
        <v>8.1081668805955465E-2</v>
      </c>
      <c r="O176">
        <f t="shared" si="5"/>
        <v>-0.14909590916563431</v>
      </c>
      <c r="P176">
        <f>LN(_xll.ciqfunctions.udf.CIQ("XBI", "IQ_LASTSALEPRICE", WORKDAY(F176,-1))/_xll.ciqfunctions.udf.CIQ("XBI", "IQ_LASTSALEPRICE", WORKDAY(F176,1)))</f>
        <v>-5.9883801349809081E-3</v>
      </c>
      <c r="Q176">
        <f>LN(_xll.ciqfunctions.udf.CIQ("XBI", "IQ_LASTSALEPRICE", WORKDAY(F176,-1))/_xll.ciqfunctions.udf.CIQ("XBI", "IQ_LASTSALEPRICE", WORKDAY(F176,5)))</f>
        <v>-1.9247104724660006E-3</v>
      </c>
      <c r="R176">
        <f>_xll.ciqfunctions.udf.CIQ(A176, "IQ_SHORT_INTEREST_PERCENT", F176)</f>
        <v>0.14219999999999999</v>
      </c>
      <c r="S176">
        <f>_xll.ciqfunctions.udf.CIQ(A176, "IQ_BETA_1YR_RSQ", F176)</f>
        <v>4.9090000000000002E-2</v>
      </c>
      <c r="T176">
        <f>_xll.ciqfunctions.udf.CIQ(A176, "IQ_VALUE_TRADED", F176)</f>
        <v>0.92391000000000001</v>
      </c>
    </row>
    <row r="177" spans="1:20" x14ac:dyDescent="0.3">
      <c r="A177" t="s">
        <v>582</v>
      </c>
      <c r="B177">
        <v>1.77</v>
      </c>
      <c r="C177" t="s">
        <v>583</v>
      </c>
      <c r="D177" t="s">
        <v>584</v>
      </c>
      <c r="E177" t="s">
        <v>22</v>
      </c>
      <c r="F177" s="1">
        <v>45320</v>
      </c>
      <c r="G177" t="s">
        <v>585</v>
      </c>
      <c r="H177">
        <v>1</v>
      </c>
      <c r="I177">
        <f>_xll.ciqfunctions.udf.CIQ(A177, "IQ_MARKETCAP", F177)</f>
        <v>2.2274699999999998</v>
      </c>
      <c r="J177">
        <f>_xll.ciqfunctions.udf.CIQ(A177, "IQ_PRICE_VOL_HIST_6MTH", F177)</f>
        <v>0</v>
      </c>
      <c r="K177">
        <f>_xll.ciqfunctions.udf.CIQ(A177, "IQ_LASTSALEPRICE", WORKDAY(F177,-1))</f>
        <v>0</v>
      </c>
      <c r="L177">
        <f>_xll.ciqfunctions.udf.CIQ(A177, "IQ_LASTSALEPRICE", F177)</f>
        <v>0</v>
      </c>
      <c r="M177">
        <f>_xll.ciqfunctions.udf.CIQ(A177, "IQ_LASTSALEPRICE", WORKDAY(F177,5))</f>
        <v>0</v>
      </c>
      <c r="N177" t="e">
        <f t="shared" si="4"/>
        <v>#DIV/0!</v>
      </c>
      <c r="O177" t="e">
        <f t="shared" si="5"/>
        <v>#DIV/0!</v>
      </c>
      <c r="P177">
        <f>LN(_xll.ciqfunctions.udf.CIQ("XBI", "IQ_LASTSALEPRICE", WORKDAY(F177,-1))/_xll.ciqfunctions.udf.CIQ("XBI", "IQ_LASTSALEPRICE", WORKDAY(F177,1)))</f>
        <v>-5.9883801349809081E-3</v>
      </c>
      <c r="Q177">
        <f>LN(_xll.ciqfunctions.udf.CIQ("XBI", "IQ_LASTSALEPRICE", WORKDAY(F177,-1))/_xll.ciqfunctions.udf.CIQ("XBI", "IQ_LASTSALEPRICE", WORKDAY(F177,5)))</f>
        <v>-1.9247104724660006E-3</v>
      </c>
      <c r="R177">
        <f>_xll.ciqfunctions.udf.CIQ(A177, "IQ_SHORT_INTEREST_PERCENT", F177)</f>
        <v>0</v>
      </c>
      <c r="S177">
        <f>_xll.ciqfunctions.udf.CIQ(A177, "IQ_BETA_1YR_RSQ", F177)</f>
        <v>0</v>
      </c>
      <c r="T177">
        <f>_xll.ciqfunctions.udf.CIQ(A177, "IQ_VALUE_TRADED", F177)</f>
        <v>0</v>
      </c>
    </row>
    <row r="178" spans="1:20" x14ac:dyDescent="0.3">
      <c r="A178" t="s">
        <v>56</v>
      </c>
      <c r="B178">
        <v>15.25</v>
      </c>
      <c r="C178" t="s">
        <v>586</v>
      </c>
      <c r="D178" t="s">
        <v>587</v>
      </c>
      <c r="E178" t="s">
        <v>22</v>
      </c>
      <c r="F178" s="1">
        <v>45320</v>
      </c>
      <c r="G178" t="s">
        <v>588</v>
      </c>
      <c r="H178">
        <v>301</v>
      </c>
      <c r="I178">
        <f>_xll.ciqfunctions.udf.CIQ(A178, "IQ_MARKETCAP", F178)</f>
        <v>4049.3282600000002</v>
      </c>
      <c r="J178">
        <f>_xll.ciqfunctions.udf.CIQ(A178, "IQ_PRICE_VOL_HIST_6MTH", F178)</f>
        <v>41.286700000000003</v>
      </c>
      <c r="K178">
        <f>_xll.ciqfunctions.udf.CIQ(A178, "IQ_LASTSALEPRICE", WORKDAY(F178,-1))</f>
        <v>14.65</v>
      </c>
      <c r="L178">
        <f>_xll.ciqfunctions.udf.CIQ(A178, "IQ_LASTSALEPRICE", F178)</f>
        <v>15.25</v>
      </c>
      <c r="M178">
        <f>_xll.ciqfunctions.udf.CIQ(A178, "IQ_LASTSALEPRICE", WORKDAY(F178,5))</f>
        <v>15.49</v>
      </c>
      <c r="N178">
        <f t="shared" si="4"/>
        <v>4.0139167590344263E-2</v>
      </c>
      <c r="O178">
        <f t="shared" si="5"/>
        <v>5.5754318965700961E-2</v>
      </c>
      <c r="P178">
        <f>LN(_xll.ciqfunctions.udf.CIQ("XBI", "IQ_LASTSALEPRICE", WORKDAY(F178,-1))/_xll.ciqfunctions.udf.CIQ("XBI", "IQ_LASTSALEPRICE", WORKDAY(F178,1)))</f>
        <v>-5.9883801349809081E-3</v>
      </c>
      <c r="Q178">
        <f>LN(_xll.ciqfunctions.udf.CIQ("XBI", "IQ_LASTSALEPRICE", WORKDAY(F178,-1))/_xll.ciqfunctions.udf.CIQ("XBI", "IQ_LASTSALEPRICE", WORKDAY(F178,5)))</f>
        <v>-1.9247104724660006E-3</v>
      </c>
      <c r="R178">
        <f>_xll.ciqfunctions.udf.CIQ(A178, "IQ_SHORT_INTEREST_PERCENT", F178)</f>
        <v>4.2860000000000002E-2</v>
      </c>
      <c r="S178">
        <f>_xll.ciqfunctions.udf.CIQ(A178, "IQ_BETA_1YR_RSQ", F178)</f>
        <v>9.8899999999999995E-3</v>
      </c>
      <c r="T178">
        <f>_xll.ciqfunctions.udf.CIQ(A178, "IQ_VALUE_TRADED", F178)</f>
        <v>7.9088500000000002</v>
      </c>
    </row>
    <row r="179" spans="1:20" x14ac:dyDescent="0.3">
      <c r="A179" t="s">
        <v>367</v>
      </c>
      <c r="B179">
        <v>15.72</v>
      </c>
      <c r="C179" t="s">
        <v>589</v>
      </c>
      <c r="D179" t="s">
        <v>590</v>
      </c>
      <c r="E179" t="s">
        <v>36</v>
      </c>
      <c r="F179" s="1">
        <v>45321</v>
      </c>
      <c r="G179" t="s">
        <v>591</v>
      </c>
      <c r="H179">
        <v>106</v>
      </c>
      <c r="I179">
        <f>_xll.ciqfunctions.udf.CIQ(A179, "IQ_MARKETCAP", F179)</f>
        <v>1416.27234</v>
      </c>
      <c r="J179">
        <f>_xll.ciqfunctions.udf.CIQ(A179, "IQ_PRICE_VOL_HIST_6MTH", F179)</f>
        <v>62.2273</v>
      </c>
      <c r="K179">
        <f>_xll.ciqfunctions.udf.CIQ(A179, "IQ_LASTSALEPRICE", WORKDAY(F179,-1))</f>
        <v>15.3</v>
      </c>
      <c r="L179">
        <f>_xll.ciqfunctions.udf.CIQ(A179, "IQ_LASTSALEPRICE", F179)</f>
        <v>15.72</v>
      </c>
      <c r="M179">
        <f>_xll.ciqfunctions.udf.CIQ(A179, "IQ_LASTSALEPRICE", WORKDAY(F179,5))</f>
        <v>15.32</v>
      </c>
      <c r="N179">
        <f t="shared" si="4"/>
        <v>2.7080958602670614E-2</v>
      </c>
      <c r="O179">
        <f t="shared" si="5"/>
        <v>1.306335914055457E-3</v>
      </c>
      <c r="P179">
        <f>LN(_xll.ciqfunctions.udf.CIQ("XBI", "IQ_LASTSALEPRICE", WORKDAY(F179,-1))/_xll.ciqfunctions.udf.CIQ("XBI", "IQ_LASTSALEPRICE", WORKDAY(F179,1)))</f>
        <v>3.7820812414447874E-2</v>
      </c>
      <c r="Q179">
        <f>LN(_xll.ciqfunctions.udf.CIQ("XBI", "IQ_LASTSALEPRICE", WORKDAY(F179,-1))/_xll.ciqfunctions.udf.CIQ("XBI", "IQ_LASTSALEPRICE", WORKDAY(F179,5)))</f>
        <v>1.1519843832861323E-2</v>
      </c>
      <c r="R179">
        <f>_xll.ciqfunctions.udf.CIQ(A179, "IQ_SHORT_INTEREST_PERCENT", F179)</f>
        <v>7.9398999999999997</v>
      </c>
      <c r="S179">
        <f>_xll.ciqfunctions.udf.CIQ(A179, "IQ_BETA_1YR_RSQ", F179)</f>
        <v>8.7639999999999996E-2</v>
      </c>
      <c r="T179">
        <f>_xll.ciqfunctions.udf.CIQ(A179, "IQ_VALUE_TRADED", F179)</f>
        <v>33.251420000000003</v>
      </c>
    </row>
    <row r="180" spans="1:20" x14ac:dyDescent="0.3">
      <c r="A180" t="s">
        <v>592</v>
      </c>
      <c r="B180">
        <v>20.85</v>
      </c>
      <c r="C180" t="s">
        <v>593</v>
      </c>
      <c r="D180" t="s">
        <v>594</v>
      </c>
      <c r="E180" t="s">
        <v>22</v>
      </c>
      <c r="F180" s="1">
        <v>45321</v>
      </c>
      <c r="G180" t="s">
        <v>595</v>
      </c>
      <c r="H180">
        <v>86</v>
      </c>
      <c r="I180">
        <f>_xll.ciqfunctions.udf.CIQ(A180, "IQ_MARKETCAP", F180)</f>
        <v>1577.28007</v>
      </c>
      <c r="J180">
        <f>_xll.ciqfunctions.udf.CIQ(A180, "IQ_PRICE_VOL_HIST_6MTH", F180)</f>
        <v>77.656099999999995</v>
      </c>
      <c r="K180">
        <f>_xll.ciqfunctions.udf.CIQ(A180, "IQ_LASTSALEPRICE", WORKDAY(F180,-1))</f>
        <v>18.600000000000001</v>
      </c>
      <c r="L180">
        <f>_xll.ciqfunctions.udf.CIQ(A180, "IQ_LASTSALEPRICE", F180)</f>
        <v>20.85</v>
      </c>
      <c r="M180">
        <f>_xll.ciqfunctions.udf.CIQ(A180, "IQ_LASTSALEPRICE", WORKDAY(F180,5))</f>
        <v>20.97</v>
      </c>
      <c r="N180">
        <f t="shared" si="4"/>
        <v>0.1141923675256548</v>
      </c>
      <c r="O180">
        <f t="shared" si="5"/>
        <v>0.11993126419467284</v>
      </c>
      <c r="P180">
        <f>LN(_xll.ciqfunctions.udf.CIQ("XBI", "IQ_LASTSALEPRICE", WORKDAY(F180,-1))/_xll.ciqfunctions.udf.CIQ("XBI", "IQ_LASTSALEPRICE", WORKDAY(F180,1)))</f>
        <v>3.7820812414447874E-2</v>
      </c>
      <c r="Q180">
        <f>LN(_xll.ciqfunctions.udf.CIQ("XBI", "IQ_LASTSALEPRICE", WORKDAY(F180,-1))/_xll.ciqfunctions.udf.CIQ("XBI", "IQ_LASTSALEPRICE", WORKDAY(F180,5)))</f>
        <v>1.1519843832861323E-2</v>
      </c>
      <c r="R180">
        <f>_xll.ciqfunctions.udf.CIQ(A180, "IQ_SHORT_INTEREST_PERCENT", F180)</f>
        <v>12.38782</v>
      </c>
      <c r="S180">
        <f>_xll.ciqfunctions.udf.CIQ(A180, "IQ_BETA_1YR_RSQ", F180)</f>
        <v>8.5260000000000002E-2</v>
      </c>
      <c r="T180">
        <f>_xll.ciqfunctions.udf.CIQ(A180, "IQ_VALUE_TRADED", F180)</f>
        <v>233.79362</v>
      </c>
    </row>
    <row r="181" spans="1:20" x14ac:dyDescent="0.3">
      <c r="A181" t="s">
        <v>596</v>
      </c>
      <c r="B181" t="s">
        <v>43</v>
      </c>
      <c r="C181" t="s">
        <v>593</v>
      </c>
      <c r="D181" t="s">
        <v>594</v>
      </c>
      <c r="E181" t="s">
        <v>22</v>
      </c>
      <c r="F181" s="1">
        <v>45321</v>
      </c>
      <c r="G181" t="s">
        <v>595</v>
      </c>
      <c r="H181">
        <v>540</v>
      </c>
      <c r="I181">
        <f>_xll.ciqfunctions.udf.CIQ(A181, "IQ_MARKETCAP", F181)</f>
        <v>1238921.86937</v>
      </c>
      <c r="J181">
        <f>_xll.ciqfunctions.udf.CIQ(A181, "IQ_PRICE_VOL_HIST_6MTH", F181)</f>
        <v>0</v>
      </c>
      <c r="K181">
        <f>_xll.ciqfunctions.udf.CIQ(A181, "IQ_LASTSALEPRICE", WORKDAY(F181,-1))</f>
        <v>0</v>
      </c>
      <c r="L181">
        <f>_xll.ciqfunctions.udf.CIQ(A181, "IQ_LASTSALEPRICE", F181)</f>
        <v>0</v>
      </c>
      <c r="M181">
        <f>_xll.ciqfunctions.udf.CIQ(A181, "IQ_LASTSALEPRICE", WORKDAY(F181,5))</f>
        <v>0</v>
      </c>
      <c r="N181" t="e">
        <f t="shared" si="4"/>
        <v>#DIV/0!</v>
      </c>
      <c r="O181" t="e">
        <f t="shared" si="5"/>
        <v>#DIV/0!</v>
      </c>
      <c r="P181">
        <f>LN(_xll.ciqfunctions.udf.CIQ("XBI", "IQ_LASTSALEPRICE", WORKDAY(F181,-1))/_xll.ciqfunctions.udf.CIQ("XBI", "IQ_LASTSALEPRICE", WORKDAY(F181,1)))</f>
        <v>3.7820812414447874E-2</v>
      </c>
      <c r="Q181">
        <f>LN(_xll.ciqfunctions.udf.CIQ("XBI", "IQ_LASTSALEPRICE", WORKDAY(F181,-1))/_xll.ciqfunctions.udf.CIQ("XBI", "IQ_LASTSALEPRICE", WORKDAY(F181,5)))</f>
        <v>1.1519843832861323E-2</v>
      </c>
      <c r="R181">
        <f>_xll.ciqfunctions.udf.CIQ(A181, "IQ_SHORT_INTEREST_PERCENT", F181)</f>
        <v>0</v>
      </c>
      <c r="S181">
        <f>_xll.ciqfunctions.udf.CIQ(A181, "IQ_BETA_1YR_RSQ", F181)</f>
        <v>0</v>
      </c>
      <c r="T181">
        <f>_xll.ciqfunctions.udf.CIQ(A181, "IQ_VALUE_TRADED", F181)</f>
        <v>0</v>
      </c>
    </row>
    <row r="182" spans="1:20" x14ac:dyDescent="0.3">
      <c r="A182" t="s">
        <v>597</v>
      </c>
      <c r="B182">
        <v>1.96</v>
      </c>
      <c r="C182" t="s">
        <v>598</v>
      </c>
      <c r="D182" t="s">
        <v>599</v>
      </c>
      <c r="E182" t="s">
        <v>89</v>
      </c>
      <c r="F182" s="1">
        <v>45321</v>
      </c>
      <c r="G182" t="s">
        <v>600</v>
      </c>
      <c r="H182">
        <v>41</v>
      </c>
      <c r="I182">
        <f>_xll.ciqfunctions.udf.CIQ(A182, "IQ_MARKETCAP", F182)</f>
        <v>72.741249999999994</v>
      </c>
      <c r="J182">
        <f>_xll.ciqfunctions.udf.CIQ(A182, "IQ_PRICE_VOL_HIST_6MTH", F182)</f>
        <v>89.528800000000004</v>
      </c>
      <c r="K182">
        <f>_xll.ciqfunctions.udf.CIQ(A182, "IQ_LASTSALEPRICE", WORKDAY(F182,-1))</f>
        <v>1.95</v>
      </c>
      <c r="L182">
        <f>_xll.ciqfunctions.udf.CIQ(A182, "IQ_LASTSALEPRICE", F182)</f>
        <v>1.9550000000000001</v>
      </c>
      <c r="M182">
        <f>_xll.ciqfunctions.udf.CIQ(A182, "IQ_LASTSALEPRICE", WORKDAY(F182,5))</f>
        <v>1.9950000000000001</v>
      </c>
      <c r="N182">
        <f t="shared" si="4"/>
        <v>2.5608208616736505E-3</v>
      </c>
      <c r="O182">
        <f t="shared" si="5"/>
        <v>2.2814677766171482E-2</v>
      </c>
      <c r="P182">
        <f>LN(_xll.ciqfunctions.udf.CIQ("XBI", "IQ_LASTSALEPRICE", WORKDAY(F182,-1))/_xll.ciqfunctions.udf.CIQ("XBI", "IQ_LASTSALEPRICE", WORKDAY(F182,1)))</f>
        <v>3.7820812414447874E-2</v>
      </c>
      <c r="Q182">
        <f>LN(_xll.ciqfunctions.udf.CIQ("XBI", "IQ_LASTSALEPRICE", WORKDAY(F182,-1))/_xll.ciqfunctions.udf.CIQ("XBI", "IQ_LASTSALEPRICE", WORKDAY(F182,5)))</f>
        <v>1.1519843832861323E-2</v>
      </c>
      <c r="R182">
        <f>_xll.ciqfunctions.udf.CIQ(A182, "IQ_SHORT_INTEREST_PERCENT", F182)</f>
        <v>3.78207</v>
      </c>
      <c r="S182">
        <f>_xll.ciqfunctions.udf.CIQ(A182, "IQ_BETA_1YR_RSQ", F182)</f>
        <v>0.16682</v>
      </c>
      <c r="T182">
        <f>_xll.ciqfunctions.udf.CIQ(A182, "IQ_VALUE_TRADED", F182)</f>
        <v>0.19114</v>
      </c>
    </row>
    <row r="183" spans="1:20" x14ac:dyDescent="0.3">
      <c r="A183" t="s">
        <v>601</v>
      </c>
      <c r="B183">
        <v>1.58</v>
      </c>
      <c r="C183" t="s">
        <v>602</v>
      </c>
      <c r="D183" t="s">
        <v>603</v>
      </c>
      <c r="E183" t="s">
        <v>36</v>
      </c>
      <c r="F183" s="1">
        <v>45321</v>
      </c>
      <c r="G183" t="s">
        <v>604</v>
      </c>
      <c r="H183">
        <v>44</v>
      </c>
      <c r="I183">
        <f>_xll.ciqfunctions.udf.CIQ(A183, "IQ_MARKETCAP", F183)</f>
        <v>21.227910000000001</v>
      </c>
      <c r="J183">
        <f>_xll.ciqfunctions.udf.CIQ(A183, "IQ_PRICE_VOL_HIST_6MTH", F183)</f>
        <v>121.09780000000001</v>
      </c>
      <c r="K183">
        <f>_xll.ciqfunctions.udf.CIQ(A183, "IQ_LASTSALEPRICE", WORKDAY(F183,-1))</f>
        <v>1.79</v>
      </c>
      <c r="L183">
        <f>_xll.ciqfunctions.udf.CIQ(A183, "IQ_LASTSALEPRICE", F183)</f>
        <v>1.58</v>
      </c>
      <c r="M183">
        <f>_xll.ciqfunctions.udf.CIQ(A183, "IQ_LASTSALEPRICE", WORKDAY(F183,5))</f>
        <v>1.58</v>
      </c>
      <c r="N183">
        <f t="shared" si="4"/>
        <v>-0.12479077281378811</v>
      </c>
      <c r="O183">
        <f t="shared" si="5"/>
        <v>-0.12479077281378811</v>
      </c>
      <c r="P183">
        <f>LN(_xll.ciqfunctions.udf.CIQ("XBI", "IQ_LASTSALEPRICE", WORKDAY(F183,-1))/_xll.ciqfunctions.udf.CIQ("XBI", "IQ_LASTSALEPRICE", WORKDAY(F183,1)))</f>
        <v>3.7820812414447874E-2</v>
      </c>
      <c r="Q183">
        <f>LN(_xll.ciqfunctions.udf.CIQ("XBI", "IQ_LASTSALEPRICE", WORKDAY(F183,-1))/_xll.ciqfunctions.udf.CIQ("XBI", "IQ_LASTSALEPRICE", WORKDAY(F183,5)))</f>
        <v>1.1519843832861323E-2</v>
      </c>
      <c r="R183">
        <f>_xll.ciqfunctions.udf.CIQ(A183, "IQ_SHORT_INTEREST_PERCENT", F183)</f>
        <v>0.35615000000000002</v>
      </c>
      <c r="S183">
        <f>_xll.ciqfunctions.udf.CIQ(A183, "IQ_BETA_1YR_RSQ", F183)</f>
        <v>0.11428000000000001</v>
      </c>
      <c r="T183">
        <f>_xll.ciqfunctions.udf.CIQ(A183, "IQ_VALUE_TRADED", F183)</f>
        <v>38.76491</v>
      </c>
    </row>
    <row r="184" spans="1:20" x14ac:dyDescent="0.3">
      <c r="A184" t="s">
        <v>356</v>
      </c>
      <c r="B184">
        <v>446.08</v>
      </c>
      <c r="C184" t="s">
        <v>605</v>
      </c>
      <c r="D184" t="s">
        <v>606</v>
      </c>
      <c r="E184" t="s">
        <v>36</v>
      </c>
      <c r="F184" s="1">
        <v>45321</v>
      </c>
      <c r="G184" t="s">
        <v>607</v>
      </c>
      <c r="H184">
        <v>256</v>
      </c>
      <c r="I184">
        <f>_xll.ciqfunctions.udf.CIQ(A184, "IQ_MARKETCAP", F184)</f>
        <v>114947.31471999999</v>
      </c>
      <c r="J184">
        <f>_xll.ciqfunctions.udf.CIQ(A184, "IQ_PRICE_VOL_HIST_6MTH", F184)</f>
        <v>26.574200000000001</v>
      </c>
      <c r="K184">
        <f>_xll.ciqfunctions.udf.CIQ(A184, "IQ_LASTSALEPRICE", WORKDAY(F184,-1))</f>
        <v>435.82</v>
      </c>
      <c r="L184">
        <f>_xll.ciqfunctions.udf.CIQ(A184, "IQ_LASTSALEPRICE", F184)</f>
        <v>446.08</v>
      </c>
      <c r="M184">
        <f>_xll.ciqfunctions.udf.CIQ(A184, "IQ_LASTSALEPRICE", WORKDAY(F184,5))</f>
        <v>416.13</v>
      </c>
      <c r="N184">
        <f t="shared" si="4"/>
        <v>2.3268994063328892E-2</v>
      </c>
      <c r="O184">
        <f t="shared" si="5"/>
        <v>-4.623160262546696E-2</v>
      </c>
      <c r="P184">
        <f>LN(_xll.ciqfunctions.udf.CIQ("XBI", "IQ_LASTSALEPRICE", WORKDAY(F184,-1))/_xll.ciqfunctions.udf.CIQ("XBI", "IQ_LASTSALEPRICE", WORKDAY(F184,1)))</f>
        <v>3.7820812414447874E-2</v>
      </c>
      <c r="Q184">
        <f>LN(_xll.ciqfunctions.udf.CIQ("XBI", "IQ_LASTSALEPRICE", WORKDAY(F184,-1))/_xll.ciqfunctions.udf.CIQ("XBI", "IQ_LASTSALEPRICE", WORKDAY(F184,5)))</f>
        <v>1.1519843832861323E-2</v>
      </c>
      <c r="R184">
        <f>_xll.ciqfunctions.udf.CIQ(A184, "IQ_SHORT_INTEREST_PERCENT", F184)</f>
        <v>1.3015099999999999</v>
      </c>
      <c r="S184">
        <f>_xll.ciqfunctions.udf.CIQ(A184, "IQ_BETA_1YR_RSQ", F184)</f>
        <v>0.15104000000000001</v>
      </c>
      <c r="T184">
        <f>_xll.ciqfunctions.udf.CIQ(A184, "IQ_VALUE_TRADED", F184)</f>
        <v>1485.4807499999999</v>
      </c>
    </row>
    <row r="185" spans="1:20" x14ac:dyDescent="0.3">
      <c r="A185" t="s">
        <v>42</v>
      </c>
      <c r="B185">
        <v>99.74</v>
      </c>
      <c r="C185" t="s">
        <v>608</v>
      </c>
      <c r="D185" t="s">
        <v>609</v>
      </c>
      <c r="E185" t="s">
        <v>36</v>
      </c>
      <c r="F185" s="1">
        <v>45322</v>
      </c>
      <c r="G185" t="s">
        <v>610</v>
      </c>
      <c r="I185">
        <f>_xll.ciqfunctions.udf.CIQ(A185, "IQ_MARKETCAP", F185)</f>
        <v>1473.8335500000001</v>
      </c>
      <c r="J185">
        <f>_xll.ciqfunctions.udf.CIQ(A185, "IQ_PRICE_VOL_HIST_6MTH", F185)</f>
        <v>46.567700000000002</v>
      </c>
      <c r="K185">
        <f>_xll.ciqfunctions.udf.CIQ(A185, "IQ_LASTSALEPRICE", WORKDAY(F185,-1))</f>
        <v>4.8</v>
      </c>
      <c r="L185">
        <f>_xll.ciqfunctions.udf.CIQ(A185, "IQ_LASTSALEPRICE", F185)</f>
        <v>4.75</v>
      </c>
      <c r="M185">
        <f>_xll.ciqfunctions.udf.CIQ(A185, "IQ_LASTSALEPRICE", WORKDAY(F185,5))</f>
        <v>4.9400000000000004</v>
      </c>
      <c r="N185">
        <f t="shared" si="4"/>
        <v>-1.0471299867295366E-2</v>
      </c>
      <c r="O185">
        <f t="shared" si="5"/>
        <v>2.8749413285986007E-2</v>
      </c>
      <c r="P185">
        <f>LN(_xll.ciqfunctions.udf.CIQ("XBI", "IQ_LASTSALEPRICE", WORKDAY(F185,-1))/_xll.ciqfunctions.udf.CIQ("XBI", "IQ_LASTSALEPRICE", WORKDAY(F185,1)))</f>
        <v>-2.2504791764480308E-3</v>
      </c>
      <c r="Q185">
        <f>LN(_xll.ciqfunctions.udf.CIQ("XBI", "IQ_LASTSALEPRICE", WORKDAY(F185,-1))/_xll.ciqfunctions.udf.CIQ("XBI", "IQ_LASTSALEPRICE", WORKDAY(F185,5)))</f>
        <v>7.9168022628598803E-3</v>
      </c>
      <c r="R185">
        <f>_xll.ciqfunctions.udf.CIQ(A185, "IQ_SHORT_INTEREST_PERCENT", F185)</f>
        <v>0</v>
      </c>
      <c r="S185">
        <f>_xll.ciqfunctions.udf.CIQ(A185, "IQ_BETA_1YR_RSQ", F185)</f>
        <v>8.7500000000000008E-3</v>
      </c>
      <c r="T185">
        <f>_xll.ciqfunctions.udf.CIQ(A185, "IQ_VALUE_TRADED", F185)</f>
        <v>0.13899</v>
      </c>
    </row>
    <row r="186" spans="1:20" x14ac:dyDescent="0.3">
      <c r="A186" t="s">
        <v>611</v>
      </c>
      <c r="B186">
        <v>7.72</v>
      </c>
      <c r="C186" t="s">
        <v>612</v>
      </c>
      <c r="D186" t="s">
        <v>613</v>
      </c>
      <c r="E186" t="s">
        <v>36</v>
      </c>
      <c r="F186" s="1">
        <v>45322</v>
      </c>
      <c r="G186" t="s">
        <v>614</v>
      </c>
      <c r="H186">
        <v>44</v>
      </c>
      <c r="I186">
        <f>_xll.ciqfunctions.udf.CIQ(A186, "IQ_MARKETCAP", F186)</f>
        <v>100.4594</v>
      </c>
      <c r="J186">
        <f>_xll.ciqfunctions.udf.CIQ(A186, "IQ_PRICE_VOL_HIST_6MTH", F186)</f>
        <v>277.19260000000003</v>
      </c>
      <c r="K186">
        <f>_xll.ciqfunctions.udf.CIQ(A186, "IQ_LASTSALEPRICE", WORKDAY(F186,-1))</f>
        <v>8.3000000000000007</v>
      </c>
      <c r="L186">
        <f>_xll.ciqfunctions.udf.CIQ(A186, "IQ_LASTSALEPRICE", F186)</f>
        <v>7.72</v>
      </c>
      <c r="M186">
        <f>_xll.ciqfunctions.udf.CIQ(A186, "IQ_LASTSALEPRICE", WORKDAY(F186,5))</f>
        <v>8.4160000000000004</v>
      </c>
      <c r="N186">
        <f t="shared" si="4"/>
        <v>-7.2441150765867601E-2</v>
      </c>
      <c r="O186">
        <f t="shared" si="5"/>
        <v>1.387914119280175E-2</v>
      </c>
      <c r="P186">
        <f>LN(_xll.ciqfunctions.udf.CIQ("XBI", "IQ_LASTSALEPRICE", WORKDAY(F186,-1))/_xll.ciqfunctions.udf.CIQ("XBI", "IQ_LASTSALEPRICE", WORKDAY(F186,1)))</f>
        <v>-2.2504791764480308E-3</v>
      </c>
      <c r="Q186">
        <f>LN(_xll.ciqfunctions.udf.CIQ("XBI", "IQ_LASTSALEPRICE", WORKDAY(F186,-1))/_xll.ciqfunctions.udf.CIQ("XBI", "IQ_LASTSALEPRICE", WORKDAY(F186,5)))</f>
        <v>7.9168022628598803E-3</v>
      </c>
      <c r="R186">
        <f>_xll.ciqfunctions.udf.CIQ(A186, "IQ_SHORT_INTEREST_PERCENT", F186)</f>
        <v>4.6597299999999997</v>
      </c>
      <c r="S186">
        <f>_xll.ciqfunctions.udf.CIQ(A186, "IQ_BETA_1YR_RSQ", F186)</f>
        <v>1.9789999999999999E-2</v>
      </c>
      <c r="T186">
        <f>_xll.ciqfunctions.udf.CIQ(A186, "IQ_VALUE_TRADED", F186)</f>
        <v>0.69518999999999997</v>
      </c>
    </row>
    <row r="187" spans="1:20" x14ac:dyDescent="0.3">
      <c r="A187" t="s">
        <v>216</v>
      </c>
      <c r="B187">
        <v>113.92</v>
      </c>
      <c r="C187" t="s">
        <v>615</v>
      </c>
      <c r="D187" t="s">
        <v>616</v>
      </c>
      <c r="E187" t="s">
        <v>36</v>
      </c>
      <c r="F187" s="1">
        <v>45322</v>
      </c>
      <c r="G187" t="s">
        <v>617</v>
      </c>
      <c r="I187">
        <f>_xll.ciqfunctions.udf.CIQ(A187, "IQ_MARKETCAP", F187)</f>
        <v>3452603.28376</v>
      </c>
      <c r="J187">
        <f>_xll.ciqfunctions.udf.CIQ(A187, "IQ_PRICE_VOL_HIST_6MTH", F187)</f>
        <v>34.947899999999997</v>
      </c>
      <c r="K187">
        <f>_xll.ciqfunctions.udf.CIQ(A187, "IQ_LASTSALEPRICE", WORKDAY(F187,-1))</f>
        <v>109.02</v>
      </c>
      <c r="L187">
        <f>_xll.ciqfunctions.udf.CIQ(A187, "IQ_LASTSALEPRICE", F187)</f>
        <v>114.74</v>
      </c>
      <c r="M187">
        <f>_xll.ciqfunctions.udf.CIQ(A187, "IQ_LASTSALEPRICE", WORKDAY(F187,5))</f>
        <v>118.66</v>
      </c>
      <c r="N187">
        <f t="shared" si="4"/>
        <v>5.1137347537590229E-2</v>
      </c>
      <c r="O187">
        <f t="shared" si="5"/>
        <v>8.4730909194362478E-2</v>
      </c>
      <c r="P187">
        <f>LN(_xll.ciqfunctions.udf.CIQ("XBI", "IQ_LASTSALEPRICE", WORKDAY(F187,-1))/_xll.ciqfunctions.udf.CIQ("XBI", "IQ_LASTSALEPRICE", WORKDAY(F187,1)))</f>
        <v>-2.2504791764480308E-3</v>
      </c>
      <c r="Q187">
        <f>LN(_xll.ciqfunctions.udf.CIQ("XBI", "IQ_LASTSALEPRICE", WORKDAY(F187,-1))/_xll.ciqfunctions.udf.CIQ("XBI", "IQ_LASTSALEPRICE", WORKDAY(F187,5)))</f>
        <v>7.9168022628598803E-3</v>
      </c>
      <c r="R187">
        <f>_xll.ciqfunctions.udf.CIQ(A187, "IQ_SHORT_INTEREST_PERCENT", F187)</f>
        <v>0</v>
      </c>
      <c r="S187">
        <f>_xll.ciqfunctions.udf.CIQ(A187, "IQ_BETA_1YR_RSQ", F187)</f>
        <v>0</v>
      </c>
      <c r="T187">
        <f>_xll.ciqfunctions.udf.CIQ(A187, "IQ_VALUE_TRADED", F187)</f>
        <v>1459.0479499999999</v>
      </c>
    </row>
    <row r="188" spans="1:20" x14ac:dyDescent="0.3">
      <c r="A188" t="s">
        <v>618</v>
      </c>
      <c r="B188">
        <v>32.97</v>
      </c>
      <c r="C188" t="s">
        <v>619</v>
      </c>
      <c r="D188" t="s">
        <v>620</v>
      </c>
      <c r="E188" t="s">
        <v>36</v>
      </c>
      <c r="F188" s="1">
        <v>45323</v>
      </c>
      <c r="G188" t="s">
        <v>621</v>
      </c>
      <c r="I188">
        <f>_xll.ciqfunctions.udf.CIQ(A188, "IQ_MARKETCAP", F188)</f>
        <v>187596.32266000001</v>
      </c>
      <c r="J188">
        <f>_xll.ciqfunctions.udf.CIQ(A188, "IQ_PRICE_VOL_HIST_6MTH", F188)</f>
        <v>0</v>
      </c>
      <c r="K188">
        <f>_xll.ciqfunctions.udf.CIQ(A188, "IQ_LASTSALEPRICE", WORKDAY(F188,-1))</f>
        <v>0</v>
      </c>
      <c r="L188">
        <f>_xll.ciqfunctions.udf.CIQ(A188, "IQ_LASTSALEPRICE", F188)</f>
        <v>0</v>
      </c>
      <c r="M188">
        <f>_xll.ciqfunctions.udf.CIQ(A188, "IQ_LASTSALEPRICE", WORKDAY(F188,5))</f>
        <v>0</v>
      </c>
      <c r="N188" t="e">
        <f t="shared" si="4"/>
        <v>#DIV/0!</v>
      </c>
      <c r="O188" t="e">
        <f t="shared" si="5"/>
        <v>#DIV/0!</v>
      </c>
      <c r="P188">
        <f>LN(_xll.ciqfunctions.udf.CIQ("XBI", "IQ_LASTSALEPRICE", WORKDAY(F188,-1))/_xll.ciqfunctions.udf.CIQ("XBI", "IQ_LASTSALEPRICE", WORKDAY(F188,1)))</f>
        <v>-6.1573740717834136E-3</v>
      </c>
      <c r="Q188">
        <f>LN(_xll.ciqfunctions.udf.CIQ("XBI", "IQ_LASTSALEPRICE", WORKDAY(F188,-1))/_xll.ciqfunctions.udf.CIQ("XBI", "IQ_LASTSALEPRICE", WORKDAY(F188,5)))</f>
        <v>-2.0266756507318961E-2</v>
      </c>
      <c r="R188">
        <f>_xll.ciqfunctions.udf.CIQ(A188, "IQ_SHORT_INTEREST_PERCENT", F188)</f>
        <v>0</v>
      </c>
      <c r="S188">
        <f>_xll.ciqfunctions.udf.CIQ(A188, "IQ_BETA_1YR_RSQ", F188)</f>
        <v>0</v>
      </c>
      <c r="T188">
        <f>_xll.ciqfunctions.udf.CIQ(A188, "IQ_VALUE_TRADED", F188)</f>
        <v>0</v>
      </c>
    </row>
    <row r="189" spans="1:20" x14ac:dyDescent="0.3">
      <c r="A189" t="s">
        <v>622</v>
      </c>
      <c r="B189">
        <v>6.34</v>
      </c>
      <c r="C189" t="s">
        <v>623</v>
      </c>
      <c r="D189" t="s">
        <v>624</v>
      </c>
      <c r="E189" t="s">
        <v>36</v>
      </c>
      <c r="F189" s="1">
        <v>45323</v>
      </c>
      <c r="G189" t="s">
        <v>625</v>
      </c>
      <c r="H189">
        <v>37</v>
      </c>
      <c r="I189">
        <f>_xll.ciqfunctions.udf.CIQ(A189, "IQ_MARKETCAP", F189)</f>
        <v>234.11949000000001</v>
      </c>
      <c r="J189">
        <f>_xll.ciqfunctions.udf.CIQ(A189, "IQ_PRICE_VOL_HIST_6MTH", F189)</f>
        <v>74.316699999999997</v>
      </c>
      <c r="K189">
        <f>_xll.ciqfunctions.udf.CIQ(A189, "IQ_LASTSALEPRICE", WORKDAY(F189,-1))</f>
        <v>6.65</v>
      </c>
      <c r="L189">
        <f>_xll.ciqfunctions.udf.CIQ(A189, "IQ_LASTSALEPRICE", F189)</f>
        <v>6.34</v>
      </c>
      <c r="M189">
        <f>_xll.ciqfunctions.udf.CIQ(A189, "IQ_LASTSALEPRICE", WORKDAY(F189,5))</f>
        <v>6.4</v>
      </c>
      <c r="N189">
        <f t="shared" si="4"/>
        <v>-4.7738086218628316E-2</v>
      </c>
      <c r="O189">
        <f t="shared" si="5"/>
        <v>-3.8318864302136657E-2</v>
      </c>
      <c r="P189">
        <f>LN(_xll.ciqfunctions.udf.CIQ("XBI", "IQ_LASTSALEPRICE", WORKDAY(F189,-1))/_xll.ciqfunctions.udf.CIQ("XBI", "IQ_LASTSALEPRICE", WORKDAY(F189,1)))</f>
        <v>-6.1573740717834136E-3</v>
      </c>
      <c r="Q189">
        <f>LN(_xll.ciqfunctions.udf.CIQ("XBI", "IQ_LASTSALEPRICE", WORKDAY(F189,-1))/_xll.ciqfunctions.udf.CIQ("XBI", "IQ_LASTSALEPRICE", WORKDAY(F189,5)))</f>
        <v>-2.0266756507318961E-2</v>
      </c>
      <c r="R189">
        <f>_xll.ciqfunctions.udf.CIQ(A189, "IQ_SHORT_INTEREST_PERCENT", F189)</f>
        <v>0.18503</v>
      </c>
      <c r="S189">
        <f>_xll.ciqfunctions.udf.CIQ(A189, "IQ_BETA_1YR_RSQ", F189)</f>
        <v>2.299E-2</v>
      </c>
      <c r="T189">
        <f>_xll.ciqfunctions.udf.CIQ(A189, "IQ_VALUE_TRADED", F189)</f>
        <v>0.48111999999999999</v>
      </c>
    </row>
    <row r="190" spans="1:20" x14ac:dyDescent="0.3">
      <c r="A190" t="s">
        <v>433</v>
      </c>
      <c r="B190">
        <v>64.650000000000006</v>
      </c>
      <c r="C190" t="s">
        <v>626</v>
      </c>
      <c r="D190" t="s">
        <v>627</v>
      </c>
      <c r="E190" t="s">
        <v>36</v>
      </c>
      <c r="F190" s="1">
        <v>45324</v>
      </c>
      <c r="G190" t="s">
        <v>628</v>
      </c>
      <c r="I190">
        <f>_xll.ciqfunctions.udf.CIQ(A190, "IQ_MARKETCAP", F190)</f>
        <v>160599.61541999999</v>
      </c>
      <c r="J190">
        <f>_xll.ciqfunctions.udf.CIQ(A190, "IQ_PRICE_VOL_HIST_6MTH", F190)</f>
        <v>21.327999999999999</v>
      </c>
      <c r="K190">
        <f>_xll.ciqfunctions.udf.CIQ(A190, "IQ_LASTSALEPRICE", WORKDAY(F190,-1))</f>
        <v>104.3</v>
      </c>
      <c r="L190">
        <f>_xll.ciqfunctions.udf.CIQ(A190, "IQ_LASTSALEPRICE", F190)</f>
        <v>103.6</v>
      </c>
      <c r="M190">
        <f>_xll.ciqfunctions.udf.CIQ(A190, "IQ_LASTSALEPRICE", WORKDAY(F190,5))</f>
        <v>97.61</v>
      </c>
      <c r="N190">
        <f t="shared" si="4"/>
        <v>-6.7340321813440683E-3</v>
      </c>
      <c r="O190">
        <f t="shared" si="5"/>
        <v>-6.6291414819852956E-2</v>
      </c>
      <c r="P190">
        <f>LN(_xll.ciqfunctions.udf.CIQ("XBI", "IQ_LASTSALEPRICE", WORKDAY(F190,-1))/_xll.ciqfunctions.udf.CIQ("XBI", "IQ_LASTSALEPRICE", WORKDAY(F190,1)))</f>
        <v>6.3141488389630357E-3</v>
      </c>
      <c r="Q190">
        <f>LN(_xll.ciqfunctions.udf.CIQ("XBI", "IQ_LASTSALEPRICE", WORKDAY(F190,-1))/_xll.ciqfunctions.udf.CIQ("XBI", "IQ_LASTSALEPRICE", WORKDAY(F190,5)))</f>
        <v>-2.2999736121344913E-2</v>
      </c>
      <c r="R190">
        <f>_xll.ciqfunctions.udf.CIQ(A190, "IQ_SHORT_INTEREST_PERCENT", F190)</f>
        <v>0</v>
      </c>
      <c r="S190">
        <f>_xll.ciqfunctions.udf.CIQ(A190, "IQ_BETA_1YR_RSQ", F190)</f>
        <v>0.13986000000000001</v>
      </c>
      <c r="T190">
        <f>_xll.ciqfunctions.udf.CIQ(A190, "IQ_VALUE_TRADED", F190)</f>
        <v>304.91842000000003</v>
      </c>
    </row>
    <row r="191" spans="1:20" x14ac:dyDescent="0.3">
      <c r="A191" t="s">
        <v>629</v>
      </c>
      <c r="B191">
        <v>33.909999999999997</v>
      </c>
      <c r="C191" t="s">
        <v>626</v>
      </c>
      <c r="D191" t="s">
        <v>627</v>
      </c>
      <c r="E191" t="s">
        <v>36</v>
      </c>
      <c r="F191" s="1">
        <v>45324</v>
      </c>
      <c r="G191" t="s">
        <v>628</v>
      </c>
      <c r="H191">
        <v>191</v>
      </c>
      <c r="I191">
        <f>_xll.ciqfunctions.udf.CIQ(A191, "IQ_MARKETCAP", F191)</f>
        <v>5899.2227300000004</v>
      </c>
      <c r="J191">
        <f>_xll.ciqfunctions.udf.CIQ(A191, "IQ_PRICE_VOL_HIST_6MTH", F191)</f>
        <v>52.025799999999997</v>
      </c>
      <c r="K191">
        <f>_xll.ciqfunctions.udf.CIQ(A191, "IQ_LASTSALEPRICE", WORKDAY(F191,-1))</f>
        <v>33.31</v>
      </c>
      <c r="L191">
        <f>_xll.ciqfunctions.udf.CIQ(A191, "IQ_LASTSALEPRICE", F191)</f>
        <v>33.909999999999997</v>
      </c>
      <c r="M191">
        <f>_xll.ciqfunctions.udf.CIQ(A191, "IQ_LASTSALEPRICE", WORKDAY(F191,5))</f>
        <v>34.47</v>
      </c>
      <c r="N191">
        <f t="shared" si="4"/>
        <v>1.7852303931958698E-2</v>
      </c>
      <c r="O191">
        <f t="shared" si="5"/>
        <v>3.4231728323185662E-2</v>
      </c>
      <c r="P191">
        <f>LN(_xll.ciqfunctions.udf.CIQ("XBI", "IQ_LASTSALEPRICE", WORKDAY(F191,-1))/_xll.ciqfunctions.udf.CIQ("XBI", "IQ_LASTSALEPRICE", WORKDAY(F191,1)))</f>
        <v>6.3141488389630357E-3</v>
      </c>
      <c r="Q191">
        <f>LN(_xll.ciqfunctions.udf.CIQ("XBI", "IQ_LASTSALEPRICE", WORKDAY(F191,-1))/_xll.ciqfunctions.udf.CIQ("XBI", "IQ_LASTSALEPRICE", WORKDAY(F191,5)))</f>
        <v>-2.2999736121344913E-2</v>
      </c>
      <c r="R191">
        <f>_xll.ciqfunctions.udf.CIQ(A191, "IQ_SHORT_INTEREST_PERCENT", F191)</f>
        <v>9.2668700000000008</v>
      </c>
      <c r="S191">
        <f>_xll.ciqfunctions.udf.CIQ(A191, "IQ_BETA_1YR_RSQ", F191)</f>
        <v>2.6589999999999999E-2</v>
      </c>
      <c r="T191">
        <f>_xll.ciqfunctions.udf.CIQ(A191, "IQ_VALUE_TRADED", F191)</f>
        <v>56.431870000000004</v>
      </c>
    </row>
    <row r="192" spans="1:20" x14ac:dyDescent="0.3">
      <c r="A192" t="s">
        <v>630</v>
      </c>
      <c r="B192">
        <v>13.58</v>
      </c>
      <c r="C192" t="s">
        <v>631</v>
      </c>
      <c r="D192" t="s">
        <v>632</v>
      </c>
      <c r="E192" t="s">
        <v>76</v>
      </c>
      <c r="F192" s="1">
        <v>45324</v>
      </c>
      <c r="G192" t="s">
        <v>633</v>
      </c>
      <c r="H192">
        <v>86</v>
      </c>
      <c r="I192">
        <f>_xll.ciqfunctions.udf.CIQ(A192, "IQ_MARKETCAP", F192)</f>
        <v>1029.5284099999999</v>
      </c>
      <c r="J192">
        <f>_xll.ciqfunctions.udf.CIQ(A192, "IQ_PRICE_VOL_HIST_6MTH", F192)</f>
        <v>62.385399999999997</v>
      </c>
      <c r="K192">
        <f>_xll.ciqfunctions.udf.CIQ(A192, "IQ_LASTSALEPRICE", WORKDAY(F192,-1))</f>
        <v>13.6</v>
      </c>
      <c r="L192">
        <f>_xll.ciqfunctions.udf.CIQ(A192, "IQ_LASTSALEPRICE", F192)</f>
        <v>13.58</v>
      </c>
      <c r="M192">
        <f>_xll.ciqfunctions.udf.CIQ(A192, "IQ_LASTSALEPRICE", WORKDAY(F192,5))</f>
        <v>14.81</v>
      </c>
      <c r="N192">
        <f t="shared" si="4"/>
        <v>-1.4716706114562507E-3</v>
      </c>
      <c r="O192">
        <f t="shared" si="5"/>
        <v>8.523283553770121E-2</v>
      </c>
      <c r="P192">
        <f>LN(_xll.ciqfunctions.udf.CIQ("XBI", "IQ_LASTSALEPRICE", WORKDAY(F192,-1))/_xll.ciqfunctions.udf.CIQ("XBI", "IQ_LASTSALEPRICE", WORKDAY(F192,1)))</f>
        <v>6.3141488389630357E-3</v>
      </c>
      <c r="Q192">
        <f>LN(_xll.ciqfunctions.udf.CIQ("XBI", "IQ_LASTSALEPRICE", WORKDAY(F192,-1))/_xll.ciqfunctions.udf.CIQ("XBI", "IQ_LASTSALEPRICE", WORKDAY(F192,5)))</f>
        <v>-2.2999736121344913E-2</v>
      </c>
      <c r="R192">
        <f>_xll.ciqfunctions.udf.CIQ(A192, "IQ_SHORT_INTEREST_PERCENT", F192)</f>
        <v>7.2726800000000003</v>
      </c>
      <c r="S192">
        <f>_xll.ciqfunctions.udf.CIQ(A192, "IQ_BETA_1YR_RSQ", F192)</f>
        <v>3.1E-2</v>
      </c>
      <c r="T192">
        <f>_xll.ciqfunctions.udf.CIQ(A192, "IQ_VALUE_TRADED", F192)</f>
        <v>7.8421900000000004</v>
      </c>
    </row>
    <row r="193" spans="1:20" x14ac:dyDescent="0.3">
      <c r="A193" t="s">
        <v>300</v>
      </c>
      <c r="B193">
        <v>17.489999999999998</v>
      </c>
      <c r="C193" t="s">
        <v>634</v>
      </c>
      <c r="D193" t="s">
        <v>635</v>
      </c>
      <c r="E193" t="s">
        <v>76</v>
      </c>
      <c r="F193" s="1">
        <v>45325</v>
      </c>
      <c r="G193" t="s">
        <v>636</v>
      </c>
      <c r="H193">
        <v>46</v>
      </c>
      <c r="I193">
        <f>_xll.ciqfunctions.udf.CIQ(A193, "IQ_MARKETCAP", F193)</f>
        <v>747.76058999999998</v>
      </c>
      <c r="J193">
        <f>_xll.ciqfunctions.udf.CIQ(A193, "IQ_PRICE_VOL_HIST_6MTH", F193)</f>
        <v>59.349600000000002</v>
      </c>
      <c r="K193">
        <f>_xll.ciqfunctions.udf.CIQ(A193, "IQ_LASTSALEPRICE", WORKDAY(F193,-1))</f>
        <v>17.489999999999998</v>
      </c>
      <c r="L193">
        <f>_xll.ciqfunctions.udf.CIQ(A193, "IQ_LASTSALEPRICE", F193)</f>
        <v>17.489999999999998</v>
      </c>
      <c r="M193">
        <f>_xll.ciqfunctions.udf.CIQ(A193, "IQ_LASTSALEPRICE", WORKDAY(F193,5))</f>
        <v>28.63</v>
      </c>
      <c r="N193">
        <f t="shared" si="4"/>
        <v>0</v>
      </c>
      <c r="O193">
        <f t="shared" si="5"/>
        <v>0.49282583007951297</v>
      </c>
      <c r="P193">
        <f>LN(_xll.ciqfunctions.udf.CIQ("XBI", "IQ_LASTSALEPRICE", WORKDAY(F193,-1))/_xll.ciqfunctions.udf.CIQ("XBI", "IQ_LASTSALEPRICE", WORKDAY(F193,1)))</f>
        <v>-4.9892381531299072E-3</v>
      </c>
      <c r="Q193">
        <f>LN(_xll.ciqfunctions.udf.CIQ("XBI", "IQ_LASTSALEPRICE", WORKDAY(F193,-1))/_xll.ciqfunctions.udf.CIQ("XBI", "IQ_LASTSALEPRICE", WORKDAY(F193,5)))</f>
        <v>-3.4303123113437681E-2</v>
      </c>
      <c r="R193">
        <f>_xll.ciqfunctions.udf.CIQ(A193, "IQ_SHORT_INTEREST_PERCENT", F193)</f>
        <v>6.7373200000000004</v>
      </c>
      <c r="S193">
        <f>_xll.ciqfunctions.udf.CIQ(A193, "IQ_BETA_1YR_RSQ", F193)</f>
        <v>0.13272999999999999</v>
      </c>
      <c r="T193">
        <f>_xll.ciqfunctions.udf.CIQ(A193, "IQ_VALUE_TRADED", F193)</f>
        <v>0</v>
      </c>
    </row>
    <row r="194" spans="1:20" x14ac:dyDescent="0.3">
      <c r="A194" t="s">
        <v>637</v>
      </c>
      <c r="B194">
        <v>0.98</v>
      </c>
      <c r="C194" t="s">
        <v>638</v>
      </c>
      <c r="D194" t="s">
        <v>639</v>
      </c>
      <c r="E194" t="s">
        <v>17</v>
      </c>
      <c r="F194" s="1">
        <v>45325</v>
      </c>
      <c r="G194" t="s">
        <v>640</v>
      </c>
      <c r="H194">
        <v>228</v>
      </c>
      <c r="I194">
        <f>_xll.ciqfunctions.udf.CIQ(A194, "IQ_MARKETCAP", F194)</f>
        <v>171.48694</v>
      </c>
      <c r="J194">
        <f>_xll.ciqfunctions.udf.CIQ(A194, "IQ_PRICE_VOL_HIST_6MTH", F194)</f>
        <v>65.429100000000005</v>
      </c>
      <c r="K194">
        <f>_xll.ciqfunctions.udf.CIQ(A194, "IQ_LASTSALEPRICE", WORKDAY(F194,-1))</f>
        <v>0.98</v>
      </c>
      <c r="L194">
        <f>_xll.ciqfunctions.udf.CIQ(A194, "IQ_LASTSALEPRICE", F194)</f>
        <v>0.98</v>
      </c>
      <c r="M194">
        <f>_xll.ciqfunctions.udf.CIQ(A194, "IQ_LASTSALEPRICE", WORKDAY(F194,5))</f>
        <v>1.08</v>
      </c>
      <c r="N194">
        <f t="shared" si="4"/>
        <v>0</v>
      </c>
      <c r="O194">
        <f t="shared" si="5"/>
        <v>9.7163748453647877E-2</v>
      </c>
      <c r="P194">
        <f>LN(_xll.ciqfunctions.udf.CIQ("XBI", "IQ_LASTSALEPRICE", WORKDAY(F194,-1))/_xll.ciqfunctions.udf.CIQ("XBI", "IQ_LASTSALEPRICE", WORKDAY(F194,1)))</f>
        <v>-4.9892381531299072E-3</v>
      </c>
      <c r="Q194">
        <f>LN(_xll.ciqfunctions.udf.CIQ("XBI", "IQ_LASTSALEPRICE", WORKDAY(F194,-1))/_xll.ciqfunctions.udf.CIQ("XBI", "IQ_LASTSALEPRICE", WORKDAY(F194,5)))</f>
        <v>-3.4303123113437681E-2</v>
      </c>
      <c r="R194">
        <f>_xll.ciqfunctions.udf.CIQ(A194, "IQ_SHORT_INTEREST_PERCENT", F194)</f>
        <v>4.5036399999999999</v>
      </c>
      <c r="S194">
        <f>_xll.ciqfunctions.udf.CIQ(A194, "IQ_BETA_1YR_RSQ", F194)</f>
        <v>2.3380000000000001E-2</v>
      </c>
      <c r="T194">
        <f>_xll.ciqfunctions.udf.CIQ(A194, "IQ_VALUE_TRADED", F194)</f>
        <v>0</v>
      </c>
    </row>
    <row r="195" spans="1:20" x14ac:dyDescent="0.3">
      <c r="A195" t="s">
        <v>641</v>
      </c>
      <c r="B195">
        <v>4.03</v>
      </c>
      <c r="C195" t="s">
        <v>642</v>
      </c>
      <c r="D195" t="s">
        <v>643</v>
      </c>
      <c r="E195" t="s">
        <v>22</v>
      </c>
      <c r="F195" s="1">
        <v>45325</v>
      </c>
      <c r="G195" t="s">
        <v>644</v>
      </c>
      <c r="H195">
        <v>52</v>
      </c>
      <c r="I195">
        <f>_xll.ciqfunctions.udf.CIQ(A195, "IQ_MARKETCAP", F195)</f>
        <v>210.71268000000001</v>
      </c>
      <c r="J195">
        <f>_xll.ciqfunctions.udf.CIQ(A195, "IQ_PRICE_VOL_HIST_6MTH", F195)</f>
        <v>109.87179999999999</v>
      </c>
      <c r="K195">
        <f>_xll.ciqfunctions.udf.CIQ(A195, "IQ_LASTSALEPRICE", WORKDAY(F195,-1))</f>
        <v>4.03</v>
      </c>
      <c r="L195">
        <f>_xll.ciqfunctions.udf.CIQ(A195, "IQ_LASTSALEPRICE", F195)</f>
        <v>4.03</v>
      </c>
      <c r="M195">
        <f>_xll.ciqfunctions.udf.CIQ(A195, "IQ_LASTSALEPRICE", WORKDAY(F195,5))</f>
        <v>5.38</v>
      </c>
      <c r="N195">
        <f t="shared" ref="N195:N258" si="6">LN(L195/K195)</f>
        <v>0</v>
      </c>
      <c r="O195">
        <f t="shared" ref="O195:O258" si="7">LN(M195/K195)</f>
        <v>0.28892199821510139</v>
      </c>
      <c r="P195">
        <f>LN(_xll.ciqfunctions.udf.CIQ("XBI", "IQ_LASTSALEPRICE", WORKDAY(F195,-1))/_xll.ciqfunctions.udf.CIQ("XBI", "IQ_LASTSALEPRICE", WORKDAY(F195,1)))</f>
        <v>-4.9892381531299072E-3</v>
      </c>
      <c r="Q195">
        <f>LN(_xll.ciqfunctions.udf.CIQ("XBI", "IQ_LASTSALEPRICE", WORKDAY(F195,-1))/_xll.ciqfunctions.udf.CIQ("XBI", "IQ_LASTSALEPRICE", WORKDAY(F195,5)))</f>
        <v>-3.4303123113437681E-2</v>
      </c>
      <c r="R195">
        <f>_xll.ciqfunctions.udf.CIQ(A195, "IQ_SHORT_INTEREST_PERCENT", F195)</f>
        <v>2.6087699999999998</v>
      </c>
      <c r="S195">
        <f>_xll.ciqfunctions.udf.CIQ(A195, "IQ_BETA_1YR_RSQ", F195)</f>
        <v>0.18385000000000001</v>
      </c>
      <c r="T195">
        <f>_xll.ciqfunctions.udf.CIQ(A195, "IQ_VALUE_TRADED", F195)</f>
        <v>0</v>
      </c>
    </row>
    <row r="196" spans="1:20" x14ac:dyDescent="0.3">
      <c r="A196" t="s">
        <v>645</v>
      </c>
      <c r="B196">
        <v>3.45</v>
      </c>
      <c r="C196" t="s">
        <v>646</v>
      </c>
      <c r="D196" t="s">
        <v>647</v>
      </c>
      <c r="E196" t="s">
        <v>76</v>
      </c>
      <c r="F196" s="1">
        <v>45326</v>
      </c>
      <c r="G196" t="s">
        <v>648</v>
      </c>
      <c r="H196">
        <v>7</v>
      </c>
      <c r="I196">
        <f>_xll.ciqfunctions.udf.CIQ(A196, "IQ_MARKETCAP", F196)</f>
        <v>13.17937</v>
      </c>
      <c r="J196">
        <f>_xll.ciqfunctions.udf.CIQ(A196, "IQ_PRICE_VOL_HIST_6MTH", F196)</f>
        <v>91.641199999999998</v>
      </c>
      <c r="K196">
        <f>_xll.ciqfunctions.udf.CIQ(A196, "IQ_LASTSALEPRICE", WORKDAY(F196,-1))</f>
        <v>2.8</v>
      </c>
      <c r="L196">
        <f>_xll.ciqfunctions.udf.CIQ(A196, "IQ_LASTSALEPRICE", F196)</f>
        <v>2.8</v>
      </c>
      <c r="M196">
        <f>_xll.ciqfunctions.udf.CIQ(A196, "IQ_LASTSALEPRICE", WORKDAY(F196,5))</f>
        <v>1.35</v>
      </c>
      <c r="N196">
        <f t="shared" si="6"/>
        <v>0</v>
      </c>
      <c r="O196">
        <f t="shared" si="7"/>
        <v>-0.72951482473082008</v>
      </c>
      <c r="P196">
        <f>LN(_xll.ciqfunctions.udf.CIQ("XBI", "IQ_LASTSALEPRICE", WORKDAY(F196,-1))/_xll.ciqfunctions.udf.CIQ("XBI", "IQ_LASTSALEPRICE", WORKDAY(F196,1)))</f>
        <v>-4.9892381531299072E-3</v>
      </c>
      <c r="Q196">
        <f>LN(_xll.ciqfunctions.udf.CIQ("XBI", "IQ_LASTSALEPRICE", WORKDAY(F196,-1))/_xll.ciqfunctions.udf.CIQ("XBI", "IQ_LASTSALEPRICE", WORKDAY(F196,5)))</f>
        <v>-3.4303123113437681E-2</v>
      </c>
      <c r="R196">
        <f>_xll.ciqfunctions.udf.CIQ(A196, "IQ_SHORT_INTEREST_PERCENT", F196)</f>
        <v>0.19428999999999999</v>
      </c>
      <c r="S196">
        <f>_xll.ciqfunctions.udf.CIQ(A196, "IQ_BETA_1YR_RSQ", F196)</f>
        <v>4.4389999999999999E-2</v>
      </c>
      <c r="T196">
        <f>_xll.ciqfunctions.udf.CIQ(A196, "IQ_VALUE_TRADED", F196)</f>
        <v>0</v>
      </c>
    </row>
    <row r="197" spans="1:20" x14ac:dyDescent="0.3">
      <c r="A197" t="s">
        <v>316</v>
      </c>
      <c r="B197">
        <v>27.79</v>
      </c>
      <c r="C197" t="s">
        <v>649</v>
      </c>
      <c r="D197" t="s">
        <v>635</v>
      </c>
      <c r="E197" t="s">
        <v>76</v>
      </c>
      <c r="F197" s="1">
        <v>45327</v>
      </c>
      <c r="G197" t="s">
        <v>650</v>
      </c>
      <c r="H197">
        <v>68</v>
      </c>
      <c r="I197">
        <f>_xll.ciqfunctions.udf.CIQ(A197, "IQ_MARKETCAP", F197)</f>
        <v>1308.1903</v>
      </c>
      <c r="J197">
        <f>_xll.ciqfunctions.udf.CIQ(A197, "IQ_PRICE_VOL_HIST_6MTH", F197)</f>
        <v>171.85560000000001</v>
      </c>
      <c r="K197">
        <f>_xll.ciqfunctions.udf.CIQ(A197, "IQ_LASTSALEPRICE", WORKDAY(F197,-1))</f>
        <v>28.7</v>
      </c>
      <c r="L197">
        <f>_xll.ciqfunctions.udf.CIQ(A197, "IQ_LASTSALEPRICE", F197)</f>
        <v>27.79</v>
      </c>
      <c r="M197">
        <f>_xll.ciqfunctions.udf.CIQ(A197, "IQ_LASTSALEPRICE", WORKDAY(F197,5))</f>
        <v>29.71</v>
      </c>
      <c r="N197">
        <f t="shared" si="6"/>
        <v>-3.2220879011163106E-2</v>
      </c>
      <c r="O197">
        <f t="shared" si="7"/>
        <v>3.458656670894085E-2</v>
      </c>
      <c r="P197">
        <f>LN(_xll.ciqfunctions.udf.CIQ("XBI", "IQ_LASTSALEPRICE", WORKDAY(F197,-1))/_xll.ciqfunctions.udf.CIQ("XBI", "IQ_LASTSALEPRICE", WORKDAY(F197,1)))</f>
        <v>-2.0143594509803093E-2</v>
      </c>
      <c r="Q197">
        <f>LN(_xll.ciqfunctions.udf.CIQ("XBI", "IQ_LASTSALEPRICE", WORKDAY(F197,-1))/_xll.ciqfunctions.udf.CIQ("XBI", "IQ_LASTSALEPRICE", WORKDAY(F197,5)))</f>
        <v>-5.6678337018438212E-2</v>
      </c>
      <c r="R197">
        <f>_xll.ciqfunctions.udf.CIQ(A197, "IQ_SHORT_INTEREST_PERCENT", F197)</f>
        <v>11.056850000000001</v>
      </c>
      <c r="S197">
        <f>_xll.ciqfunctions.udf.CIQ(A197, "IQ_BETA_1YR_RSQ", F197)</f>
        <v>4.709E-2</v>
      </c>
      <c r="T197">
        <f>_xll.ciqfunctions.udf.CIQ(A197, "IQ_VALUE_TRADED", F197)</f>
        <v>47.873579999999997</v>
      </c>
    </row>
    <row r="198" spans="1:20" x14ac:dyDescent="0.3">
      <c r="A198" t="s">
        <v>596</v>
      </c>
      <c r="B198">
        <v>15.85</v>
      </c>
      <c r="C198" t="s">
        <v>651</v>
      </c>
      <c r="D198" t="s">
        <v>652</v>
      </c>
      <c r="E198" t="s">
        <v>36</v>
      </c>
      <c r="F198" s="1">
        <v>45327</v>
      </c>
      <c r="G198" t="s">
        <v>653</v>
      </c>
      <c r="H198">
        <v>540</v>
      </c>
      <c r="I198">
        <f>_xll.ciqfunctions.udf.CIQ(A198, "IQ_MARKETCAP", F198)</f>
        <v>1243222.7480599999</v>
      </c>
      <c r="J198">
        <f>_xll.ciqfunctions.udf.CIQ(A198, "IQ_PRICE_VOL_HIST_6MTH", F198)</f>
        <v>0</v>
      </c>
      <c r="K198">
        <f>_xll.ciqfunctions.udf.CIQ(A198, "IQ_LASTSALEPRICE", WORKDAY(F198,-1))</f>
        <v>0</v>
      </c>
      <c r="L198">
        <f>_xll.ciqfunctions.udf.CIQ(A198, "IQ_LASTSALEPRICE", F198)</f>
        <v>0</v>
      </c>
      <c r="M198">
        <f>_xll.ciqfunctions.udf.CIQ(A198, "IQ_LASTSALEPRICE", WORKDAY(F198,5))</f>
        <v>0</v>
      </c>
      <c r="N198" t="e">
        <f t="shared" si="6"/>
        <v>#DIV/0!</v>
      </c>
      <c r="O198" t="e">
        <f t="shared" si="7"/>
        <v>#DIV/0!</v>
      </c>
      <c r="P198">
        <f>LN(_xll.ciqfunctions.udf.CIQ("XBI", "IQ_LASTSALEPRICE", WORKDAY(F198,-1))/_xll.ciqfunctions.udf.CIQ("XBI", "IQ_LASTSALEPRICE", WORKDAY(F198,1)))</f>
        <v>-2.0143594509803093E-2</v>
      </c>
      <c r="Q198">
        <f>LN(_xll.ciqfunctions.udf.CIQ("XBI", "IQ_LASTSALEPRICE", WORKDAY(F198,-1))/_xll.ciqfunctions.udf.CIQ("XBI", "IQ_LASTSALEPRICE", WORKDAY(F198,5)))</f>
        <v>-5.6678337018438212E-2</v>
      </c>
      <c r="R198">
        <f>_xll.ciqfunctions.udf.CIQ(A198, "IQ_SHORT_INTEREST_PERCENT", F198)</f>
        <v>0</v>
      </c>
      <c r="S198">
        <f>_xll.ciqfunctions.udf.CIQ(A198, "IQ_BETA_1YR_RSQ", F198)</f>
        <v>0</v>
      </c>
      <c r="T198">
        <f>_xll.ciqfunctions.udf.CIQ(A198, "IQ_VALUE_TRADED", F198)</f>
        <v>0</v>
      </c>
    </row>
    <row r="199" spans="1:20" x14ac:dyDescent="0.3">
      <c r="A199" t="s">
        <v>654</v>
      </c>
      <c r="B199">
        <v>15.8</v>
      </c>
      <c r="C199" t="s">
        <v>655</v>
      </c>
      <c r="D199" t="s">
        <v>656</v>
      </c>
      <c r="E199" t="s">
        <v>124</v>
      </c>
      <c r="F199" s="1">
        <v>45327</v>
      </c>
      <c r="G199" t="s">
        <v>657</v>
      </c>
      <c r="H199">
        <v>61</v>
      </c>
      <c r="I199">
        <f>_xll.ciqfunctions.udf.CIQ(A199, "IQ_MARKETCAP", F199)</f>
        <v>946.35613999999998</v>
      </c>
      <c r="J199">
        <f>_xll.ciqfunctions.udf.CIQ(A199, "IQ_PRICE_VOL_HIST_6MTH", F199)</f>
        <v>58.984400000000001</v>
      </c>
      <c r="K199">
        <f>_xll.ciqfunctions.udf.CIQ(A199, "IQ_LASTSALEPRICE", WORKDAY(F199,-1))</f>
        <v>17.399999999999999</v>
      </c>
      <c r="L199">
        <f>_xll.ciqfunctions.udf.CIQ(A199, "IQ_LASTSALEPRICE", F199)</f>
        <v>15.8</v>
      </c>
      <c r="M199">
        <f>_xll.ciqfunctions.udf.CIQ(A199, "IQ_LASTSALEPRICE", WORKDAY(F199,5))</f>
        <v>17.27</v>
      </c>
      <c r="N199">
        <f t="shared" si="6"/>
        <v>-9.6460266187562108E-2</v>
      </c>
      <c r="O199">
        <f t="shared" si="7"/>
        <v>-7.4993140618961071E-3</v>
      </c>
      <c r="P199">
        <f>LN(_xll.ciqfunctions.udf.CIQ("XBI", "IQ_LASTSALEPRICE", WORKDAY(F199,-1))/_xll.ciqfunctions.udf.CIQ("XBI", "IQ_LASTSALEPRICE", WORKDAY(F199,1)))</f>
        <v>-2.0143594509803093E-2</v>
      </c>
      <c r="Q199">
        <f>LN(_xll.ciqfunctions.udf.CIQ("XBI", "IQ_LASTSALEPRICE", WORKDAY(F199,-1))/_xll.ciqfunctions.udf.CIQ("XBI", "IQ_LASTSALEPRICE", WORKDAY(F199,5)))</f>
        <v>-5.6678337018438212E-2</v>
      </c>
      <c r="R199">
        <f>_xll.ciqfunctions.udf.CIQ(A199, "IQ_SHORT_INTEREST_PERCENT", F199)</f>
        <v>10.628349999999999</v>
      </c>
      <c r="S199">
        <f>_xll.ciqfunctions.udf.CIQ(A199, "IQ_BETA_1YR_RSQ", F199)</f>
        <v>9.9500000000000005E-2</v>
      </c>
      <c r="T199">
        <f>_xll.ciqfunctions.udf.CIQ(A199, "IQ_VALUE_TRADED", F199)</f>
        <v>33.266280000000002</v>
      </c>
    </row>
    <row r="200" spans="1:20" x14ac:dyDescent="0.3">
      <c r="A200" t="s">
        <v>658</v>
      </c>
      <c r="B200">
        <v>3.69</v>
      </c>
      <c r="C200" t="s">
        <v>659</v>
      </c>
      <c r="D200" t="s">
        <v>660</v>
      </c>
      <c r="E200" t="s">
        <v>22</v>
      </c>
      <c r="F200" s="1">
        <v>45327</v>
      </c>
      <c r="G200" t="s">
        <v>661</v>
      </c>
      <c r="H200">
        <v>71</v>
      </c>
      <c r="I200">
        <f>_xll.ciqfunctions.udf.CIQ(A200, "IQ_MARKETCAP", F200)</f>
        <v>95.497439999999997</v>
      </c>
      <c r="J200">
        <f>_xll.ciqfunctions.udf.CIQ(A200, "IQ_PRICE_VOL_HIST_6MTH", F200)</f>
        <v>84.530799999999999</v>
      </c>
      <c r="K200">
        <f>_xll.ciqfunctions.udf.CIQ(A200, "IQ_LASTSALEPRICE", WORKDAY(F200,-1))</f>
        <v>3.49</v>
      </c>
      <c r="L200">
        <f>_xll.ciqfunctions.udf.CIQ(A200, "IQ_LASTSALEPRICE", F200)</f>
        <v>3.69</v>
      </c>
      <c r="M200">
        <f>_xll.ciqfunctions.udf.CIQ(A200, "IQ_LASTSALEPRICE", WORKDAY(F200,5))</f>
        <v>3.57</v>
      </c>
      <c r="N200">
        <f t="shared" si="6"/>
        <v>5.5724721838099914E-2</v>
      </c>
      <c r="O200">
        <f t="shared" si="7"/>
        <v>2.266385957721187E-2</v>
      </c>
      <c r="P200">
        <f>LN(_xll.ciqfunctions.udf.CIQ("XBI", "IQ_LASTSALEPRICE", WORKDAY(F200,-1))/_xll.ciqfunctions.udf.CIQ("XBI", "IQ_LASTSALEPRICE", WORKDAY(F200,1)))</f>
        <v>-2.0143594509803093E-2</v>
      </c>
      <c r="Q200">
        <f>LN(_xll.ciqfunctions.udf.CIQ("XBI", "IQ_LASTSALEPRICE", WORKDAY(F200,-1))/_xll.ciqfunctions.udf.CIQ("XBI", "IQ_LASTSALEPRICE", WORKDAY(F200,5)))</f>
        <v>-5.6678337018438212E-2</v>
      </c>
      <c r="R200">
        <f>_xll.ciqfunctions.udf.CIQ(A200, "IQ_SHORT_INTEREST_PERCENT", F200)</f>
        <v>5.8601900000000002</v>
      </c>
      <c r="S200">
        <f>_xll.ciqfunctions.udf.CIQ(A200, "IQ_BETA_1YR_RSQ", F200)</f>
        <v>0</v>
      </c>
      <c r="T200">
        <f>_xll.ciqfunctions.udf.CIQ(A200, "IQ_VALUE_TRADED", F200)</f>
        <v>0.66708000000000001</v>
      </c>
    </row>
    <row r="201" spans="1:20" x14ac:dyDescent="0.3">
      <c r="A201" t="s">
        <v>662</v>
      </c>
      <c r="B201">
        <v>6.15</v>
      </c>
      <c r="C201" t="s">
        <v>663</v>
      </c>
      <c r="D201" t="s">
        <v>664</v>
      </c>
      <c r="E201" t="s">
        <v>22</v>
      </c>
      <c r="F201" s="1">
        <v>45327</v>
      </c>
      <c r="G201" t="s">
        <v>665</v>
      </c>
      <c r="H201">
        <v>4</v>
      </c>
      <c r="I201">
        <f>_xll.ciqfunctions.udf.CIQ(A201, "IQ_MARKETCAP", F201)</f>
        <v>1.0359499999999999</v>
      </c>
      <c r="J201">
        <f>_xll.ciqfunctions.udf.CIQ(A201, "IQ_PRICE_VOL_HIST_6MTH", F201)</f>
        <v>234.4007</v>
      </c>
      <c r="K201">
        <f>_xll.ciqfunctions.udf.CIQ(A201, "IQ_LASTSALEPRICE", WORKDAY(F201,-1))</f>
        <v>6.6</v>
      </c>
      <c r="L201">
        <f>_xll.ciqfunctions.udf.CIQ(A201, "IQ_LASTSALEPRICE", F201)</f>
        <v>6.1529999999999996</v>
      </c>
      <c r="M201">
        <f>_xll.ciqfunctions.udf.CIQ(A201, "IQ_LASTSALEPRICE", WORKDAY(F201,5))</f>
        <v>5.7750000000000004</v>
      </c>
      <c r="N201">
        <f t="shared" si="6"/>
        <v>-7.0129881274026626E-2</v>
      </c>
      <c r="O201">
        <f t="shared" si="7"/>
        <v>-0.13353139262452249</v>
      </c>
      <c r="P201">
        <f>LN(_xll.ciqfunctions.udf.CIQ("XBI", "IQ_LASTSALEPRICE", WORKDAY(F201,-1))/_xll.ciqfunctions.udf.CIQ("XBI", "IQ_LASTSALEPRICE", WORKDAY(F201,1)))</f>
        <v>-2.0143594509803093E-2</v>
      </c>
      <c r="Q201">
        <f>LN(_xll.ciqfunctions.udf.CIQ("XBI", "IQ_LASTSALEPRICE", WORKDAY(F201,-1))/_xll.ciqfunctions.udf.CIQ("XBI", "IQ_LASTSALEPRICE", WORKDAY(F201,5)))</f>
        <v>-5.6678337018438212E-2</v>
      </c>
      <c r="R201">
        <f>_xll.ciqfunctions.udf.CIQ(A201, "IQ_SHORT_INTEREST_PERCENT", F201)</f>
        <v>1.68519</v>
      </c>
      <c r="S201">
        <f>_xll.ciqfunctions.udf.CIQ(A201, "IQ_BETA_1YR_RSQ", F201)</f>
        <v>2.66E-3</v>
      </c>
      <c r="T201">
        <f>_xll.ciqfunctions.udf.CIQ(A201, "IQ_VALUE_TRADED", F201)</f>
        <v>0.22004000000000001</v>
      </c>
    </row>
    <row r="202" spans="1:20" x14ac:dyDescent="0.3">
      <c r="A202" t="s">
        <v>666</v>
      </c>
      <c r="B202">
        <v>35.07</v>
      </c>
      <c r="C202" t="s">
        <v>667</v>
      </c>
      <c r="D202" t="s">
        <v>668</v>
      </c>
      <c r="E202" t="s">
        <v>36</v>
      </c>
      <c r="F202" s="1">
        <v>45327</v>
      </c>
      <c r="G202" t="s">
        <v>669</v>
      </c>
      <c r="H202">
        <v>27</v>
      </c>
      <c r="I202">
        <f>_xll.ciqfunctions.udf.CIQ(A202, "IQ_MARKETCAP", F202)</f>
        <v>937.18724999999995</v>
      </c>
      <c r="J202">
        <f>_xll.ciqfunctions.udf.CIQ(A202, "IQ_PRICE_VOL_HIST_6MTH", F202)</f>
        <v>73.858199999999997</v>
      </c>
      <c r="K202">
        <f>_xll.ciqfunctions.udf.CIQ(A202, "IQ_LASTSALEPRICE", WORKDAY(F202,-1))</f>
        <v>34.72</v>
      </c>
      <c r="L202">
        <f>_xll.ciqfunctions.udf.CIQ(A202, "IQ_LASTSALEPRICE", F202)</f>
        <v>35.07</v>
      </c>
      <c r="M202">
        <f>_xll.ciqfunctions.udf.CIQ(A202, "IQ_LASTSALEPRICE", WORKDAY(F202,5))</f>
        <v>41.62</v>
      </c>
      <c r="N202">
        <f t="shared" si="6"/>
        <v>1.0030174359937251E-2</v>
      </c>
      <c r="O202">
        <f t="shared" si="7"/>
        <v>0.18126493117333886</v>
      </c>
      <c r="P202">
        <f>LN(_xll.ciqfunctions.udf.CIQ("XBI", "IQ_LASTSALEPRICE", WORKDAY(F202,-1))/_xll.ciqfunctions.udf.CIQ("XBI", "IQ_LASTSALEPRICE", WORKDAY(F202,1)))</f>
        <v>-2.0143594509803093E-2</v>
      </c>
      <c r="Q202">
        <f>LN(_xll.ciqfunctions.udf.CIQ("XBI", "IQ_LASTSALEPRICE", WORKDAY(F202,-1))/_xll.ciqfunctions.udf.CIQ("XBI", "IQ_LASTSALEPRICE", WORKDAY(F202,5)))</f>
        <v>-5.6678337018438212E-2</v>
      </c>
      <c r="R202">
        <f>_xll.ciqfunctions.udf.CIQ(A202, "IQ_SHORT_INTEREST_PERCENT", F202)</f>
        <v>15.52033</v>
      </c>
      <c r="S202">
        <f>_xll.ciqfunctions.udf.CIQ(A202, "IQ_BETA_1YR_RSQ", F202)</f>
        <v>0.28855999999999998</v>
      </c>
      <c r="T202">
        <f>_xll.ciqfunctions.udf.CIQ(A202, "IQ_VALUE_TRADED", F202)</f>
        <v>9.8856000000000002</v>
      </c>
    </row>
    <row r="203" spans="1:20" x14ac:dyDescent="0.3">
      <c r="A203" t="s">
        <v>670</v>
      </c>
      <c r="B203">
        <v>96.43</v>
      </c>
      <c r="C203" t="s">
        <v>667</v>
      </c>
      <c r="D203" t="s">
        <v>668</v>
      </c>
      <c r="E203" t="s">
        <v>36</v>
      </c>
      <c r="F203" s="1">
        <v>45327</v>
      </c>
      <c r="G203" t="s">
        <v>669</v>
      </c>
      <c r="H203">
        <v>968</v>
      </c>
      <c r="I203">
        <f>_xll.ciqfunctions.udf.CIQ(A203, "IQ_MARKETCAP", F203)</f>
        <v>145043.91948000001</v>
      </c>
      <c r="J203">
        <f>_xll.ciqfunctions.udf.CIQ(A203, "IQ_PRICE_VOL_HIST_6MTH", F203)</f>
        <v>0</v>
      </c>
      <c r="K203">
        <f>_xll.ciqfunctions.udf.CIQ(A203, "IQ_LASTSALEPRICE", WORKDAY(F203,-1))</f>
        <v>0</v>
      </c>
      <c r="L203">
        <f>_xll.ciqfunctions.udf.CIQ(A203, "IQ_LASTSALEPRICE", F203)</f>
        <v>0</v>
      </c>
      <c r="M203">
        <f>_xll.ciqfunctions.udf.CIQ(A203, "IQ_LASTSALEPRICE", WORKDAY(F203,5))</f>
        <v>0</v>
      </c>
      <c r="N203" t="e">
        <f t="shared" si="6"/>
        <v>#DIV/0!</v>
      </c>
      <c r="O203" t="e">
        <f t="shared" si="7"/>
        <v>#DIV/0!</v>
      </c>
      <c r="P203">
        <f>LN(_xll.ciqfunctions.udf.CIQ("XBI", "IQ_LASTSALEPRICE", WORKDAY(F203,-1))/_xll.ciqfunctions.udf.CIQ("XBI", "IQ_LASTSALEPRICE", WORKDAY(F203,1)))</f>
        <v>-2.0143594509803093E-2</v>
      </c>
      <c r="Q203">
        <f>LN(_xll.ciqfunctions.udf.CIQ("XBI", "IQ_LASTSALEPRICE", WORKDAY(F203,-1))/_xll.ciqfunctions.udf.CIQ("XBI", "IQ_LASTSALEPRICE", WORKDAY(F203,5)))</f>
        <v>-5.6678337018438212E-2</v>
      </c>
      <c r="R203">
        <f>_xll.ciqfunctions.udf.CIQ(A203, "IQ_SHORT_INTEREST_PERCENT", F203)</f>
        <v>0</v>
      </c>
      <c r="S203">
        <f>_xll.ciqfunctions.udf.CIQ(A203, "IQ_BETA_1YR_RSQ", F203)</f>
        <v>0</v>
      </c>
      <c r="T203">
        <f>_xll.ciqfunctions.udf.CIQ(A203, "IQ_VALUE_TRADED", F203)</f>
        <v>0</v>
      </c>
    </row>
    <row r="204" spans="1:20" x14ac:dyDescent="0.3">
      <c r="A204" t="s">
        <v>671</v>
      </c>
      <c r="B204">
        <v>1.08</v>
      </c>
      <c r="C204" t="s">
        <v>672</v>
      </c>
      <c r="D204" t="s">
        <v>673</v>
      </c>
      <c r="E204" t="s">
        <v>76</v>
      </c>
      <c r="F204" s="1">
        <v>45327</v>
      </c>
      <c r="G204" t="s">
        <v>674</v>
      </c>
      <c r="H204">
        <v>4</v>
      </c>
      <c r="I204">
        <f>_xll.ciqfunctions.udf.CIQ(A204, "IQ_MARKETCAP", F204)</f>
        <v>5.0520300000000002</v>
      </c>
      <c r="J204">
        <f>_xll.ciqfunctions.udf.CIQ(A204, "IQ_PRICE_VOL_HIST_6MTH", F204)</f>
        <v>135.75970000000001</v>
      </c>
      <c r="K204">
        <f>_xll.ciqfunctions.udf.CIQ(A204, "IQ_LASTSALEPRICE", WORKDAY(F204,-1))</f>
        <v>5.15</v>
      </c>
      <c r="L204">
        <f>_xll.ciqfunctions.udf.CIQ(A204, "IQ_LASTSALEPRICE", F204)</f>
        <v>5.4</v>
      </c>
      <c r="M204">
        <f>_xll.ciqfunctions.udf.CIQ(A204, "IQ_LASTSALEPRICE", WORKDAY(F204,5))</f>
        <v>4.7404999999999999</v>
      </c>
      <c r="N204">
        <f t="shared" si="6"/>
        <v>4.7402238894583899E-2</v>
      </c>
      <c r="O204">
        <f t="shared" si="7"/>
        <v>-8.2854099299768072E-2</v>
      </c>
      <c r="P204">
        <f>LN(_xll.ciqfunctions.udf.CIQ("XBI", "IQ_LASTSALEPRICE", WORKDAY(F204,-1))/_xll.ciqfunctions.udf.CIQ("XBI", "IQ_LASTSALEPRICE", WORKDAY(F204,1)))</f>
        <v>-2.0143594509803093E-2</v>
      </c>
      <c r="Q204">
        <f>LN(_xll.ciqfunctions.udf.CIQ("XBI", "IQ_LASTSALEPRICE", WORKDAY(F204,-1))/_xll.ciqfunctions.udf.CIQ("XBI", "IQ_LASTSALEPRICE", WORKDAY(F204,5)))</f>
        <v>-5.6678337018438212E-2</v>
      </c>
      <c r="R204">
        <f>_xll.ciqfunctions.udf.CIQ(A204, "IQ_SHORT_INTEREST_PERCENT", F204)</f>
        <v>0.78230999999999995</v>
      </c>
      <c r="S204">
        <f>_xll.ciqfunctions.udf.CIQ(A204, "IQ_BETA_1YR_RSQ", F204)</f>
        <v>3.82E-3</v>
      </c>
      <c r="T204">
        <f>_xll.ciqfunctions.udf.CIQ(A204, "IQ_VALUE_TRADED", F204)</f>
        <v>3.2840000000000001E-2</v>
      </c>
    </row>
    <row r="205" spans="1:20" x14ac:dyDescent="0.3">
      <c r="A205" t="s">
        <v>356</v>
      </c>
      <c r="B205">
        <v>428.89</v>
      </c>
      <c r="C205" t="s">
        <v>675</v>
      </c>
      <c r="D205" t="s">
        <v>676</v>
      </c>
      <c r="E205" t="s">
        <v>36</v>
      </c>
      <c r="F205" s="1">
        <v>45327</v>
      </c>
      <c r="G205" t="s">
        <v>677</v>
      </c>
      <c r="H205">
        <v>256</v>
      </c>
      <c r="I205">
        <f>_xll.ciqfunctions.udf.CIQ(A205, "IQ_MARKETCAP", F205)</f>
        <v>110517.74079</v>
      </c>
      <c r="J205">
        <f>_xll.ciqfunctions.udf.CIQ(A205, "IQ_PRICE_VOL_HIST_6MTH", F205)</f>
        <v>26.183700000000002</v>
      </c>
      <c r="K205">
        <f>_xll.ciqfunctions.udf.CIQ(A205, "IQ_LASTSALEPRICE", WORKDAY(F205,-1))</f>
        <v>424.68</v>
      </c>
      <c r="L205">
        <f>_xll.ciqfunctions.udf.CIQ(A205, "IQ_LASTSALEPRICE", F205)</f>
        <v>428.89</v>
      </c>
      <c r="M205">
        <f>_xll.ciqfunctions.udf.CIQ(A205, "IQ_LASTSALEPRICE", WORKDAY(F205,5))</f>
        <v>418.53</v>
      </c>
      <c r="N205">
        <f t="shared" si="6"/>
        <v>9.8645316475042006E-3</v>
      </c>
      <c r="O205">
        <f t="shared" si="7"/>
        <v>-1.4587372197246084E-2</v>
      </c>
      <c r="P205">
        <f>LN(_xll.ciqfunctions.udf.CIQ("XBI", "IQ_LASTSALEPRICE", WORKDAY(F205,-1))/_xll.ciqfunctions.udf.CIQ("XBI", "IQ_LASTSALEPRICE", WORKDAY(F205,1)))</f>
        <v>-2.0143594509803093E-2</v>
      </c>
      <c r="Q205">
        <f>LN(_xll.ciqfunctions.udf.CIQ("XBI", "IQ_LASTSALEPRICE", WORKDAY(F205,-1))/_xll.ciqfunctions.udf.CIQ("XBI", "IQ_LASTSALEPRICE", WORKDAY(F205,5)))</f>
        <v>-5.6678337018438212E-2</v>
      </c>
      <c r="R205">
        <f>_xll.ciqfunctions.udf.CIQ(A205, "IQ_SHORT_INTEREST_PERCENT", F205)</f>
        <v>1.3015099999999999</v>
      </c>
      <c r="S205">
        <f>_xll.ciqfunctions.udf.CIQ(A205, "IQ_BETA_1YR_RSQ", F205)</f>
        <v>0.18015999999999999</v>
      </c>
      <c r="T205">
        <f>_xll.ciqfunctions.udf.CIQ(A205, "IQ_VALUE_TRADED", F205)</f>
        <v>823.48209999999995</v>
      </c>
    </row>
    <row r="206" spans="1:20" x14ac:dyDescent="0.3">
      <c r="A206" t="s">
        <v>146</v>
      </c>
      <c r="B206">
        <v>41.01</v>
      </c>
      <c r="C206" t="s">
        <v>678</v>
      </c>
      <c r="D206" t="s">
        <v>679</v>
      </c>
      <c r="E206" t="s">
        <v>36</v>
      </c>
      <c r="F206" s="1">
        <v>45328</v>
      </c>
      <c r="G206" t="s">
        <v>680</v>
      </c>
      <c r="I206">
        <f>_xll.ciqfunctions.udf.CIQ(A206, "IQ_MARKETCAP", F206)</f>
        <v>67076.700630000007</v>
      </c>
      <c r="J206">
        <f>_xll.ciqfunctions.udf.CIQ(A206, "IQ_PRICE_VOL_HIST_6MTH", F206)</f>
        <v>17.775200000000002</v>
      </c>
      <c r="K206">
        <f>_xll.ciqfunctions.udf.CIQ(A206, "IQ_LASTSALEPRICE", WORKDAY(F206,-1))</f>
        <v>16.626000000000001</v>
      </c>
      <c r="L206">
        <f>_xll.ciqfunctions.udf.CIQ(A206, "IQ_LASTSALEPRICE", F206)</f>
        <v>16.53</v>
      </c>
      <c r="M206">
        <f>_xll.ciqfunctions.udf.CIQ(A206, "IQ_LASTSALEPRICE", WORKDAY(F206,5))</f>
        <v>16.417999999999999</v>
      </c>
      <c r="N206">
        <f t="shared" si="6"/>
        <v>-5.790823275963506E-3</v>
      </c>
      <c r="O206">
        <f t="shared" si="7"/>
        <v>-1.2589441182822105E-2</v>
      </c>
      <c r="P206">
        <f>LN(_xll.ciqfunctions.udf.CIQ("XBI", "IQ_LASTSALEPRICE", WORKDAY(F206,-1))/_xll.ciqfunctions.udf.CIQ("XBI", "IQ_LASTSALEPRICE", WORKDAY(F206,1)))</f>
        <v>3.8531326003449899E-3</v>
      </c>
      <c r="Q206">
        <f>LN(_xll.ciqfunctions.udf.CIQ("XBI", "IQ_LASTSALEPRICE", WORKDAY(F206,-1))/_xll.ciqfunctions.udf.CIQ("XBI", "IQ_LASTSALEPRICE", WORKDAY(F206,5)))</f>
        <v>-3.5002576243985625E-3</v>
      </c>
      <c r="R206">
        <f>_xll.ciqfunctions.udf.CIQ(A206, "IQ_SHORT_INTEREST_PERCENT", F206)</f>
        <v>0</v>
      </c>
      <c r="S206">
        <f>_xll.ciqfunctions.udf.CIQ(A206, "IQ_BETA_1YR_RSQ", F206)</f>
        <v>2.0400000000000001E-3</v>
      </c>
      <c r="T206">
        <f>_xll.ciqfunctions.udf.CIQ(A206, "IQ_VALUE_TRADED", F206)</f>
        <v>83.345780000000005</v>
      </c>
    </row>
    <row r="207" spans="1:20" x14ac:dyDescent="0.3">
      <c r="A207" t="s">
        <v>681</v>
      </c>
      <c r="B207">
        <v>0.52</v>
      </c>
      <c r="C207" t="s">
        <v>682</v>
      </c>
      <c r="D207" t="s">
        <v>683</v>
      </c>
      <c r="E207" t="s">
        <v>17</v>
      </c>
      <c r="F207" s="1">
        <v>45328</v>
      </c>
      <c r="G207" t="s">
        <v>684</v>
      </c>
      <c r="H207">
        <v>301</v>
      </c>
      <c r="I207">
        <f>_xll.ciqfunctions.udf.CIQ(A207, "IQ_MARKETCAP", F207)</f>
        <v>92.344570000000004</v>
      </c>
      <c r="J207">
        <f>_xll.ciqfunctions.udf.CIQ(A207, "IQ_PRICE_VOL_HIST_6MTH", F207)</f>
        <v>111.845</v>
      </c>
      <c r="K207">
        <f>_xll.ciqfunctions.udf.CIQ(A207, "IQ_LASTSALEPRICE", WORKDAY(F207,-1))</f>
        <v>0.56000000000000005</v>
      </c>
      <c r="L207">
        <f>_xll.ciqfunctions.udf.CIQ(A207, "IQ_LASTSALEPRICE", F207)</f>
        <v>0.52070000000000005</v>
      </c>
      <c r="M207">
        <f>_xll.ciqfunctions.udf.CIQ(A207, "IQ_LASTSALEPRICE", WORKDAY(F207,5))</f>
        <v>0.67010000000000003</v>
      </c>
      <c r="N207">
        <f t="shared" si="6"/>
        <v>-7.2762723560341525E-2</v>
      </c>
      <c r="O207">
        <f t="shared" si="7"/>
        <v>0.17949017124993003</v>
      </c>
      <c r="P207">
        <f>LN(_xll.ciqfunctions.udf.CIQ("XBI", "IQ_LASTSALEPRICE", WORKDAY(F207,-1))/_xll.ciqfunctions.udf.CIQ("XBI", "IQ_LASTSALEPRICE", WORKDAY(F207,1)))</f>
        <v>3.8531326003449899E-3</v>
      </c>
      <c r="Q207">
        <f>LN(_xll.ciqfunctions.udf.CIQ("XBI", "IQ_LASTSALEPRICE", WORKDAY(F207,-1))/_xll.ciqfunctions.udf.CIQ("XBI", "IQ_LASTSALEPRICE", WORKDAY(F207,5)))</f>
        <v>-3.5002576243985625E-3</v>
      </c>
      <c r="R207">
        <f>_xll.ciqfunctions.udf.CIQ(A207, "IQ_SHORT_INTEREST_PERCENT", F207)</f>
        <v>5.1676700000000002</v>
      </c>
      <c r="S207">
        <f>_xll.ciqfunctions.udf.CIQ(A207, "IQ_BETA_1YR_RSQ", F207)</f>
        <v>0.13793</v>
      </c>
      <c r="T207">
        <f>_xll.ciqfunctions.udf.CIQ(A207, "IQ_VALUE_TRADED", F207)</f>
        <v>1.3218799999999999</v>
      </c>
    </row>
    <row r="208" spans="1:20" x14ac:dyDescent="0.3">
      <c r="A208" t="s">
        <v>488</v>
      </c>
      <c r="B208">
        <v>702.66</v>
      </c>
      <c r="C208" t="s">
        <v>685</v>
      </c>
      <c r="D208" t="s">
        <v>686</v>
      </c>
      <c r="E208" t="s">
        <v>76</v>
      </c>
      <c r="F208" s="1">
        <v>45328</v>
      </c>
      <c r="G208" t="s">
        <v>687</v>
      </c>
      <c r="H208">
        <v>946</v>
      </c>
      <c r="I208">
        <f>_xll.ciqfunctions.udf.CIQ(A208, "IQ_MARKETCAP", F208)</f>
        <v>634038.58129999996</v>
      </c>
      <c r="J208">
        <f>_xll.ciqfunctions.udf.CIQ(A208, "IQ_PRICE_VOL_HIST_6MTH", F208)</f>
        <v>33.080599999999997</v>
      </c>
      <c r="K208">
        <f>_xll.ciqfunctions.udf.CIQ(A208, "IQ_LASTSALEPRICE", WORKDAY(F208,-1))</f>
        <v>706.2</v>
      </c>
      <c r="L208">
        <f>_xll.ciqfunctions.udf.CIQ(A208, "IQ_LASTSALEPRICE", F208)</f>
        <v>705.03</v>
      </c>
      <c r="M208">
        <f>_xll.ciqfunctions.udf.CIQ(A208, "IQ_LASTSALEPRICE", WORKDAY(F208,5))</f>
        <v>742.97</v>
      </c>
      <c r="N208">
        <f t="shared" si="6"/>
        <v>-1.6581283958894591E-3</v>
      </c>
      <c r="O208">
        <f t="shared" si="7"/>
        <v>5.0757183557700383E-2</v>
      </c>
      <c r="P208">
        <f>LN(_xll.ciqfunctions.udf.CIQ("XBI", "IQ_LASTSALEPRICE", WORKDAY(F208,-1))/_xll.ciqfunctions.udf.CIQ("XBI", "IQ_LASTSALEPRICE", WORKDAY(F208,1)))</f>
        <v>3.8531326003449899E-3</v>
      </c>
      <c r="Q208">
        <f>LN(_xll.ciqfunctions.udf.CIQ("XBI", "IQ_LASTSALEPRICE", WORKDAY(F208,-1))/_xll.ciqfunctions.udf.CIQ("XBI", "IQ_LASTSALEPRICE", WORKDAY(F208,5)))</f>
        <v>-3.5002576243985625E-3</v>
      </c>
      <c r="R208">
        <f>_xll.ciqfunctions.udf.CIQ(A208, "IQ_SHORT_INTEREST_PERCENT", F208)</f>
        <v>0.54335</v>
      </c>
      <c r="S208">
        <f>_xll.ciqfunctions.udf.CIQ(A208, "IQ_BETA_1YR_RSQ", F208)</f>
        <v>1.3690000000000001E-2</v>
      </c>
      <c r="T208">
        <f>_xll.ciqfunctions.udf.CIQ(A208, "IQ_VALUE_TRADED", F208)</f>
        <v>5781.1769100000001</v>
      </c>
    </row>
    <row r="209" spans="1:20" x14ac:dyDescent="0.3">
      <c r="A209" t="s">
        <v>688</v>
      </c>
      <c r="B209">
        <v>4.47</v>
      </c>
      <c r="C209" t="s">
        <v>689</v>
      </c>
      <c r="D209" t="s">
        <v>690</v>
      </c>
      <c r="E209" t="s">
        <v>89</v>
      </c>
      <c r="F209" s="1">
        <v>45328</v>
      </c>
      <c r="G209" t="s">
        <v>691</v>
      </c>
      <c r="H209">
        <v>35</v>
      </c>
      <c r="I209">
        <f>_xll.ciqfunctions.udf.CIQ(A209, "IQ_MARKETCAP", F209)</f>
        <v>72.411180000000002</v>
      </c>
      <c r="J209">
        <f>_xll.ciqfunctions.udf.CIQ(A209, "IQ_PRICE_VOL_HIST_6MTH", F209)</f>
        <v>74.642399999999995</v>
      </c>
      <c r="K209">
        <f>_xll.ciqfunctions.udf.CIQ(A209, "IQ_LASTSALEPRICE", WORKDAY(F209,-1))</f>
        <v>4.3899999999999997</v>
      </c>
      <c r="L209">
        <f>_xll.ciqfunctions.udf.CIQ(A209, "IQ_LASTSALEPRICE", F209)</f>
        <v>4.47</v>
      </c>
      <c r="M209">
        <f>_xll.ciqfunctions.udf.CIQ(A209, "IQ_LASTSALEPRICE", WORKDAY(F209,5))</f>
        <v>4.51</v>
      </c>
      <c r="N209">
        <f t="shared" si="6"/>
        <v>1.8059181538397466E-2</v>
      </c>
      <c r="O209">
        <f t="shared" si="7"/>
        <v>2.696792642750697E-2</v>
      </c>
      <c r="P209">
        <f>LN(_xll.ciqfunctions.udf.CIQ("XBI", "IQ_LASTSALEPRICE", WORKDAY(F209,-1))/_xll.ciqfunctions.udf.CIQ("XBI", "IQ_LASTSALEPRICE", WORKDAY(F209,1)))</f>
        <v>3.8531326003449899E-3</v>
      </c>
      <c r="Q209">
        <f>LN(_xll.ciqfunctions.udf.CIQ("XBI", "IQ_LASTSALEPRICE", WORKDAY(F209,-1))/_xll.ciqfunctions.udf.CIQ("XBI", "IQ_LASTSALEPRICE", WORKDAY(F209,5)))</f>
        <v>-3.5002576243985625E-3</v>
      </c>
      <c r="R209">
        <f>_xll.ciqfunctions.udf.CIQ(A209, "IQ_SHORT_INTEREST_PERCENT", F209)</f>
        <v>0.63890999999999998</v>
      </c>
      <c r="S209">
        <f>_xll.ciqfunctions.udf.CIQ(A209, "IQ_BETA_1YR_RSQ", F209)</f>
        <v>9.0000000000000006E-5</v>
      </c>
      <c r="T209">
        <f>_xll.ciqfunctions.udf.CIQ(A209, "IQ_VALUE_TRADED", F209)</f>
        <v>1.03206</v>
      </c>
    </row>
    <row r="210" spans="1:20" x14ac:dyDescent="0.3">
      <c r="A210" t="s">
        <v>488</v>
      </c>
      <c r="B210">
        <v>702.66</v>
      </c>
      <c r="C210" t="s">
        <v>692</v>
      </c>
      <c r="D210" t="s">
        <v>693</v>
      </c>
      <c r="E210" t="s">
        <v>36</v>
      </c>
      <c r="F210" s="1">
        <v>45328</v>
      </c>
      <c r="G210" t="s">
        <v>694</v>
      </c>
      <c r="H210">
        <v>946</v>
      </c>
      <c r="I210">
        <f>_xll.ciqfunctions.udf.CIQ(A210, "IQ_MARKETCAP", F210)</f>
        <v>634038.58129999996</v>
      </c>
      <c r="J210">
        <f>_xll.ciqfunctions.udf.CIQ(A210, "IQ_PRICE_VOL_HIST_6MTH", F210)</f>
        <v>33.080599999999997</v>
      </c>
      <c r="K210">
        <f>_xll.ciqfunctions.udf.CIQ(A210, "IQ_LASTSALEPRICE", WORKDAY(F210,-1))</f>
        <v>706.2</v>
      </c>
      <c r="L210">
        <f>_xll.ciqfunctions.udf.CIQ(A210, "IQ_LASTSALEPRICE", F210)</f>
        <v>705.03</v>
      </c>
      <c r="M210">
        <f>_xll.ciqfunctions.udf.CIQ(A210, "IQ_LASTSALEPRICE", WORKDAY(F210,5))</f>
        <v>742.97</v>
      </c>
      <c r="N210">
        <f t="shared" si="6"/>
        <v>-1.6581283958894591E-3</v>
      </c>
      <c r="O210">
        <f t="shared" si="7"/>
        <v>5.0757183557700383E-2</v>
      </c>
      <c r="P210">
        <f>LN(_xll.ciqfunctions.udf.CIQ("XBI", "IQ_LASTSALEPRICE", WORKDAY(F210,-1))/_xll.ciqfunctions.udf.CIQ("XBI", "IQ_LASTSALEPRICE", WORKDAY(F210,1)))</f>
        <v>3.8531326003449899E-3</v>
      </c>
      <c r="Q210">
        <f>LN(_xll.ciqfunctions.udf.CIQ("XBI", "IQ_LASTSALEPRICE", WORKDAY(F210,-1))/_xll.ciqfunctions.udf.CIQ("XBI", "IQ_LASTSALEPRICE", WORKDAY(F210,5)))</f>
        <v>-3.5002576243985625E-3</v>
      </c>
      <c r="R210">
        <f>_xll.ciqfunctions.udf.CIQ(A210, "IQ_SHORT_INTEREST_PERCENT", F210)</f>
        <v>0.54335</v>
      </c>
      <c r="S210">
        <f>_xll.ciqfunctions.udf.CIQ(A210, "IQ_BETA_1YR_RSQ", F210)</f>
        <v>1.3690000000000001E-2</v>
      </c>
      <c r="T210">
        <f>_xll.ciqfunctions.udf.CIQ(A210, "IQ_VALUE_TRADED", F210)</f>
        <v>5781.1769100000001</v>
      </c>
    </row>
    <row r="211" spans="1:20" x14ac:dyDescent="0.3">
      <c r="A211" t="s">
        <v>695</v>
      </c>
      <c r="B211">
        <v>4.3</v>
      </c>
      <c r="C211" t="s">
        <v>696</v>
      </c>
      <c r="D211" t="s">
        <v>697</v>
      </c>
      <c r="E211" t="s">
        <v>17</v>
      </c>
      <c r="F211" s="1">
        <v>45328</v>
      </c>
      <c r="G211" t="s">
        <v>698</v>
      </c>
      <c r="H211">
        <v>51</v>
      </c>
      <c r="I211">
        <f>_xll.ciqfunctions.udf.CIQ(A211, "IQ_MARKETCAP", F211)</f>
        <v>106.52526</v>
      </c>
      <c r="J211">
        <f>_xll.ciqfunctions.udf.CIQ(A211, "IQ_PRICE_VOL_HIST_6MTH", F211)</f>
        <v>62.576700000000002</v>
      </c>
      <c r="K211">
        <f>_xll.ciqfunctions.udf.CIQ(A211, "IQ_LASTSALEPRICE", WORKDAY(F211,-1))</f>
        <v>4.29</v>
      </c>
      <c r="L211">
        <f>_xll.ciqfunctions.udf.CIQ(A211, "IQ_LASTSALEPRICE", F211)</f>
        <v>4.3</v>
      </c>
      <c r="M211">
        <f>_xll.ciqfunctions.udf.CIQ(A211, "IQ_LASTSALEPRICE", WORKDAY(F211,5))</f>
        <v>6.31</v>
      </c>
      <c r="N211">
        <f t="shared" si="6"/>
        <v>2.3282897595911681E-3</v>
      </c>
      <c r="O211">
        <f t="shared" si="7"/>
        <v>0.38584894361319605</v>
      </c>
      <c r="P211">
        <f>LN(_xll.ciqfunctions.udf.CIQ("XBI", "IQ_LASTSALEPRICE", WORKDAY(F211,-1))/_xll.ciqfunctions.udf.CIQ("XBI", "IQ_LASTSALEPRICE", WORKDAY(F211,1)))</f>
        <v>3.8531326003449899E-3</v>
      </c>
      <c r="Q211">
        <f>LN(_xll.ciqfunctions.udf.CIQ("XBI", "IQ_LASTSALEPRICE", WORKDAY(F211,-1))/_xll.ciqfunctions.udf.CIQ("XBI", "IQ_LASTSALEPRICE", WORKDAY(F211,5)))</f>
        <v>-3.5002576243985625E-3</v>
      </c>
      <c r="R211">
        <f>_xll.ciqfunctions.udf.CIQ(A211, "IQ_SHORT_INTEREST_PERCENT", F211)</f>
        <v>2.6724199999999998</v>
      </c>
      <c r="S211">
        <f>_xll.ciqfunctions.udf.CIQ(A211, "IQ_BETA_1YR_RSQ", F211)</f>
        <v>7.26E-3</v>
      </c>
      <c r="T211">
        <f>_xll.ciqfunctions.udf.CIQ(A211, "IQ_VALUE_TRADED", F211)</f>
        <v>0.54457999999999995</v>
      </c>
    </row>
    <row r="212" spans="1:20" x14ac:dyDescent="0.3">
      <c r="A212" t="s">
        <v>699</v>
      </c>
      <c r="B212">
        <v>45.89</v>
      </c>
      <c r="C212" t="s">
        <v>696</v>
      </c>
      <c r="D212" t="s">
        <v>697</v>
      </c>
      <c r="E212" t="s">
        <v>17</v>
      </c>
      <c r="F212" s="1">
        <v>45328</v>
      </c>
      <c r="G212" t="s">
        <v>698</v>
      </c>
      <c r="H212">
        <v>96</v>
      </c>
      <c r="I212">
        <f>_xll.ciqfunctions.udf.CIQ(A212, "IQ_MARKETCAP", F212)</f>
        <v>3767.8400299999998</v>
      </c>
      <c r="J212">
        <f>_xll.ciqfunctions.udf.CIQ(A212, "IQ_PRICE_VOL_HIST_6MTH", F212)</f>
        <v>52.930199999999999</v>
      </c>
      <c r="K212">
        <f>_xll.ciqfunctions.udf.CIQ(A212, "IQ_LASTSALEPRICE", WORKDAY(F212,-1))</f>
        <v>44.76</v>
      </c>
      <c r="L212">
        <f>_xll.ciqfunctions.udf.CIQ(A212, "IQ_LASTSALEPRICE", F212)</f>
        <v>45.89</v>
      </c>
      <c r="M212">
        <f>_xll.ciqfunctions.udf.CIQ(A212, "IQ_LASTSALEPRICE", WORKDAY(F212,5))</f>
        <v>43.98</v>
      </c>
      <c r="N212">
        <f t="shared" si="6"/>
        <v>2.4932344963017685E-2</v>
      </c>
      <c r="O212">
        <f t="shared" si="7"/>
        <v>-1.757989831710937E-2</v>
      </c>
      <c r="P212">
        <f>LN(_xll.ciqfunctions.udf.CIQ("XBI", "IQ_LASTSALEPRICE", WORKDAY(F212,-1))/_xll.ciqfunctions.udf.CIQ("XBI", "IQ_LASTSALEPRICE", WORKDAY(F212,1)))</f>
        <v>3.8531326003449899E-3</v>
      </c>
      <c r="Q212">
        <f>LN(_xll.ciqfunctions.udf.CIQ("XBI", "IQ_LASTSALEPRICE", WORKDAY(F212,-1))/_xll.ciqfunctions.udf.CIQ("XBI", "IQ_LASTSALEPRICE", WORKDAY(F212,5)))</f>
        <v>-3.5002576243985625E-3</v>
      </c>
      <c r="R212">
        <f>_xll.ciqfunctions.udf.CIQ(A212, "IQ_SHORT_INTEREST_PERCENT", F212)</f>
        <v>5.0132899999999996</v>
      </c>
      <c r="S212">
        <f>_xll.ciqfunctions.udf.CIQ(A212, "IQ_BETA_1YR_RSQ", F212)</f>
        <v>0.20905000000000001</v>
      </c>
      <c r="T212">
        <f>_xll.ciqfunctions.udf.CIQ(A212, "IQ_VALUE_TRADED", F212)</f>
        <v>33.654440000000001</v>
      </c>
    </row>
    <row r="213" spans="1:20" x14ac:dyDescent="0.3">
      <c r="A213" t="s">
        <v>700</v>
      </c>
      <c r="B213">
        <v>0.94</v>
      </c>
      <c r="C213" t="s">
        <v>701</v>
      </c>
      <c r="D213" t="s">
        <v>702</v>
      </c>
      <c r="E213" t="s">
        <v>17</v>
      </c>
      <c r="F213" s="1">
        <v>45328</v>
      </c>
      <c r="G213" t="s">
        <v>703</v>
      </c>
      <c r="H213">
        <v>4</v>
      </c>
      <c r="I213">
        <f>_xll.ciqfunctions.udf.CIQ(A213, "IQ_MARKETCAP", F213)</f>
        <v>32.448369999999997</v>
      </c>
      <c r="J213">
        <f>_xll.ciqfunctions.udf.CIQ(A213, "IQ_PRICE_VOL_HIST_6MTH", F213)</f>
        <v>80.250699999999995</v>
      </c>
      <c r="K213">
        <f>_xll.ciqfunctions.udf.CIQ(A213, "IQ_LASTSALEPRICE", WORKDAY(F213,-1))</f>
        <v>8.5259999999999998</v>
      </c>
      <c r="L213">
        <f>_xll.ciqfunctions.udf.CIQ(A213, "IQ_LASTSALEPRICE", F213)</f>
        <v>9.4</v>
      </c>
      <c r="M213">
        <f>_xll.ciqfunctions.udf.CIQ(A213, "IQ_LASTSALEPRICE", WORKDAY(F213,5))</f>
        <v>9.2769999999999992</v>
      </c>
      <c r="N213">
        <f t="shared" si="6"/>
        <v>9.7589370932939762E-2</v>
      </c>
      <c r="O213">
        <f t="shared" si="7"/>
        <v>8.441790032811583E-2</v>
      </c>
      <c r="P213">
        <f>LN(_xll.ciqfunctions.udf.CIQ("XBI", "IQ_LASTSALEPRICE", WORKDAY(F213,-1))/_xll.ciqfunctions.udf.CIQ("XBI", "IQ_LASTSALEPRICE", WORKDAY(F213,1)))</f>
        <v>3.8531326003449899E-3</v>
      </c>
      <c r="Q213">
        <f>LN(_xll.ciqfunctions.udf.CIQ("XBI", "IQ_LASTSALEPRICE", WORKDAY(F213,-1))/_xll.ciqfunctions.udf.CIQ("XBI", "IQ_LASTSALEPRICE", WORKDAY(F213,5)))</f>
        <v>-3.5002576243985625E-3</v>
      </c>
      <c r="R213">
        <f>_xll.ciqfunctions.udf.CIQ(A213, "IQ_SHORT_INTEREST_PERCENT", F213)</f>
        <v>0.50656000000000001</v>
      </c>
      <c r="S213">
        <f>_xll.ciqfunctions.udf.CIQ(A213, "IQ_BETA_1YR_RSQ", F213)</f>
        <v>9.1060000000000002E-2</v>
      </c>
      <c r="T213">
        <f>_xll.ciqfunctions.udf.CIQ(A213, "IQ_VALUE_TRADED", F213)</f>
        <v>8.3949999999999997E-2</v>
      </c>
    </row>
    <row r="214" spans="1:20" x14ac:dyDescent="0.3">
      <c r="A214" t="s">
        <v>385</v>
      </c>
      <c r="B214" t="s">
        <v>43</v>
      </c>
      <c r="C214" t="s">
        <v>704</v>
      </c>
      <c r="D214" t="s">
        <v>705</v>
      </c>
      <c r="E214" t="s">
        <v>36</v>
      </c>
      <c r="F214" s="1">
        <v>45328</v>
      </c>
      <c r="G214" t="s">
        <v>706</v>
      </c>
      <c r="H214">
        <v>105</v>
      </c>
      <c r="I214">
        <f>_xll.ciqfunctions.udf.CIQ(A214, "IQ_MARKETCAP", F214)</f>
        <v>100778.84069</v>
      </c>
      <c r="J214">
        <f>_xll.ciqfunctions.udf.CIQ(A214, "IQ_PRICE_VOL_HIST_6MTH", F214)</f>
        <v>17.740400000000001</v>
      </c>
      <c r="K214">
        <f>_xll.ciqfunctions.udf.CIQ(A214, "IQ_LASTSALEPRICE", WORKDAY(F214,-1))</f>
        <v>936.33</v>
      </c>
      <c r="L214">
        <f>_xll.ciqfunctions.udf.CIQ(A214, "IQ_LASTSALEPRICE", F214)</f>
        <v>937.81</v>
      </c>
      <c r="M214">
        <f>_xll.ciqfunctions.udf.CIQ(A214, "IQ_LASTSALEPRICE", WORKDAY(F214,5))</f>
        <v>940.48</v>
      </c>
      <c r="N214">
        <f t="shared" si="6"/>
        <v>1.5793914090217939E-3</v>
      </c>
      <c r="O214">
        <f t="shared" si="7"/>
        <v>4.4224047865152665E-3</v>
      </c>
      <c r="P214">
        <f>LN(_xll.ciqfunctions.udf.CIQ("XBI", "IQ_LASTSALEPRICE", WORKDAY(F214,-1))/_xll.ciqfunctions.udf.CIQ("XBI", "IQ_LASTSALEPRICE", WORKDAY(F214,1)))</f>
        <v>3.8531326003449899E-3</v>
      </c>
      <c r="Q214">
        <f>LN(_xll.ciqfunctions.udf.CIQ("XBI", "IQ_LASTSALEPRICE", WORKDAY(F214,-1))/_xll.ciqfunctions.udf.CIQ("XBI", "IQ_LASTSALEPRICE", WORKDAY(F214,5)))</f>
        <v>-3.5002576243985625E-3</v>
      </c>
      <c r="R214">
        <f>_xll.ciqfunctions.udf.CIQ(A214, "IQ_SHORT_INTEREST_PERCENT", F214)</f>
        <v>0.99322999999999995</v>
      </c>
      <c r="S214">
        <f>_xll.ciqfunctions.udf.CIQ(A214, "IQ_BETA_1YR_RSQ", F214)</f>
        <v>0.12959999999999999</v>
      </c>
      <c r="T214">
        <f>_xll.ciqfunctions.udf.CIQ(A214, "IQ_VALUE_TRADED", F214)</f>
        <v>431.79117000000002</v>
      </c>
    </row>
    <row r="215" spans="1:20" x14ac:dyDescent="0.3">
      <c r="A215" t="s">
        <v>707</v>
      </c>
      <c r="B215">
        <v>13.7</v>
      </c>
      <c r="C215" t="s">
        <v>708</v>
      </c>
      <c r="D215" t="s">
        <v>709</v>
      </c>
      <c r="E215" t="s">
        <v>36</v>
      </c>
      <c r="F215" s="1">
        <v>45329</v>
      </c>
      <c r="G215" t="s">
        <v>710</v>
      </c>
      <c r="H215">
        <v>174</v>
      </c>
      <c r="I215">
        <f>_xll.ciqfunctions.udf.CIQ(A215, "IQ_MARKETCAP", F215)</f>
        <v>1860.4344000000001</v>
      </c>
      <c r="J215">
        <f>_xll.ciqfunctions.udf.CIQ(A215, "IQ_PRICE_VOL_HIST_6MTH", F215)</f>
        <v>52.949199999999998</v>
      </c>
      <c r="K215">
        <f>_xll.ciqfunctions.udf.CIQ(A215, "IQ_LASTSALEPRICE", WORKDAY(F215,-1))</f>
        <v>2.15</v>
      </c>
      <c r="L215">
        <f>_xll.ciqfunctions.udf.CIQ(A215, "IQ_LASTSALEPRICE", F215)</f>
        <v>2.1800000000000002</v>
      </c>
      <c r="M215">
        <f>_xll.ciqfunctions.udf.CIQ(A215, "IQ_LASTSALEPRICE", WORKDAY(F215,5))</f>
        <v>2.1850000000000001</v>
      </c>
      <c r="N215">
        <f t="shared" si="6"/>
        <v>1.3857034661426281E-2</v>
      </c>
      <c r="O215">
        <f t="shared" si="7"/>
        <v>1.6147986407982158E-2</v>
      </c>
      <c r="P215">
        <f>LN(_xll.ciqfunctions.udf.CIQ("XBI", "IQ_LASTSALEPRICE", WORKDAY(F215,-1))/_xll.ciqfunctions.udf.CIQ("XBI", "IQ_LASTSALEPRICE", WORKDAY(F215,1)))</f>
        <v>6.0342120742675684E-3</v>
      </c>
      <c r="Q215">
        <f>LN(_xll.ciqfunctions.udf.CIQ("XBI", "IQ_LASTSALEPRICE", WORKDAY(F215,-1))/_xll.ciqfunctions.udf.CIQ("XBI", "IQ_LASTSALEPRICE", WORKDAY(F215,5)))</f>
        <v>-1.5257344061350236E-2</v>
      </c>
      <c r="R215">
        <f>_xll.ciqfunctions.udf.CIQ(A215, "IQ_SHORT_INTEREST_PERCENT", F215)</f>
        <v>0</v>
      </c>
      <c r="S215">
        <f>_xll.ciqfunctions.udf.CIQ(A215, "IQ_BETA_1YR_RSQ", F215)</f>
        <v>0.13841999999999999</v>
      </c>
      <c r="T215">
        <f>_xll.ciqfunctions.udf.CIQ(A215, "IQ_VALUE_TRADED", F215)</f>
        <v>0.21693999999999999</v>
      </c>
    </row>
    <row r="216" spans="1:20" x14ac:dyDescent="0.3">
      <c r="A216" t="s">
        <v>711</v>
      </c>
      <c r="B216">
        <v>14.57</v>
      </c>
      <c r="C216" t="s">
        <v>712</v>
      </c>
      <c r="D216" t="s">
        <v>713</v>
      </c>
      <c r="E216" t="s">
        <v>17</v>
      </c>
      <c r="F216" s="1">
        <v>45329</v>
      </c>
      <c r="G216" t="s">
        <v>714</v>
      </c>
      <c r="H216">
        <v>50</v>
      </c>
      <c r="I216">
        <f>_xll.ciqfunctions.udf.CIQ(A216, "IQ_MARKETCAP", F216)</f>
        <v>640.96315000000004</v>
      </c>
      <c r="J216">
        <f>_xll.ciqfunctions.udf.CIQ(A216, "IQ_PRICE_VOL_HIST_6MTH", F216)</f>
        <v>57.235599999999998</v>
      </c>
      <c r="K216">
        <f>_xll.ciqfunctions.udf.CIQ(A216, "IQ_LASTSALEPRICE", WORKDAY(F216,-1))</f>
        <v>13.05</v>
      </c>
      <c r="L216">
        <f>_xll.ciqfunctions.udf.CIQ(A216, "IQ_LASTSALEPRICE", F216)</f>
        <v>14.57</v>
      </c>
      <c r="M216">
        <f>_xll.ciqfunctions.udf.CIQ(A216, "IQ_LASTSALEPRICE", WORKDAY(F216,5))</f>
        <v>16.79</v>
      </c>
      <c r="N216">
        <f t="shared" si="6"/>
        <v>0.11017648643841102</v>
      </c>
      <c r="O216">
        <f t="shared" si="7"/>
        <v>0.25199533732074697</v>
      </c>
      <c r="P216">
        <f>LN(_xll.ciqfunctions.udf.CIQ("XBI", "IQ_LASTSALEPRICE", WORKDAY(F216,-1))/_xll.ciqfunctions.udf.CIQ("XBI", "IQ_LASTSALEPRICE", WORKDAY(F216,1)))</f>
        <v>6.0342120742675684E-3</v>
      </c>
      <c r="Q216">
        <f>LN(_xll.ciqfunctions.udf.CIQ("XBI", "IQ_LASTSALEPRICE", WORKDAY(F216,-1))/_xll.ciqfunctions.udf.CIQ("XBI", "IQ_LASTSALEPRICE", WORKDAY(F216,5)))</f>
        <v>-1.5257344061350236E-2</v>
      </c>
      <c r="R216">
        <f>_xll.ciqfunctions.udf.CIQ(A216, "IQ_SHORT_INTEREST_PERCENT", F216)</f>
        <v>10.03045</v>
      </c>
      <c r="S216">
        <f>_xll.ciqfunctions.udf.CIQ(A216, "IQ_BETA_1YR_RSQ", F216)</f>
        <v>0.23949000000000001</v>
      </c>
      <c r="T216">
        <f>_xll.ciqfunctions.udf.CIQ(A216, "IQ_VALUE_TRADED", F216)</f>
        <v>26.84477</v>
      </c>
    </row>
    <row r="217" spans="1:20" x14ac:dyDescent="0.3">
      <c r="A217" t="s">
        <v>715</v>
      </c>
      <c r="B217">
        <v>3.81</v>
      </c>
      <c r="C217" t="s">
        <v>716</v>
      </c>
      <c r="D217" t="s">
        <v>717</v>
      </c>
      <c r="E217" t="s">
        <v>76</v>
      </c>
      <c r="F217" s="1">
        <v>45329</v>
      </c>
      <c r="G217" t="s">
        <v>718</v>
      </c>
      <c r="H217">
        <v>1</v>
      </c>
      <c r="I217">
        <f>_xll.ciqfunctions.udf.CIQ(A217, "IQ_MARKETCAP", F217)</f>
        <v>4.4607900000000003</v>
      </c>
      <c r="J217">
        <f>_xll.ciqfunctions.udf.CIQ(A217, "IQ_PRICE_VOL_HIST_6MTH", F217)</f>
        <v>122.2015</v>
      </c>
      <c r="K217">
        <f>_xll.ciqfunctions.udf.CIQ(A217, "IQ_LASTSALEPRICE", WORKDAY(F217,-1))</f>
        <v>103.6</v>
      </c>
      <c r="L217">
        <f>_xll.ciqfunctions.udf.CIQ(A217, "IQ_LASTSALEPRICE", F217)</f>
        <v>95.2</v>
      </c>
      <c r="M217">
        <f>_xll.ciqfunctions.udf.CIQ(A217, "IQ_LASTSALEPRICE", WORKDAY(F217,5))</f>
        <v>96.5</v>
      </c>
      <c r="N217">
        <f t="shared" si="6"/>
        <v>-8.4557388028062994E-2</v>
      </c>
      <c r="O217">
        <f t="shared" si="7"/>
        <v>-7.0994321480442352E-2</v>
      </c>
      <c r="P217">
        <f>LN(_xll.ciqfunctions.udf.CIQ("XBI", "IQ_LASTSALEPRICE", WORKDAY(F217,-1))/_xll.ciqfunctions.udf.CIQ("XBI", "IQ_LASTSALEPRICE", WORKDAY(F217,1)))</f>
        <v>6.0342120742675684E-3</v>
      </c>
      <c r="Q217">
        <f>LN(_xll.ciqfunctions.udf.CIQ("XBI", "IQ_LASTSALEPRICE", WORKDAY(F217,-1))/_xll.ciqfunctions.udf.CIQ("XBI", "IQ_LASTSALEPRICE", WORKDAY(F217,5)))</f>
        <v>-1.5257344061350236E-2</v>
      </c>
      <c r="R217">
        <f>_xll.ciqfunctions.udf.CIQ(A217, "IQ_SHORT_INTEREST_PERCENT", F217)</f>
        <v>0.43942999999999999</v>
      </c>
      <c r="S217">
        <f>_xll.ciqfunctions.udf.CIQ(A217, "IQ_BETA_1YR_RSQ", F217)</f>
        <v>9.7999999999999997E-3</v>
      </c>
      <c r="T217">
        <f>_xll.ciqfunctions.udf.CIQ(A217, "IQ_VALUE_TRADED", F217)</f>
        <v>0.17993000000000001</v>
      </c>
    </row>
    <row r="218" spans="1:20" x14ac:dyDescent="0.3">
      <c r="A218" t="s">
        <v>719</v>
      </c>
      <c r="B218">
        <v>3.94</v>
      </c>
      <c r="C218" t="s">
        <v>720</v>
      </c>
      <c r="D218" t="s">
        <v>721</v>
      </c>
      <c r="E218" t="s">
        <v>76</v>
      </c>
      <c r="F218" s="1">
        <v>45329</v>
      </c>
      <c r="G218" t="s">
        <v>722</v>
      </c>
      <c r="H218">
        <v>1</v>
      </c>
      <c r="I218">
        <f>_xll.ciqfunctions.udf.CIQ(A218, "IQ_MARKETCAP", F218)</f>
        <v>84.382810000000006</v>
      </c>
      <c r="J218">
        <f>_xll.ciqfunctions.udf.CIQ(A218, "IQ_PRICE_VOL_HIST_6MTH", F218)</f>
        <v>74.024199999999993</v>
      </c>
      <c r="K218">
        <f>_xll.ciqfunctions.udf.CIQ(A218, "IQ_LASTSALEPRICE", WORKDAY(F218,-1))</f>
        <v>620.99968999999999</v>
      </c>
      <c r="L218">
        <f>_xll.ciqfunctions.udf.CIQ(A218, "IQ_LASTSALEPRICE", F218)</f>
        <v>590.24969999999996</v>
      </c>
      <c r="M218">
        <f>_xll.ciqfunctions.udf.CIQ(A218, "IQ_LASTSALEPRICE", WORKDAY(F218,5))</f>
        <v>497.99975000000001</v>
      </c>
      <c r="N218">
        <f t="shared" si="6"/>
        <v>-5.0784915032226249E-2</v>
      </c>
      <c r="O218">
        <f t="shared" si="7"/>
        <v>-0.22073100772201232</v>
      </c>
      <c r="P218">
        <f>LN(_xll.ciqfunctions.udf.CIQ("XBI", "IQ_LASTSALEPRICE", WORKDAY(F218,-1))/_xll.ciqfunctions.udf.CIQ("XBI", "IQ_LASTSALEPRICE", WORKDAY(F218,1)))</f>
        <v>6.0342120742675684E-3</v>
      </c>
      <c r="Q218">
        <f>LN(_xll.ciqfunctions.udf.CIQ("XBI", "IQ_LASTSALEPRICE", WORKDAY(F218,-1))/_xll.ciqfunctions.udf.CIQ("XBI", "IQ_LASTSALEPRICE", WORKDAY(F218,5)))</f>
        <v>-1.5257344061350236E-2</v>
      </c>
      <c r="R218">
        <f>_xll.ciqfunctions.udf.CIQ(A218, "IQ_SHORT_INTEREST_PERCENT", F218)</f>
        <v>0</v>
      </c>
      <c r="S218">
        <f>_xll.ciqfunctions.udf.CIQ(A218, "IQ_BETA_1YR_RSQ", F218)</f>
        <v>0</v>
      </c>
      <c r="T218">
        <f>_xll.ciqfunctions.udf.CIQ(A218, "IQ_VALUE_TRADED", F218)</f>
        <v>0.61209000000000002</v>
      </c>
    </row>
    <row r="219" spans="1:20" x14ac:dyDescent="0.3">
      <c r="A219" t="s">
        <v>723</v>
      </c>
      <c r="B219">
        <v>6.4</v>
      </c>
      <c r="C219" t="s">
        <v>724</v>
      </c>
      <c r="D219" t="s">
        <v>725</v>
      </c>
      <c r="E219" t="s">
        <v>36</v>
      </c>
      <c r="F219" s="1">
        <v>45329</v>
      </c>
      <c r="G219" t="s">
        <v>726</v>
      </c>
      <c r="H219">
        <v>101</v>
      </c>
      <c r="I219">
        <f>_xll.ciqfunctions.udf.CIQ(A219, "IQ_MARKETCAP", F219)</f>
        <v>608.03805999999997</v>
      </c>
      <c r="J219">
        <f>_xll.ciqfunctions.udf.CIQ(A219, "IQ_PRICE_VOL_HIST_6MTH", F219)</f>
        <v>82.685699999999997</v>
      </c>
      <c r="K219">
        <f>_xll.ciqfunctions.udf.CIQ(A219, "IQ_LASTSALEPRICE", WORKDAY(F219,-1))</f>
        <v>6.04</v>
      </c>
      <c r="L219">
        <f>_xll.ciqfunctions.udf.CIQ(A219, "IQ_LASTSALEPRICE", F219)</f>
        <v>6.4</v>
      </c>
      <c r="M219">
        <f>_xll.ciqfunctions.udf.CIQ(A219, "IQ_LASTSALEPRICE", WORKDAY(F219,5))</f>
        <v>6.27</v>
      </c>
      <c r="N219">
        <f t="shared" si="6"/>
        <v>5.7893978418902668E-2</v>
      </c>
      <c r="O219">
        <f t="shared" si="7"/>
        <v>3.7372342698105777E-2</v>
      </c>
      <c r="P219">
        <f>LN(_xll.ciqfunctions.udf.CIQ("XBI", "IQ_LASTSALEPRICE", WORKDAY(F219,-1))/_xll.ciqfunctions.udf.CIQ("XBI", "IQ_LASTSALEPRICE", WORKDAY(F219,1)))</f>
        <v>6.0342120742675684E-3</v>
      </c>
      <c r="Q219">
        <f>LN(_xll.ciqfunctions.udf.CIQ("XBI", "IQ_LASTSALEPRICE", WORKDAY(F219,-1))/_xll.ciqfunctions.udf.CIQ("XBI", "IQ_LASTSALEPRICE", WORKDAY(F219,5)))</f>
        <v>-1.5257344061350236E-2</v>
      </c>
      <c r="R219">
        <f>_xll.ciqfunctions.udf.CIQ(A219, "IQ_SHORT_INTEREST_PERCENT", F219)</f>
        <v>5.6842800000000002</v>
      </c>
      <c r="S219">
        <f>_xll.ciqfunctions.udf.CIQ(A219, "IQ_BETA_1YR_RSQ", F219)</f>
        <v>1.2019999999999999E-2</v>
      </c>
      <c r="T219">
        <f>_xll.ciqfunctions.udf.CIQ(A219, "IQ_VALUE_TRADED", F219)</f>
        <v>9.3320100000000004</v>
      </c>
    </row>
    <row r="220" spans="1:20" x14ac:dyDescent="0.3">
      <c r="A220" t="s">
        <v>146</v>
      </c>
      <c r="B220">
        <v>41.27</v>
      </c>
      <c r="C220" t="s">
        <v>724</v>
      </c>
      <c r="D220" t="s">
        <v>725</v>
      </c>
      <c r="E220" t="s">
        <v>36</v>
      </c>
      <c r="F220" s="1">
        <v>45329</v>
      </c>
      <c r="G220" t="s">
        <v>726</v>
      </c>
      <c r="I220">
        <f>_xll.ciqfunctions.udf.CIQ(A220, "IQ_MARKETCAP", F220)</f>
        <v>67872.044450000001</v>
      </c>
      <c r="J220">
        <f>_xll.ciqfunctions.udf.CIQ(A220, "IQ_PRICE_VOL_HIST_6MTH", F220)</f>
        <v>17.762499999999999</v>
      </c>
      <c r="K220">
        <f>_xll.ciqfunctions.udf.CIQ(A220, "IQ_LASTSALEPRICE", WORKDAY(F220,-1))</f>
        <v>16.53</v>
      </c>
      <c r="L220">
        <f>_xll.ciqfunctions.udf.CIQ(A220, "IQ_LASTSALEPRICE", F220)</f>
        <v>16.725999999999999</v>
      </c>
      <c r="M220">
        <f>_xll.ciqfunctions.udf.CIQ(A220, "IQ_LASTSALEPRICE", WORKDAY(F220,5))</f>
        <v>16.68</v>
      </c>
      <c r="N220">
        <f t="shared" si="6"/>
        <v>1.1787483126401113E-2</v>
      </c>
      <c r="O220">
        <f t="shared" si="7"/>
        <v>9.033485097667826E-3</v>
      </c>
      <c r="P220">
        <f>LN(_xll.ciqfunctions.udf.CIQ("XBI", "IQ_LASTSALEPRICE", WORKDAY(F220,-1))/_xll.ciqfunctions.udf.CIQ("XBI", "IQ_LASTSALEPRICE", WORKDAY(F220,1)))</f>
        <v>6.0342120742675684E-3</v>
      </c>
      <c r="Q220">
        <f>LN(_xll.ciqfunctions.udf.CIQ("XBI", "IQ_LASTSALEPRICE", WORKDAY(F220,-1))/_xll.ciqfunctions.udf.CIQ("XBI", "IQ_LASTSALEPRICE", WORKDAY(F220,5)))</f>
        <v>-1.5257344061350236E-2</v>
      </c>
      <c r="R220">
        <f>_xll.ciqfunctions.udf.CIQ(A220, "IQ_SHORT_INTEREST_PERCENT", F220)</f>
        <v>0</v>
      </c>
      <c r="S220">
        <f>_xll.ciqfunctions.udf.CIQ(A220, "IQ_BETA_1YR_RSQ", F220)</f>
        <v>2.0400000000000001E-3</v>
      </c>
      <c r="T220">
        <f>_xll.ciqfunctions.udf.CIQ(A220, "IQ_VALUE_TRADED", F220)</f>
        <v>127.44694</v>
      </c>
    </row>
    <row r="221" spans="1:20" x14ac:dyDescent="0.3">
      <c r="A221" t="s">
        <v>727</v>
      </c>
      <c r="B221">
        <v>25.4</v>
      </c>
      <c r="C221" t="s">
        <v>728</v>
      </c>
      <c r="D221" t="s">
        <v>66</v>
      </c>
      <c r="E221" t="s">
        <v>36</v>
      </c>
      <c r="F221" s="1">
        <v>45329</v>
      </c>
      <c r="G221" t="s">
        <v>729</v>
      </c>
      <c r="H221">
        <v>48</v>
      </c>
      <c r="I221">
        <f>_xll.ciqfunctions.udf.CIQ(A221, "IQ_MARKETCAP", F221)</f>
        <v>1072.81774</v>
      </c>
      <c r="J221">
        <f>_xll.ciqfunctions.udf.CIQ(A221, "IQ_PRICE_VOL_HIST_6MTH", F221)</f>
        <v>84.271500000000003</v>
      </c>
      <c r="K221">
        <f>_xll.ciqfunctions.udf.CIQ(A221, "IQ_LASTSALEPRICE", WORKDAY(F221,-1))</f>
        <v>23.66</v>
      </c>
      <c r="L221">
        <f>_xll.ciqfunctions.udf.CIQ(A221, "IQ_LASTSALEPRICE", F221)</f>
        <v>25.4</v>
      </c>
      <c r="M221">
        <f>_xll.ciqfunctions.udf.CIQ(A221, "IQ_LASTSALEPRICE", WORKDAY(F221,5))</f>
        <v>24.1</v>
      </c>
      <c r="N221">
        <f t="shared" si="6"/>
        <v>7.096331547425018E-2</v>
      </c>
      <c r="O221">
        <f t="shared" si="7"/>
        <v>1.8425981946368561E-2</v>
      </c>
      <c r="P221">
        <f>LN(_xll.ciqfunctions.udf.CIQ("XBI", "IQ_LASTSALEPRICE", WORKDAY(F221,-1))/_xll.ciqfunctions.udf.CIQ("XBI", "IQ_LASTSALEPRICE", WORKDAY(F221,1)))</f>
        <v>6.0342120742675684E-3</v>
      </c>
      <c r="Q221">
        <f>LN(_xll.ciqfunctions.udf.CIQ("XBI", "IQ_LASTSALEPRICE", WORKDAY(F221,-1))/_xll.ciqfunctions.udf.CIQ("XBI", "IQ_LASTSALEPRICE", WORKDAY(F221,5)))</f>
        <v>-1.5257344061350236E-2</v>
      </c>
      <c r="R221">
        <f>_xll.ciqfunctions.udf.CIQ(A221, "IQ_SHORT_INTEREST_PERCENT", F221)</f>
        <v>31.566320000000001</v>
      </c>
      <c r="S221">
        <f>_xll.ciqfunctions.udf.CIQ(A221, "IQ_BETA_1YR_RSQ", F221)</f>
        <v>3.1579999999999997E-2</v>
      </c>
      <c r="T221">
        <f>_xll.ciqfunctions.udf.CIQ(A221, "IQ_VALUE_TRADED", F221)</f>
        <v>30.613050000000001</v>
      </c>
    </row>
    <row r="222" spans="1:20" x14ac:dyDescent="0.3">
      <c r="A222" t="s">
        <v>711</v>
      </c>
      <c r="B222">
        <v>14.57</v>
      </c>
      <c r="C222" t="s">
        <v>730</v>
      </c>
      <c r="D222" t="s">
        <v>731</v>
      </c>
      <c r="E222" t="s">
        <v>36</v>
      </c>
      <c r="F222" s="1">
        <v>45329</v>
      </c>
      <c r="G222" t="s">
        <v>732</v>
      </c>
      <c r="H222">
        <v>50</v>
      </c>
      <c r="I222">
        <f>_xll.ciqfunctions.udf.CIQ(A222, "IQ_MARKETCAP", F222)</f>
        <v>640.96315000000004</v>
      </c>
      <c r="J222">
        <f>_xll.ciqfunctions.udf.CIQ(A222, "IQ_PRICE_VOL_HIST_6MTH", F222)</f>
        <v>57.235599999999998</v>
      </c>
      <c r="K222">
        <f>_xll.ciqfunctions.udf.CIQ(A222, "IQ_LASTSALEPRICE", WORKDAY(F222,-1))</f>
        <v>13.05</v>
      </c>
      <c r="L222">
        <f>_xll.ciqfunctions.udf.CIQ(A222, "IQ_LASTSALEPRICE", F222)</f>
        <v>14.57</v>
      </c>
      <c r="M222">
        <f>_xll.ciqfunctions.udf.CIQ(A222, "IQ_LASTSALEPRICE", WORKDAY(F222,5))</f>
        <v>16.79</v>
      </c>
      <c r="N222">
        <f t="shared" si="6"/>
        <v>0.11017648643841102</v>
      </c>
      <c r="O222">
        <f t="shared" si="7"/>
        <v>0.25199533732074697</v>
      </c>
      <c r="P222">
        <f>LN(_xll.ciqfunctions.udf.CIQ("XBI", "IQ_LASTSALEPRICE", WORKDAY(F222,-1))/_xll.ciqfunctions.udf.CIQ("XBI", "IQ_LASTSALEPRICE", WORKDAY(F222,1)))</f>
        <v>6.0342120742675684E-3</v>
      </c>
      <c r="Q222">
        <f>LN(_xll.ciqfunctions.udf.CIQ("XBI", "IQ_LASTSALEPRICE", WORKDAY(F222,-1))/_xll.ciqfunctions.udf.CIQ("XBI", "IQ_LASTSALEPRICE", WORKDAY(F222,5)))</f>
        <v>-1.5257344061350236E-2</v>
      </c>
      <c r="R222">
        <f>_xll.ciqfunctions.udf.CIQ(A222, "IQ_SHORT_INTEREST_PERCENT", F222)</f>
        <v>10.03045</v>
      </c>
      <c r="S222">
        <f>_xll.ciqfunctions.udf.CIQ(A222, "IQ_BETA_1YR_RSQ", F222)</f>
        <v>0.23949000000000001</v>
      </c>
      <c r="T222">
        <f>_xll.ciqfunctions.udf.CIQ(A222, "IQ_VALUE_TRADED", F222)</f>
        <v>26.84477</v>
      </c>
    </row>
    <row r="223" spans="1:20" x14ac:dyDescent="0.3">
      <c r="A223" t="s">
        <v>733</v>
      </c>
      <c r="B223">
        <v>16.95</v>
      </c>
      <c r="C223" t="s">
        <v>734</v>
      </c>
      <c r="D223" t="s">
        <v>735</v>
      </c>
      <c r="E223" t="s">
        <v>89</v>
      </c>
      <c r="F223" s="1">
        <v>45329</v>
      </c>
      <c r="G223" t="s">
        <v>736</v>
      </c>
      <c r="H223">
        <v>146</v>
      </c>
      <c r="I223">
        <f>_xll.ciqfunctions.udf.CIQ(A223, "IQ_MARKETCAP", F223)</f>
        <v>2342.4365699999998</v>
      </c>
      <c r="J223">
        <f>_xll.ciqfunctions.udf.CIQ(A223, "IQ_PRICE_VOL_HIST_6MTH", F223)</f>
        <v>59.892000000000003</v>
      </c>
      <c r="K223">
        <f>_xll.ciqfunctions.udf.CIQ(A223, "IQ_LASTSALEPRICE", WORKDAY(F223,-1))</f>
        <v>16.63</v>
      </c>
      <c r="L223">
        <f>_xll.ciqfunctions.udf.CIQ(A223, "IQ_LASTSALEPRICE", F223)</f>
        <v>16.95</v>
      </c>
      <c r="M223">
        <f>_xll.ciqfunctions.udf.CIQ(A223, "IQ_LASTSALEPRICE", WORKDAY(F223,5))</f>
        <v>17.89</v>
      </c>
      <c r="N223">
        <f t="shared" si="6"/>
        <v>1.9059540621622961E-2</v>
      </c>
      <c r="O223">
        <f t="shared" si="7"/>
        <v>7.3033604315791603E-2</v>
      </c>
      <c r="P223">
        <f>LN(_xll.ciqfunctions.udf.CIQ("XBI", "IQ_LASTSALEPRICE", WORKDAY(F223,-1))/_xll.ciqfunctions.udf.CIQ("XBI", "IQ_LASTSALEPRICE", WORKDAY(F223,1)))</f>
        <v>6.0342120742675684E-3</v>
      </c>
      <c r="Q223">
        <f>LN(_xll.ciqfunctions.udf.CIQ("XBI", "IQ_LASTSALEPRICE", WORKDAY(F223,-1))/_xll.ciqfunctions.udf.CIQ("XBI", "IQ_LASTSALEPRICE", WORKDAY(F223,5)))</f>
        <v>-1.5257344061350236E-2</v>
      </c>
      <c r="R223">
        <f>_xll.ciqfunctions.udf.CIQ(A223, "IQ_SHORT_INTEREST_PERCENT", F223)</f>
        <v>7.1518300000000004</v>
      </c>
      <c r="S223">
        <f>_xll.ciqfunctions.udf.CIQ(A223, "IQ_BETA_1YR_RSQ", F223)</f>
        <v>0.29765999999999998</v>
      </c>
      <c r="T223">
        <f>_xll.ciqfunctions.udf.CIQ(A223, "IQ_VALUE_TRADED", F223)</f>
        <v>14.66151</v>
      </c>
    </row>
    <row r="224" spans="1:20" x14ac:dyDescent="0.3">
      <c r="A224" t="s">
        <v>733</v>
      </c>
      <c r="B224">
        <v>16.95</v>
      </c>
      <c r="C224" t="s">
        <v>737</v>
      </c>
      <c r="D224" t="s">
        <v>738</v>
      </c>
      <c r="E224" t="s">
        <v>17</v>
      </c>
      <c r="F224" s="1">
        <v>45329</v>
      </c>
      <c r="G224" t="s">
        <v>739</v>
      </c>
      <c r="H224">
        <v>146</v>
      </c>
      <c r="I224">
        <f>_xll.ciqfunctions.udf.CIQ(A224, "IQ_MARKETCAP", F224)</f>
        <v>2342.4365699999998</v>
      </c>
      <c r="J224">
        <f>_xll.ciqfunctions.udf.CIQ(A224, "IQ_PRICE_VOL_HIST_6MTH", F224)</f>
        <v>59.892000000000003</v>
      </c>
      <c r="K224">
        <f>_xll.ciqfunctions.udf.CIQ(A224, "IQ_LASTSALEPRICE", WORKDAY(F224,-1))</f>
        <v>16.63</v>
      </c>
      <c r="L224">
        <f>_xll.ciqfunctions.udf.CIQ(A224, "IQ_LASTSALEPRICE", F224)</f>
        <v>16.95</v>
      </c>
      <c r="M224">
        <f>_xll.ciqfunctions.udf.CIQ(A224, "IQ_LASTSALEPRICE", WORKDAY(F224,5))</f>
        <v>17.89</v>
      </c>
      <c r="N224">
        <f t="shared" si="6"/>
        <v>1.9059540621622961E-2</v>
      </c>
      <c r="O224">
        <f t="shared" si="7"/>
        <v>7.3033604315791603E-2</v>
      </c>
      <c r="P224">
        <f>LN(_xll.ciqfunctions.udf.CIQ("XBI", "IQ_LASTSALEPRICE", WORKDAY(F224,-1))/_xll.ciqfunctions.udf.CIQ("XBI", "IQ_LASTSALEPRICE", WORKDAY(F224,1)))</f>
        <v>6.0342120742675684E-3</v>
      </c>
      <c r="Q224">
        <f>LN(_xll.ciqfunctions.udf.CIQ("XBI", "IQ_LASTSALEPRICE", WORKDAY(F224,-1))/_xll.ciqfunctions.udf.CIQ("XBI", "IQ_LASTSALEPRICE", WORKDAY(F224,5)))</f>
        <v>-1.5257344061350236E-2</v>
      </c>
      <c r="R224">
        <f>_xll.ciqfunctions.udf.CIQ(A224, "IQ_SHORT_INTEREST_PERCENT", F224)</f>
        <v>7.1518300000000004</v>
      </c>
      <c r="S224">
        <f>_xll.ciqfunctions.udf.CIQ(A224, "IQ_BETA_1YR_RSQ", F224)</f>
        <v>0.29765999999999998</v>
      </c>
      <c r="T224">
        <f>_xll.ciqfunctions.udf.CIQ(A224, "IQ_VALUE_TRADED", F224)</f>
        <v>14.66151</v>
      </c>
    </row>
    <row r="225" spans="1:20" x14ac:dyDescent="0.3">
      <c r="A225" t="s">
        <v>723</v>
      </c>
      <c r="B225">
        <v>6.25</v>
      </c>
      <c r="C225" t="s">
        <v>740</v>
      </c>
      <c r="D225" t="s">
        <v>741</v>
      </c>
      <c r="E225" t="s">
        <v>76</v>
      </c>
      <c r="F225" s="1">
        <v>45330</v>
      </c>
      <c r="G225" t="s">
        <v>742</v>
      </c>
      <c r="H225">
        <v>101</v>
      </c>
      <c r="I225">
        <f>_xll.ciqfunctions.udf.CIQ(A225, "IQ_MARKETCAP", F225)</f>
        <v>593.78716999999995</v>
      </c>
      <c r="J225">
        <f>_xll.ciqfunctions.udf.CIQ(A225, "IQ_PRICE_VOL_HIST_6MTH", F225)</f>
        <v>82.7363</v>
      </c>
      <c r="K225">
        <f>_xll.ciqfunctions.udf.CIQ(A225, "IQ_LASTSALEPRICE", WORKDAY(F225,-1))</f>
        <v>6.4</v>
      </c>
      <c r="L225">
        <f>_xll.ciqfunctions.udf.CIQ(A225, "IQ_LASTSALEPRICE", F225)</f>
        <v>6.25</v>
      </c>
      <c r="M225">
        <f>_xll.ciqfunctions.udf.CIQ(A225, "IQ_LASTSALEPRICE", WORKDAY(F225,5))</f>
        <v>6.49</v>
      </c>
      <c r="N225">
        <f t="shared" si="6"/>
        <v>-2.3716526617316044E-2</v>
      </c>
      <c r="O225">
        <f t="shared" si="7"/>
        <v>1.3964540350372322E-2</v>
      </c>
      <c r="P225">
        <f>LN(_xll.ciqfunctions.udf.CIQ("XBI", "IQ_LASTSALEPRICE", WORKDAY(F225,-1))/_xll.ciqfunctions.udf.CIQ("XBI", "IQ_LASTSALEPRICE", WORKDAY(F225,1)))</f>
        <v>-3.3167017560652781E-2</v>
      </c>
      <c r="Q225">
        <f>LN(_xll.ciqfunctions.udf.CIQ("XBI", "IQ_LASTSALEPRICE", WORKDAY(F225,-1))/_xll.ciqfunctions.udf.CIQ("XBI", "IQ_LASTSALEPRICE", WORKDAY(F225,5)))</f>
        <v>-5.736655992140402E-2</v>
      </c>
      <c r="R225">
        <f>_xll.ciqfunctions.udf.CIQ(A225, "IQ_SHORT_INTEREST_PERCENT", F225)</f>
        <v>5.6842800000000002</v>
      </c>
      <c r="S225">
        <f>_xll.ciqfunctions.udf.CIQ(A225, "IQ_BETA_1YR_RSQ", F225)</f>
        <v>1.2019999999999999E-2</v>
      </c>
      <c r="T225">
        <f>_xll.ciqfunctions.udf.CIQ(A225, "IQ_VALUE_TRADED", F225)</f>
        <v>3.7539600000000002</v>
      </c>
    </row>
    <row r="226" spans="1:20" x14ac:dyDescent="0.3">
      <c r="A226" t="s">
        <v>146</v>
      </c>
      <c r="B226">
        <v>41.08</v>
      </c>
      <c r="C226" t="s">
        <v>740</v>
      </c>
      <c r="D226" t="s">
        <v>741</v>
      </c>
      <c r="E226" t="s">
        <v>76</v>
      </c>
      <c r="F226" s="1">
        <v>45330</v>
      </c>
      <c r="G226" t="s">
        <v>742</v>
      </c>
      <c r="I226">
        <f>_xll.ciqfunctions.udf.CIQ(A226, "IQ_MARKETCAP", F226)</f>
        <v>66995.543099999995</v>
      </c>
      <c r="J226">
        <f>_xll.ciqfunctions.udf.CIQ(A226, "IQ_PRICE_VOL_HIST_6MTH", F226)</f>
        <v>17.8447</v>
      </c>
      <c r="K226">
        <f>_xll.ciqfunctions.udf.CIQ(A226, "IQ_LASTSALEPRICE", WORKDAY(F226,-1))</f>
        <v>16.725999999999999</v>
      </c>
      <c r="L226">
        <f>_xll.ciqfunctions.udf.CIQ(A226, "IQ_LASTSALEPRICE", F226)</f>
        <v>16.510000000000002</v>
      </c>
      <c r="M226">
        <f>_xll.ciqfunctions.udf.CIQ(A226, "IQ_LASTSALEPRICE", WORKDAY(F226,5))</f>
        <v>16.63</v>
      </c>
      <c r="N226">
        <f t="shared" si="6"/>
        <v>-1.2998137027297216E-2</v>
      </c>
      <c r="O226">
        <f t="shared" si="7"/>
        <v>-5.7561017544977165E-3</v>
      </c>
      <c r="P226">
        <f>LN(_xll.ciqfunctions.udf.CIQ("XBI", "IQ_LASTSALEPRICE", WORKDAY(F226,-1))/_xll.ciqfunctions.udf.CIQ("XBI", "IQ_LASTSALEPRICE", WORKDAY(F226,1)))</f>
        <v>-3.3167017560652781E-2</v>
      </c>
      <c r="Q226">
        <f>LN(_xll.ciqfunctions.udf.CIQ("XBI", "IQ_LASTSALEPRICE", WORKDAY(F226,-1))/_xll.ciqfunctions.udf.CIQ("XBI", "IQ_LASTSALEPRICE", WORKDAY(F226,5)))</f>
        <v>-5.736655992140402E-2</v>
      </c>
      <c r="R226">
        <f>_xll.ciqfunctions.udf.CIQ(A226, "IQ_SHORT_INTEREST_PERCENT", F226)</f>
        <v>0</v>
      </c>
      <c r="S226">
        <f>_xll.ciqfunctions.udf.CIQ(A226, "IQ_BETA_1YR_RSQ", F226)</f>
        <v>2.0400000000000001E-3</v>
      </c>
      <c r="T226">
        <f>_xll.ciqfunctions.udf.CIQ(A226, "IQ_VALUE_TRADED", F226)</f>
        <v>124.32012</v>
      </c>
    </row>
    <row r="227" spans="1:20" x14ac:dyDescent="0.3">
      <c r="A227" t="s">
        <v>743</v>
      </c>
      <c r="B227">
        <v>19.7</v>
      </c>
      <c r="C227" t="s">
        <v>744</v>
      </c>
      <c r="D227" t="s">
        <v>635</v>
      </c>
      <c r="E227" t="s">
        <v>76</v>
      </c>
      <c r="F227" s="1">
        <v>45330</v>
      </c>
      <c r="G227" t="s">
        <v>745</v>
      </c>
      <c r="H227">
        <v>20</v>
      </c>
      <c r="I227">
        <f>_xll.ciqfunctions.udf.CIQ(A227, "IQ_MARKETCAP", F227)</f>
        <v>199.02352999999999</v>
      </c>
      <c r="J227">
        <f>_xll.ciqfunctions.udf.CIQ(A227, "IQ_PRICE_VOL_HIST_6MTH", F227)</f>
        <v>114.08710000000001</v>
      </c>
      <c r="K227">
        <f>_xll.ciqfunctions.udf.CIQ(A227, "IQ_LASTSALEPRICE", WORKDAY(F227,-1))</f>
        <v>28.1</v>
      </c>
      <c r="L227">
        <f>_xll.ciqfunctions.udf.CIQ(A227, "IQ_LASTSALEPRICE", F227)</f>
        <v>19.7</v>
      </c>
      <c r="M227">
        <f>_xll.ciqfunctions.udf.CIQ(A227, "IQ_LASTSALEPRICE", WORKDAY(F227,5))</f>
        <v>20</v>
      </c>
      <c r="N227">
        <f t="shared" si="6"/>
        <v>-0.3551509405957573</v>
      </c>
      <c r="O227">
        <f t="shared" si="7"/>
        <v>-0.34003730278570921</v>
      </c>
      <c r="P227">
        <f>LN(_xll.ciqfunctions.udf.CIQ("XBI", "IQ_LASTSALEPRICE", WORKDAY(F227,-1))/_xll.ciqfunctions.udf.CIQ("XBI", "IQ_LASTSALEPRICE", WORKDAY(F227,1)))</f>
        <v>-3.3167017560652781E-2</v>
      </c>
      <c r="Q227">
        <f>LN(_xll.ciqfunctions.udf.CIQ("XBI", "IQ_LASTSALEPRICE", WORKDAY(F227,-1))/_xll.ciqfunctions.udf.CIQ("XBI", "IQ_LASTSALEPRICE", WORKDAY(F227,5)))</f>
        <v>-5.736655992140402E-2</v>
      </c>
      <c r="R227">
        <f>_xll.ciqfunctions.udf.CIQ(A227, "IQ_SHORT_INTEREST_PERCENT", F227)</f>
        <v>1.6360699999999999</v>
      </c>
      <c r="S227">
        <f>_xll.ciqfunctions.udf.CIQ(A227, "IQ_BETA_1YR_RSQ", F227)</f>
        <v>1.3390000000000001E-2</v>
      </c>
      <c r="T227">
        <f>_xll.ciqfunctions.udf.CIQ(A227, "IQ_VALUE_TRADED", F227)</f>
        <v>29.912659999999999</v>
      </c>
    </row>
    <row r="228" spans="1:20" x14ac:dyDescent="0.3">
      <c r="A228" t="s">
        <v>449</v>
      </c>
      <c r="B228">
        <v>0.38</v>
      </c>
      <c r="C228" t="s">
        <v>746</v>
      </c>
      <c r="D228" t="s">
        <v>747</v>
      </c>
      <c r="E228" t="s">
        <v>76</v>
      </c>
      <c r="F228" s="1">
        <v>45330</v>
      </c>
      <c r="G228" t="s">
        <v>748</v>
      </c>
      <c r="H228">
        <v>2</v>
      </c>
      <c r="I228">
        <f>_xll.ciqfunctions.udf.CIQ(A228, "IQ_MARKETCAP", F228)</f>
        <v>57.423859999999998</v>
      </c>
      <c r="J228">
        <f>_xll.ciqfunctions.udf.CIQ(A228, "IQ_PRICE_VOL_HIST_6MTH", F228)</f>
        <v>57.260899999999999</v>
      </c>
      <c r="K228">
        <f>_xll.ciqfunctions.udf.CIQ(A228, "IQ_LASTSALEPRICE", WORKDAY(F228,-1))</f>
        <v>0.27500000000000002</v>
      </c>
      <c r="L228">
        <f>_xll.ciqfunctions.udf.CIQ(A228, "IQ_LASTSALEPRICE", F228)</f>
        <v>0.27500000000000002</v>
      </c>
      <c r="M228">
        <f>_xll.ciqfunctions.udf.CIQ(A228, "IQ_LASTSALEPRICE", WORKDAY(F228,5))</f>
        <v>0.28499999999999998</v>
      </c>
      <c r="N228">
        <f t="shared" si="6"/>
        <v>0</v>
      </c>
      <c r="O228">
        <f t="shared" si="7"/>
        <v>3.5718082602079031E-2</v>
      </c>
      <c r="P228">
        <f>LN(_xll.ciqfunctions.udf.CIQ("XBI", "IQ_LASTSALEPRICE", WORKDAY(F228,-1))/_xll.ciqfunctions.udf.CIQ("XBI", "IQ_LASTSALEPRICE", WORKDAY(F228,1)))</f>
        <v>-3.3167017560652781E-2</v>
      </c>
      <c r="Q228">
        <f>LN(_xll.ciqfunctions.udf.CIQ("XBI", "IQ_LASTSALEPRICE", WORKDAY(F228,-1))/_xll.ciqfunctions.udf.CIQ("XBI", "IQ_LASTSALEPRICE", WORKDAY(F228,5)))</f>
        <v>-5.736655992140402E-2</v>
      </c>
      <c r="R228">
        <f>_xll.ciqfunctions.udf.CIQ(A228, "IQ_SHORT_INTEREST_PERCENT", F228)</f>
        <v>0</v>
      </c>
      <c r="S228">
        <f>_xll.ciqfunctions.udf.CIQ(A228, "IQ_BETA_1YR_RSQ", F228)</f>
        <v>5.9199999999999999E-3</v>
      </c>
      <c r="T228">
        <f>_xll.ciqfunctions.udf.CIQ(A228, "IQ_VALUE_TRADED", F228)</f>
        <v>0</v>
      </c>
    </row>
    <row r="229" spans="1:20" x14ac:dyDescent="0.3">
      <c r="A229" t="s">
        <v>749</v>
      </c>
      <c r="B229">
        <v>1.3</v>
      </c>
      <c r="C229" t="s">
        <v>750</v>
      </c>
      <c r="D229" t="s">
        <v>751</v>
      </c>
      <c r="E229" t="s">
        <v>22</v>
      </c>
      <c r="F229" s="1">
        <v>45330</v>
      </c>
      <c r="G229" t="s">
        <v>752</v>
      </c>
      <c r="I229">
        <f>_xll.ciqfunctions.udf.CIQ(A229, "IQ_MARKETCAP", F229)</f>
        <v>3.4053499999999999</v>
      </c>
      <c r="J229">
        <f>_xll.ciqfunctions.udf.CIQ(A229, "IQ_PRICE_VOL_HIST_6MTH", F229)</f>
        <v>164.0147</v>
      </c>
      <c r="K229">
        <f>_xll.ciqfunctions.udf.CIQ(A229, "IQ_LASTSALEPRICE", WORKDAY(F229,-1))</f>
        <v>337.5</v>
      </c>
      <c r="L229">
        <f>_xll.ciqfunctions.udf.CIQ(A229, "IQ_LASTSALEPRICE", F229)</f>
        <v>325</v>
      </c>
      <c r="M229">
        <f>_xll.ciqfunctions.udf.CIQ(A229, "IQ_LASTSALEPRICE", WORKDAY(F229,5))</f>
        <v>397.5</v>
      </c>
      <c r="N229">
        <f t="shared" si="6"/>
        <v>-3.7740327982847086E-2</v>
      </c>
      <c r="O229">
        <f t="shared" si="7"/>
        <v>0.16362942378180212</v>
      </c>
      <c r="P229">
        <f>LN(_xll.ciqfunctions.udf.CIQ("XBI", "IQ_LASTSALEPRICE", WORKDAY(F229,-1))/_xll.ciqfunctions.udf.CIQ("XBI", "IQ_LASTSALEPRICE", WORKDAY(F229,1)))</f>
        <v>-3.3167017560652781E-2</v>
      </c>
      <c r="Q229">
        <f>LN(_xll.ciqfunctions.udf.CIQ("XBI", "IQ_LASTSALEPRICE", WORKDAY(F229,-1))/_xll.ciqfunctions.udf.CIQ("XBI", "IQ_LASTSALEPRICE", WORKDAY(F229,5)))</f>
        <v>-5.736655992140402E-2</v>
      </c>
      <c r="R229">
        <f>_xll.ciqfunctions.udf.CIQ(A229, "IQ_SHORT_INTEREST_PERCENT", F229)</f>
        <v>1.7314400000000001</v>
      </c>
      <c r="S229">
        <f>_xll.ciqfunctions.udf.CIQ(A229, "IQ_BETA_1YR_RSQ", F229)</f>
        <v>6.3000000000000003E-4</v>
      </c>
      <c r="T229">
        <f>_xll.ciqfunctions.udf.CIQ(A229, "IQ_VALUE_TRADED", F229)</f>
        <v>1.84633</v>
      </c>
    </row>
    <row r="230" spans="1:20" x14ac:dyDescent="0.3">
      <c r="A230" t="s">
        <v>753</v>
      </c>
      <c r="B230">
        <v>15.46</v>
      </c>
      <c r="C230" t="s">
        <v>754</v>
      </c>
      <c r="D230" t="s">
        <v>755</v>
      </c>
      <c r="E230" t="s">
        <v>76</v>
      </c>
      <c r="F230" s="1">
        <v>45330</v>
      </c>
      <c r="G230" t="s">
        <v>756</v>
      </c>
      <c r="H230">
        <v>89</v>
      </c>
      <c r="I230">
        <f>_xll.ciqfunctions.udf.CIQ(A230, "IQ_MARKETCAP", F230)</f>
        <v>1043.82446</v>
      </c>
      <c r="J230">
        <f>_xll.ciqfunctions.udf.CIQ(A230, "IQ_PRICE_VOL_HIST_6MTH", F230)</f>
        <v>69.283900000000003</v>
      </c>
      <c r="K230">
        <f>_xll.ciqfunctions.udf.CIQ(A230, "IQ_LASTSALEPRICE", WORKDAY(F230,-1))</f>
        <v>15.12</v>
      </c>
      <c r="L230">
        <f>_xll.ciqfunctions.udf.CIQ(A230, "IQ_LASTSALEPRICE", F230)</f>
        <v>15.46</v>
      </c>
      <c r="M230">
        <f>_xll.ciqfunctions.udf.CIQ(A230, "IQ_LASTSALEPRICE", WORKDAY(F230,5))</f>
        <v>15.38</v>
      </c>
      <c r="N230">
        <f t="shared" si="6"/>
        <v>2.2237672407889032E-2</v>
      </c>
      <c r="O230">
        <f t="shared" si="7"/>
        <v>1.7049593326110991E-2</v>
      </c>
      <c r="P230">
        <f>LN(_xll.ciqfunctions.udf.CIQ("XBI", "IQ_LASTSALEPRICE", WORKDAY(F230,-1))/_xll.ciqfunctions.udf.CIQ("XBI", "IQ_LASTSALEPRICE", WORKDAY(F230,1)))</f>
        <v>-3.3167017560652781E-2</v>
      </c>
      <c r="Q230">
        <f>LN(_xll.ciqfunctions.udf.CIQ("XBI", "IQ_LASTSALEPRICE", WORKDAY(F230,-1))/_xll.ciqfunctions.udf.CIQ("XBI", "IQ_LASTSALEPRICE", WORKDAY(F230,5)))</f>
        <v>-5.736655992140402E-2</v>
      </c>
      <c r="R230">
        <f>_xll.ciqfunctions.udf.CIQ(A230, "IQ_SHORT_INTEREST_PERCENT", F230)</f>
        <v>8.4847800000000007</v>
      </c>
      <c r="S230">
        <f>_xll.ciqfunctions.udf.CIQ(A230, "IQ_BETA_1YR_RSQ", F230)</f>
        <v>8.2820000000000005E-2</v>
      </c>
      <c r="T230">
        <f>_xll.ciqfunctions.udf.CIQ(A230, "IQ_VALUE_TRADED", F230)</f>
        <v>8.50014</v>
      </c>
    </row>
    <row r="231" spans="1:20" x14ac:dyDescent="0.3">
      <c r="A231" t="s">
        <v>64</v>
      </c>
      <c r="B231">
        <v>3.17</v>
      </c>
      <c r="C231" t="s">
        <v>757</v>
      </c>
      <c r="D231" t="s">
        <v>758</v>
      </c>
      <c r="E231" t="s">
        <v>89</v>
      </c>
      <c r="F231" s="1">
        <v>45330</v>
      </c>
      <c r="G231" t="s">
        <v>759</v>
      </c>
      <c r="H231">
        <v>3</v>
      </c>
      <c r="I231">
        <f>_xll.ciqfunctions.udf.CIQ(A231, "IQ_MARKETCAP", F231)</f>
        <v>120.63302</v>
      </c>
      <c r="J231">
        <f>_xll.ciqfunctions.udf.CIQ(A231, "IQ_PRICE_VOL_HIST_6MTH", F231)</f>
        <v>74.901700000000005</v>
      </c>
      <c r="K231">
        <f>_xll.ciqfunctions.udf.CIQ(A231, "IQ_LASTSALEPRICE", WORKDAY(F231,-1))</f>
        <v>31</v>
      </c>
      <c r="L231">
        <f>_xll.ciqfunctions.udf.CIQ(A231, "IQ_LASTSALEPRICE", F231)</f>
        <v>31.7</v>
      </c>
      <c r="M231">
        <f>_xll.ciqfunctions.udf.CIQ(A231, "IQ_LASTSALEPRICE", WORKDAY(F231,5))</f>
        <v>36.6</v>
      </c>
      <c r="N231">
        <f t="shared" si="6"/>
        <v>2.2329476398088577E-2</v>
      </c>
      <c r="O231">
        <f t="shared" si="7"/>
        <v>0.16606103592217433</v>
      </c>
      <c r="P231">
        <f>LN(_xll.ciqfunctions.udf.CIQ("XBI", "IQ_LASTSALEPRICE", WORKDAY(F231,-1))/_xll.ciqfunctions.udf.CIQ("XBI", "IQ_LASTSALEPRICE", WORKDAY(F231,1)))</f>
        <v>-3.3167017560652781E-2</v>
      </c>
      <c r="Q231">
        <f>LN(_xll.ciqfunctions.udf.CIQ("XBI", "IQ_LASTSALEPRICE", WORKDAY(F231,-1))/_xll.ciqfunctions.udf.CIQ("XBI", "IQ_LASTSALEPRICE", WORKDAY(F231,5)))</f>
        <v>-5.736655992140402E-2</v>
      </c>
      <c r="R231">
        <f>_xll.ciqfunctions.udf.CIQ(A231, "IQ_SHORT_INTEREST_PERCENT", F231)</f>
        <v>1.3503000000000001</v>
      </c>
      <c r="S231">
        <f>_xll.ciqfunctions.udf.CIQ(A231, "IQ_BETA_1YR_RSQ", F231)</f>
        <v>7.1889999999999996E-2</v>
      </c>
      <c r="T231">
        <f>_xll.ciqfunctions.udf.CIQ(A231, "IQ_VALUE_TRADED", F231)</f>
        <v>0.55281999999999998</v>
      </c>
    </row>
    <row r="232" spans="1:20" x14ac:dyDescent="0.3">
      <c r="A232" t="s">
        <v>351</v>
      </c>
      <c r="B232">
        <v>13.95</v>
      </c>
      <c r="C232" t="s">
        <v>760</v>
      </c>
      <c r="D232" t="s">
        <v>761</v>
      </c>
      <c r="E232" t="s">
        <v>197</v>
      </c>
      <c r="F232" s="1">
        <v>45331</v>
      </c>
      <c r="G232" t="s">
        <v>762</v>
      </c>
      <c r="I232">
        <f>_xll.ciqfunctions.udf.CIQ(A232, "IQ_MARKETCAP", F232)</f>
        <v>6682008.7763099996</v>
      </c>
      <c r="J232">
        <f>_xll.ciqfunctions.udf.CIQ(A232, "IQ_PRICE_VOL_HIST_6MTH", F232)</f>
        <v>19.4101</v>
      </c>
      <c r="K232">
        <f>_xll.ciqfunctions.udf.CIQ(A232, "IQ_LASTSALEPRICE", WORKDAY(F232,-1))</f>
        <v>14</v>
      </c>
      <c r="L232">
        <f>_xll.ciqfunctions.udf.CIQ(A232, "IQ_LASTSALEPRICE", F232)</f>
        <v>14.24</v>
      </c>
      <c r="M232">
        <f>_xll.ciqfunctions.udf.CIQ(A232, "IQ_LASTSALEPRICE", WORKDAY(F232,5))</f>
        <v>14.62</v>
      </c>
      <c r="N232">
        <f t="shared" si="6"/>
        <v>1.6997576368571077E-2</v>
      </c>
      <c r="O232">
        <f t="shared" si="7"/>
        <v>4.3333124706373807E-2</v>
      </c>
      <c r="P232">
        <f>LN(_xll.ciqfunctions.udf.CIQ("XBI", "IQ_LASTSALEPRICE", WORKDAY(F232,-1))/_xll.ciqfunctions.udf.CIQ("XBI", "IQ_LASTSALEPRICE", WORKDAY(F232,1)))</f>
        <v>-4.256895458290267E-2</v>
      </c>
      <c r="Q232">
        <f>LN(_xll.ciqfunctions.udf.CIQ("XBI", "IQ_LASTSALEPRICE", WORKDAY(F232,-1))/_xll.ciqfunctions.udf.CIQ("XBI", "IQ_LASTSALEPRICE", WORKDAY(F232,5)))</f>
        <v>-4.3105867347478788E-2</v>
      </c>
      <c r="R232">
        <f>_xll.ciqfunctions.udf.CIQ(A232, "IQ_SHORT_INTEREST_PERCENT", F232)</f>
        <v>0</v>
      </c>
      <c r="S232">
        <f>_xll.ciqfunctions.udf.CIQ(A232, "IQ_BETA_1YR_RSQ", F232)</f>
        <v>0</v>
      </c>
      <c r="T232">
        <f>_xll.ciqfunctions.udf.CIQ(A232, "IQ_VALUE_TRADED", F232)</f>
        <v>17.179749999999999</v>
      </c>
    </row>
    <row r="233" spans="1:20" x14ac:dyDescent="0.3">
      <c r="A233" t="s">
        <v>763</v>
      </c>
      <c r="B233">
        <v>9.26</v>
      </c>
      <c r="C233" t="s">
        <v>764</v>
      </c>
      <c r="D233" t="s">
        <v>765</v>
      </c>
      <c r="E233" t="s">
        <v>124</v>
      </c>
      <c r="F233" s="1">
        <v>45331</v>
      </c>
      <c r="G233" t="s">
        <v>766</v>
      </c>
      <c r="H233">
        <v>134</v>
      </c>
      <c r="I233">
        <f>_xll.ciqfunctions.udf.CIQ(A233, "IQ_MARKETCAP", F233)</f>
        <v>904.04773999999998</v>
      </c>
      <c r="J233">
        <f>_xll.ciqfunctions.udf.CIQ(A233, "IQ_PRICE_VOL_HIST_6MTH", F233)</f>
        <v>78.252099999999999</v>
      </c>
      <c r="K233">
        <f>_xll.ciqfunctions.udf.CIQ(A233, "IQ_LASTSALEPRICE", WORKDAY(F233,-1))</f>
        <v>7.46</v>
      </c>
      <c r="L233">
        <f>_xll.ciqfunctions.udf.CIQ(A233, "IQ_LASTSALEPRICE", F233)</f>
        <v>9.26</v>
      </c>
      <c r="M233">
        <f>_xll.ciqfunctions.udf.CIQ(A233, "IQ_LASTSALEPRICE", WORKDAY(F233,5))</f>
        <v>11.75</v>
      </c>
      <c r="N233">
        <f t="shared" si="6"/>
        <v>0.2161486344424185</v>
      </c>
      <c r="O233">
        <f t="shared" si="7"/>
        <v>0.4542978263744985</v>
      </c>
      <c r="P233">
        <f>LN(_xll.ciqfunctions.udf.CIQ("XBI", "IQ_LASTSALEPRICE", WORKDAY(F233,-1))/_xll.ciqfunctions.udf.CIQ("XBI", "IQ_LASTSALEPRICE", WORKDAY(F233,1)))</f>
        <v>-4.256895458290267E-2</v>
      </c>
      <c r="Q233">
        <f>LN(_xll.ciqfunctions.udf.CIQ("XBI", "IQ_LASTSALEPRICE", WORKDAY(F233,-1))/_xll.ciqfunctions.udf.CIQ("XBI", "IQ_LASTSALEPRICE", WORKDAY(F233,5)))</f>
        <v>-4.3105867347478788E-2</v>
      </c>
      <c r="R233">
        <f>_xll.ciqfunctions.udf.CIQ(A233, "IQ_SHORT_INTEREST_PERCENT", F233)</f>
        <v>1.1386499999999999</v>
      </c>
      <c r="S233">
        <f>_xll.ciqfunctions.udf.CIQ(A233, "IQ_BETA_1YR_RSQ", F233)</f>
        <v>0.16503999999999999</v>
      </c>
      <c r="T233">
        <f>_xll.ciqfunctions.udf.CIQ(A233, "IQ_VALUE_TRADED", F233)</f>
        <v>28.109749999999998</v>
      </c>
    </row>
    <row r="234" spans="1:20" x14ac:dyDescent="0.3">
      <c r="A234" t="s">
        <v>212</v>
      </c>
      <c r="B234">
        <v>1.71</v>
      </c>
      <c r="C234" t="s">
        <v>767</v>
      </c>
      <c r="D234" t="s">
        <v>768</v>
      </c>
      <c r="E234" t="s">
        <v>184</v>
      </c>
      <c r="F234" s="1">
        <v>45331</v>
      </c>
      <c r="G234" t="s">
        <v>769</v>
      </c>
      <c r="H234">
        <v>33</v>
      </c>
      <c r="I234">
        <f>_xll.ciqfunctions.udf.CIQ(A234, "IQ_MARKETCAP", F234)</f>
        <v>56.833649999999999</v>
      </c>
      <c r="J234">
        <f>_xll.ciqfunctions.udf.CIQ(A234, "IQ_PRICE_VOL_HIST_6MTH", F234)</f>
        <v>106.8312</v>
      </c>
      <c r="K234">
        <f>_xll.ciqfunctions.udf.CIQ(A234, "IQ_LASTSALEPRICE", WORKDAY(F234,-1))</f>
        <v>1.43</v>
      </c>
      <c r="L234">
        <f>_xll.ciqfunctions.udf.CIQ(A234, "IQ_LASTSALEPRICE", F234)</f>
        <v>1.71</v>
      </c>
      <c r="M234">
        <f>_xll.ciqfunctions.udf.CIQ(A234, "IQ_LASTSALEPRICE", WORKDAY(F234,5))</f>
        <v>1.41</v>
      </c>
      <c r="N234">
        <f t="shared" si="6"/>
        <v>0.17881892624275258</v>
      </c>
      <c r="O234">
        <f t="shared" si="7"/>
        <v>-1.4084739881738972E-2</v>
      </c>
      <c r="P234">
        <f>LN(_xll.ciqfunctions.udf.CIQ("XBI", "IQ_LASTSALEPRICE", WORKDAY(F234,-1))/_xll.ciqfunctions.udf.CIQ("XBI", "IQ_LASTSALEPRICE", WORKDAY(F234,1)))</f>
        <v>-4.256895458290267E-2</v>
      </c>
      <c r="Q234">
        <f>LN(_xll.ciqfunctions.udf.CIQ("XBI", "IQ_LASTSALEPRICE", WORKDAY(F234,-1))/_xll.ciqfunctions.udf.CIQ("XBI", "IQ_LASTSALEPRICE", WORKDAY(F234,5)))</f>
        <v>-4.3105867347478788E-2</v>
      </c>
      <c r="R234">
        <f>_xll.ciqfunctions.udf.CIQ(A234, "IQ_SHORT_INTEREST_PERCENT", F234)</f>
        <v>0.15403</v>
      </c>
      <c r="S234">
        <f>_xll.ciqfunctions.udf.CIQ(A234, "IQ_BETA_1YR_RSQ", F234)</f>
        <v>8.5999999999999998E-4</v>
      </c>
      <c r="T234">
        <f>_xll.ciqfunctions.udf.CIQ(A234, "IQ_VALUE_TRADED", F234)</f>
        <v>9.8329400000000007</v>
      </c>
    </row>
    <row r="235" spans="1:20" x14ac:dyDescent="0.3">
      <c r="A235" t="s">
        <v>770</v>
      </c>
      <c r="B235">
        <v>5.12</v>
      </c>
      <c r="C235" t="s">
        <v>771</v>
      </c>
      <c r="D235" t="s">
        <v>772</v>
      </c>
      <c r="E235" t="s">
        <v>27</v>
      </c>
      <c r="F235" s="1">
        <v>45331</v>
      </c>
      <c r="G235" t="s">
        <v>773</v>
      </c>
      <c r="H235">
        <v>19</v>
      </c>
      <c r="I235">
        <f>_xll.ciqfunctions.udf.CIQ(A235, "IQ_MARKETCAP", F235)</f>
        <v>42.625480000000003</v>
      </c>
      <c r="J235">
        <f>_xll.ciqfunctions.udf.CIQ(A235, "IQ_PRICE_VOL_HIST_6MTH", F235)</f>
        <v>89.775499999999994</v>
      </c>
      <c r="K235">
        <f>_xll.ciqfunctions.udf.CIQ(A235, "IQ_LASTSALEPRICE", WORKDAY(F235,-1))</f>
        <v>4.6399999999999997</v>
      </c>
      <c r="L235">
        <f>_xll.ciqfunctions.udf.CIQ(A235, "IQ_LASTSALEPRICE", F235)</f>
        <v>5.12</v>
      </c>
      <c r="M235">
        <f>_xll.ciqfunctions.udf.CIQ(A235, "IQ_LASTSALEPRICE", WORKDAY(F235,5))</f>
        <v>4.7080000000000002</v>
      </c>
      <c r="N235">
        <f t="shared" si="6"/>
        <v>9.8440072813252705E-2</v>
      </c>
      <c r="O235">
        <f t="shared" si="7"/>
        <v>1.4548823159866388E-2</v>
      </c>
      <c r="P235">
        <f>LN(_xll.ciqfunctions.udf.CIQ("XBI", "IQ_LASTSALEPRICE", WORKDAY(F235,-1))/_xll.ciqfunctions.udf.CIQ("XBI", "IQ_LASTSALEPRICE", WORKDAY(F235,1)))</f>
        <v>-4.256895458290267E-2</v>
      </c>
      <c r="Q235">
        <f>LN(_xll.ciqfunctions.udf.CIQ("XBI", "IQ_LASTSALEPRICE", WORKDAY(F235,-1))/_xll.ciqfunctions.udf.CIQ("XBI", "IQ_LASTSALEPRICE", WORKDAY(F235,5)))</f>
        <v>-4.3105867347478788E-2</v>
      </c>
      <c r="R235">
        <f>_xll.ciqfunctions.udf.CIQ(A235, "IQ_SHORT_INTEREST_PERCENT", F235)</f>
        <v>3.4523199999999998</v>
      </c>
      <c r="S235">
        <f>_xll.ciqfunctions.udf.CIQ(A235, "IQ_BETA_1YR_RSQ", F235)</f>
        <v>2.9520000000000001E-2</v>
      </c>
      <c r="T235">
        <f>_xll.ciqfunctions.udf.CIQ(A235, "IQ_VALUE_TRADED", F235)</f>
        <v>1.1459699999999999</v>
      </c>
    </row>
    <row r="236" spans="1:20" x14ac:dyDescent="0.3">
      <c r="A236" t="s">
        <v>774</v>
      </c>
      <c r="B236">
        <v>68.290000000000006</v>
      </c>
      <c r="C236" t="s">
        <v>775</v>
      </c>
      <c r="D236" t="s">
        <v>776</v>
      </c>
      <c r="E236" t="s">
        <v>22</v>
      </c>
      <c r="F236" s="1">
        <v>45331</v>
      </c>
      <c r="G236" t="s">
        <v>777</v>
      </c>
      <c r="H236">
        <v>34</v>
      </c>
      <c r="I236">
        <f>_xll.ciqfunctions.udf.CIQ(A236, "IQ_MARKETCAP", F236)</f>
        <v>1648.5498299999999</v>
      </c>
      <c r="J236">
        <f>_xll.ciqfunctions.udf.CIQ(A236, "IQ_PRICE_VOL_HIST_6MTH", F236)</f>
        <v>48.199399999999997</v>
      </c>
      <c r="K236">
        <f>_xll.ciqfunctions.udf.CIQ(A236, "IQ_LASTSALEPRICE", WORKDAY(F236,-1))</f>
        <v>66.73</v>
      </c>
      <c r="L236">
        <f>_xll.ciqfunctions.udf.CIQ(A236, "IQ_LASTSALEPRICE", F236)</f>
        <v>68.290000000000006</v>
      </c>
      <c r="M236">
        <f>_xll.ciqfunctions.udf.CIQ(A236, "IQ_LASTSALEPRICE", WORKDAY(F236,5))</f>
        <v>65.92</v>
      </c>
      <c r="N236">
        <f t="shared" si="6"/>
        <v>2.3108716057482742E-2</v>
      </c>
      <c r="O236">
        <f t="shared" si="7"/>
        <v>-1.221274131429894E-2</v>
      </c>
      <c r="P236">
        <f>LN(_xll.ciqfunctions.udf.CIQ("XBI", "IQ_LASTSALEPRICE", WORKDAY(F236,-1))/_xll.ciqfunctions.udf.CIQ("XBI", "IQ_LASTSALEPRICE", WORKDAY(F236,1)))</f>
        <v>-4.256895458290267E-2</v>
      </c>
      <c r="Q236">
        <f>LN(_xll.ciqfunctions.udf.CIQ("XBI", "IQ_LASTSALEPRICE", WORKDAY(F236,-1))/_xll.ciqfunctions.udf.CIQ("XBI", "IQ_LASTSALEPRICE", WORKDAY(F236,5)))</f>
        <v>-4.3105867347478788E-2</v>
      </c>
      <c r="R236">
        <f>_xll.ciqfunctions.udf.CIQ(A236, "IQ_SHORT_INTEREST_PERCENT", F236)</f>
        <v>5.4648500000000002</v>
      </c>
      <c r="S236">
        <f>_xll.ciqfunctions.udf.CIQ(A236, "IQ_BETA_1YR_RSQ", F236)</f>
        <v>4.6100000000000002E-2</v>
      </c>
      <c r="T236">
        <f>_xll.ciqfunctions.udf.CIQ(A236, "IQ_VALUE_TRADED", F236)</f>
        <v>7.8858600000000001</v>
      </c>
    </row>
    <row r="237" spans="1:20" x14ac:dyDescent="0.3">
      <c r="A237" t="s">
        <v>778</v>
      </c>
      <c r="B237">
        <v>5.0999999999999996</v>
      </c>
      <c r="C237" t="s">
        <v>779</v>
      </c>
      <c r="D237" t="s">
        <v>780</v>
      </c>
      <c r="E237" t="s">
        <v>27</v>
      </c>
      <c r="F237" s="1">
        <v>45334</v>
      </c>
      <c r="G237" t="s">
        <v>781</v>
      </c>
      <c r="H237">
        <v>27</v>
      </c>
      <c r="I237">
        <f>_xll.ciqfunctions.udf.CIQ(A237, "IQ_MARKETCAP", F237)</f>
        <v>151.68136999999999</v>
      </c>
      <c r="J237">
        <f>_xll.ciqfunctions.udf.CIQ(A237, "IQ_PRICE_VOL_HIST_6MTH", F237)</f>
        <v>207.3869</v>
      </c>
      <c r="K237">
        <f>_xll.ciqfunctions.udf.CIQ(A237, "IQ_LASTSALEPRICE", WORKDAY(F237,-1))</f>
        <v>20</v>
      </c>
      <c r="L237">
        <f>_xll.ciqfunctions.udf.CIQ(A237, "IQ_LASTSALEPRICE", F237)</f>
        <v>5.0999999999999996</v>
      </c>
      <c r="M237">
        <f>_xll.ciqfunctions.udf.CIQ(A237, "IQ_LASTSALEPRICE", WORKDAY(F237,5))</f>
        <v>3.64</v>
      </c>
      <c r="N237">
        <f t="shared" si="6"/>
        <v>-1.3664917338237108</v>
      </c>
      <c r="O237">
        <f t="shared" si="7"/>
        <v>-1.7037485919053417</v>
      </c>
      <c r="P237">
        <f>LN(_xll.ciqfunctions.udf.CIQ("XBI", "IQ_LASTSALEPRICE", WORKDAY(F237,-1))/_xll.ciqfunctions.udf.CIQ("XBI", "IQ_LASTSALEPRICE", WORKDAY(F237,1)))</f>
        <v>2.5813627335909313E-2</v>
      </c>
      <c r="Q237">
        <f>LN(_xll.ciqfunctions.udf.CIQ("XBI", "IQ_LASTSALEPRICE", WORKDAY(F237,-1))/_xll.ciqfunctions.udf.CIQ("XBI", "IQ_LASTSALEPRICE", WORKDAY(F237,5)))</f>
        <v>-2.2912126669576684E-2</v>
      </c>
      <c r="R237">
        <f>_xll.ciqfunctions.udf.CIQ(A237, "IQ_SHORT_INTEREST_PERCENT", F237)</f>
        <v>0.94252000000000002</v>
      </c>
      <c r="S237">
        <f>_xll.ciqfunctions.udf.CIQ(A237, "IQ_BETA_1YR_RSQ", F237)</f>
        <v>2.6159999999999999E-2</v>
      </c>
      <c r="T237">
        <f>_xll.ciqfunctions.udf.CIQ(A237, "IQ_VALUE_TRADED", F237)</f>
        <v>29.073239999999998</v>
      </c>
    </row>
    <row r="238" spans="1:20" x14ac:dyDescent="0.3">
      <c r="A238" t="s">
        <v>670</v>
      </c>
      <c r="B238">
        <v>94.17</v>
      </c>
      <c r="C238" t="s">
        <v>782</v>
      </c>
      <c r="D238" t="s">
        <v>783</v>
      </c>
      <c r="E238" t="s">
        <v>36</v>
      </c>
      <c r="F238" s="1">
        <v>45334</v>
      </c>
      <c r="G238" t="s">
        <v>784</v>
      </c>
      <c r="H238">
        <v>968</v>
      </c>
      <c r="I238">
        <f>_xll.ciqfunctions.udf.CIQ(A238, "IQ_MARKETCAP", F238)</f>
        <v>140212.98691000001</v>
      </c>
      <c r="J238">
        <f>_xll.ciqfunctions.udf.CIQ(A238, "IQ_PRICE_VOL_HIST_6MTH", F238)</f>
        <v>0</v>
      </c>
      <c r="K238">
        <f>_xll.ciqfunctions.udf.CIQ(A238, "IQ_LASTSALEPRICE", WORKDAY(F238,-1))</f>
        <v>0</v>
      </c>
      <c r="L238">
        <f>_xll.ciqfunctions.udf.CIQ(A238, "IQ_LASTSALEPRICE", F238)</f>
        <v>0</v>
      </c>
      <c r="M238">
        <f>_xll.ciqfunctions.udf.CIQ(A238, "IQ_LASTSALEPRICE", WORKDAY(F238,5))</f>
        <v>0</v>
      </c>
      <c r="N238" t="e">
        <f t="shared" si="6"/>
        <v>#DIV/0!</v>
      </c>
      <c r="O238" t="e">
        <f t="shared" si="7"/>
        <v>#DIV/0!</v>
      </c>
      <c r="P238">
        <f>LN(_xll.ciqfunctions.udf.CIQ("XBI", "IQ_LASTSALEPRICE", WORKDAY(F238,-1))/_xll.ciqfunctions.udf.CIQ("XBI", "IQ_LASTSALEPRICE", WORKDAY(F238,1)))</f>
        <v>2.5813627335909313E-2</v>
      </c>
      <c r="Q238">
        <f>LN(_xll.ciqfunctions.udf.CIQ("XBI", "IQ_LASTSALEPRICE", WORKDAY(F238,-1))/_xll.ciqfunctions.udf.CIQ("XBI", "IQ_LASTSALEPRICE", WORKDAY(F238,5)))</f>
        <v>-2.2912126669576684E-2</v>
      </c>
      <c r="R238">
        <f>_xll.ciqfunctions.udf.CIQ(A238, "IQ_SHORT_INTEREST_PERCENT", F238)</f>
        <v>0</v>
      </c>
      <c r="S238">
        <f>_xll.ciqfunctions.udf.CIQ(A238, "IQ_BETA_1YR_RSQ", F238)</f>
        <v>0</v>
      </c>
      <c r="T238">
        <f>_xll.ciqfunctions.udf.CIQ(A238, "IQ_VALUE_TRADED", F238)</f>
        <v>0</v>
      </c>
    </row>
    <row r="239" spans="1:20" x14ac:dyDescent="0.3">
      <c r="A239" t="s">
        <v>785</v>
      </c>
      <c r="B239">
        <v>7.83</v>
      </c>
      <c r="C239" t="s">
        <v>786</v>
      </c>
      <c r="D239" t="s">
        <v>787</v>
      </c>
      <c r="E239" t="s">
        <v>76</v>
      </c>
      <c r="F239" s="1">
        <v>45334</v>
      </c>
      <c r="G239" t="s">
        <v>788</v>
      </c>
      <c r="H239">
        <v>85</v>
      </c>
      <c r="I239">
        <f>_xll.ciqfunctions.udf.CIQ(A239, "IQ_MARKETCAP", F239)</f>
        <v>343.78322000000003</v>
      </c>
      <c r="J239">
        <f>_xll.ciqfunctions.udf.CIQ(A239, "IQ_PRICE_VOL_HIST_6MTH", F239)</f>
        <v>83.680199999999999</v>
      </c>
      <c r="K239">
        <f>_xll.ciqfunctions.udf.CIQ(A239, "IQ_LASTSALEPRICE", WORKDAY(F239,-1))</f>
        <v>7.76</v>
      </c>
      <c r="L239">
        <f>_xll.ciqfunctions.udf.CIQ(A239, "IQ_LASTSALEPRICE", F239)</f>
        <v>7.83</v>
      </c>
      <c r="M239">
        <f>_xll.ciqfunctions.udf.CIQ(A239, "IQ_LASTSALEPRICE", WORKDAY(F239,5))</f>
        <v>12.78</v>
      </c>
      <c r="N239">
        <f t="shared" si="6"/>
        <v>8.9801758075843188E-3</v>
      </c>
      <c r="O239">
        <f t="shared" si="7"/>
        <v>0.4988991147542613</v>
      </c>
      <c r="P239">
        <f>LN(_xll.ciqfunctions.udf.CIQ("XBI", "IQ_LASTSALEPRICE", WORKDAY(F239,-1))/_xll.ciqfunctions.udf.CIQ("XBI", "IQ_LASTSALEPRICE", WORKDAY(F239,1)))</f>
        <v>2.5813627335909313E-2</v>
      </c>
      <c r="Q239">
        <f>LN(_xll.ciqfunctions.udf.CIQ("XBI", "IQ_LASTSALEPRICE", WORKDAY(F239,-1))/_xll.ciqfunctions.udf.CIQ("XBI", "IQ_LASTSALEPRICE", WORKDAY(F239,5)))</f>
        <v>-2.2912126669576684E-2</v>
      </c>
      <c r="R239">
        <f>_xll.ciqfunctions.udf.CIQ(A239, "IQ_SHORT_INTEREST_PERCENT", F239)</f>
        <v>0.77370000000000005</v>
      </c>
      <c r="S239">
        <f>_xll.ciqfunctions.udf.CIQ(A239, "IQ_BETA_1YR_RSQ", F239)</f>
        <v>5.6050000000000003E-2</v>
      </c>
      <c r="T239">
        <f>_xll.ciqfunctions.udf.CIQ(A239, "IQ_VALUE_TRADED", F239)</f>
        <v>16.927009999999999</v>
      </c>
    </row>
    <row r="240" spans="1:20" x14ac:dyDescent="0.3">
      <c r="A240" t="s">
        <v>789</v>
      </c>
      <c r="B240">
        <v>1.95</v>
      </c>
      <c r="C240" t="s">
        <v>790</v>
      </c>
      <c r="D240" t="s">
        <v>791</v>
      </c>
      <c r="E240" t="s">
        <v>124</v>
      </c>
      <c r="F240" s="1">
        <v>45334</v>
      </c>
      <c r="G240" t="s">
        <v>792</v>
      </c>
      <c r="H240">
        <v>14</v>
      </c>
      <c r="I240">
        <f>_xll.ciqfunctions.udf.CIQ(A240, "IQ_MARKETCAP", F240)</f>
        <v>59.244709999999998</v>
      </c>
      <c r="J240">
        <f>_xll.ciqfunctions.udf.CIQ(A240, "IQ_PRICE_VOL_HIST_6MTH", F240)</f>
        <v>149.93620000000001</v>
      </c>
      <c r="K240">
        <f>_xll.ciqfunctions.udf.CIQ(A240, "IQ_LASTSALEPRICE", WORKDAY(F240,-1))</f>
        <v>33.76</v>
      </c>
      <c r="L240">
        <f>_xll.ciqfunctions.udf.CIQ(A240, "IQ_LASTSALEPRICE", F240)</f>
        <v>31.2</v>
      </c>
      <c r="M240">
        <f>_xll.ciqfunctions.udf.CIQ(A240, "IQ_LASTSALEPRICE", WORKDAY(F240,5))</f>
        <v>56.16</v>
      </c>
      <c r="N240">
        <f t="shared" si="6"/>
        <v>-7.8858574912319707E-2</v>
      </c>
      <c r="O240">
        <f t="shared" si="7"/>
        <v>0.50892808998979933</v>
      </c>
      <c r="P240">
        <f>LN(_xll.ciqfunctions.udf.CIQ("XBI", "IQ_LASTSALEPRICE", WORKDAY(F240,-1))/_xll.ciqfunctions.udf.CIQ("XBI", "IQ_LASTSALEPRICE", WORKDAY(F240,1)))</f>
        <v>2.5813627335909313E-2</v>
      </c>
      <c r="Q240">
        <f>LN(_xll.ciqfunctions.udf.CIQ("XBI", "IQ_LASTSALEPRICE", WORKDAY(F240,-1))/_xll.ciqfunctions.udf.CIQ("XBI", "IQ_LASTSALEPRICE", WORKDAY(F240,5)))</f>
        <v>-2.2912126669576684E-2</v>
      </c>
      <c r="R240">
        <f>_xll.ciqfunctions.udf.CIQ(A240, "IQ_SHORT_INTEREST_PERCENT", F240)</f>
        <v>8.0829500000000003</v>
      </c>
      <c r="S240">
        <f>_xll.ciqfunctions.udf.CIQ(A240, "IQ_BETA_1YR_RSQ", F240)</f>
        <v>4.641E-2</v>
      </c>
      <c r="T240">
        <f>_xll.ciqfunctions.udf.CIQ(A240, "IQ_VALUE_TRADED", F240)</f>
        <v>19.986350000000002</v>
      </c>
    </row>
    <row r="241" spans="1:20" x14ac:dyDescent="0.3">
      <c r="A241" t="s">
        <v>793</v>
      </c>
      <c r="B241">
        <v>6.84</v>
      </c>
      <c r="C241" t="s">
        <v>794</v>
      </c>
      <c r="D241" t="s">
        <v>795</v>
      </c>
      <c r="E241" t="s">
        <v>36</v>
      </c>
      <c r="F241" s="1">
        <v>45334</v>
      </c>
      <c r="G241" t="s">
        <v>796</v>
      </c>
      <c r="H241">
        <v>10</v>
      </c>
      <c r="I241">
        <f>_xll.ciqfunctions.udf.CIQ(A241, "IQ_MARKETCAP", F241)</f>
        <v>32.813200000000002</v>
      </c>
      <c r="J241">
        <f>_xll.ciqfunctions.udf.CIQ(A241, "IQ_PRICE_VOL_HIST_6MTH", F241)</f>
        <v>111.05289999999999</v>
      </c>
      <c r="K241">
        <f>_xll.ciqfunctions.udf.CIQ(A241, "IQ_LASTSALEPRICE", WORKDAY(F241,-1))</f>
        <v>6.92</v>
      </c>
      <c r="L241">
        <f>_xll.ciqfunctions.udf.CIQ(A241, "IQ_LASTSALEPRICE", F241)</f>
        <v>6.84</v>
      </c>
      <c r="M241">
        <f>_xll.ciqfunctions.udf.CIQ(A241, "IQ_LASTSALEPRICE", WORKDAY(F241,5))</f>
        <v>6.4</v>
      </c>
      <c r="N241">
        <f t="shared" si="6"/>
        <v>-1.1628037995119099E-2</v>
      </c>
      <c r="O241">
        <f t="shared" si="7"/>
        <v>-7.8117779263951928E-2</v>
      </c>
      <c r="P241">
        <f>LN(_xll.ciqfunctions.udf.CIQ("XBI", "IQ_LASTSALEPRICE", WORKDAY(F241,-1))/_xll.ciqfunctions.udf.CIQ("XBI", "IQ_LASTSALEPRICE", WORKDAY(F241,1)))</f>
        <v>2.5813627335909313E-2</v>
      </c>
      <c r="Q241">
        <f>LN(_xll.ciqfunctions.udf.CIQ("XBI", "IQ_LASTSALEPRICE", WORKDAY(F241,-1))/_xll.ciqfunctions.udf.CIQ("XBI", "IQ_LASTSALEPRICE", WORKDAY(F241,5)))</f>
        <v>-2.2912126669576684E-2</v>
      </c>
      <c r="R241">
        <f>_xll.ciqfunctions.udf.CIQ(A241, "IQ_SHORT_INTEREST_PERCENT", F241)</f>
        <v>0.10798000000000001</v>
      </c>
      <c r="S241">
        <f>_xll.ciqfunctions.udf.CIQ(A241, "IQ_BETA_1YR_RSQ", F241)</f>
        <v>8.0000000000000007E-5</v>
      </c>
      <c r="T241">
        <f>_xll.ciqfunctions.udf.CIQ(A241, "IQ_VALUE_TRADED", F241)</f>
        <v>3.3910000000000003E-2</v>
      </c>
    </row>
    <row r="242" spans="1:20" x14ac:dyDescent="0.3">
      <c r="A242" t="s">
        <v>797</v>
      </c>
      <c r="B242">
        <v>83.55</v>
      </c>
      <c r="C242" t="s">
        <v>798</v>
      </c>
      <c r="D242" t="s">
        <v>799</v>
      </c>
      <c r="E242" t="s">
        <v>17</v>
      </c>
      <c r="F242" s="1">
        <v>45334</v>
      </c>
      <c r="G242" t="s">
        <v>800</v>
      </c>
      <c r="H242">
        <v>72</v>
      </c>
      <c r="I242">
        <f>_xll.ciqfunctions.udf.CIQ(A242, "IQ_MARKETCAP", F242)</f>
        <v>5232.7444400000004</v>
      </c>
      <c r="J242">
        <f>_xll.ciqfunctions.udf.CIQ(A242, "IQ_PRICE_VOL_HIST_6MTH", F242)</f>
        <v>59.812899999999999</v>
      </c>
      <c r="K242">
        <f>_xll.ciqfunctions.udf.CIQ(A242, "IQ_LASTSALEPRICE", WORKDAY(F242,-1))</f>
        <v>82.45</v>
      </c>
      <c r="L242">
        <f>_xll.ciqfunctions.udf.CIQ(A242, "IQ_LASTSALEPRICE", F242)</f>
        <v>83.55</v>
      </c>
      <c r="M242">
        <f>_xll.ciqfunctions.udf.CIQ(A242, "IQ_LASTSALEPRICE", WORKDAY(F242,5))</f>
        <v>86.21</v>
      </c>
      <c r="N242">
        <f t="shared" si="6"/>
        <v>1.3253206035794765E-2</v>
      </c>
      <c r="O242">
        <f t="shared" si="7"/>
        <v>4.4594131216225574E-2</v>
      </c>
      <c r="P242">
        <f>LN(_xll.ciqfunctions.udf.CIQ("XBI", "IQ_LASTSALEPRICE", WORKDAY(F242,-1))/_xll.ciqfunctions.udf.CIQ("XBI", "IQ_LASTSALEPRICE", WORKDAY(F242,1)))</f>
        <v>2.5813627335909313E-2</v>
      </c>
      <c r="Q242">
        <f>LN(_xll.ciqfunctions.udf.CIQ("XBI", "IQ_LASTSALEPRICE", WORKDAY(F242,-1))/_xll.ciqfunctions.udf.CIQ("XBI", "IQ_LASTSALEPRICE", WORKDAY(F242,5)))</f>
        <v>-2.2912126669576684E-2</v>
      </c>
      <c r="R242">
        <f>_xll.ciqfunctions.udf.CIQ(A242, "IQ_SHORT_INTEREST_PERCENT", F242)</f>
        <v>10.057359999999999</v>
      </c>
      <c r="S242">
        <f>_xll.ciqfunctions.udf.CIQ(A242, "IQ_BETA_1YR_RSQ", F242)</f>
        <v>0.12256</v>
      </c>
      <c r="T242">
        <f>_xll.ciqfunctions.udf.CIQ(A242, "IQ_VALUE_TRADED", F242)</f>
        <v>47.136069999999997</v>
      </c>
    </row>
    <row r="243" spans="1:20" x14ac:dyDescent="0.3">
      <c r="A243" t="s">
        <v>351</v>
      </c>
      <c r="B243">
        <v>14.02</v>
      </c>
      <c r="C243" t="s">
        <v>801</v>
      </c>
      <c r="D243" t="s">
        <v>802</v>
      </c>
      <c r="E243" t="s">
        <v>160</v>
      </c>
      <c r="F243" s="1">
        <v>45334</v>
      </c>
      <c r="G243" t="s">
        <v>803</v>
      </c>
      <c r="I243">
        <f>_xll.ciqfunctions.udf.CIQ(A243, "IQ_MARKETCAP", F243)</f>
        <v>6682008.7763099996</v>
      </c>
      <c r="J243">
        <f>_xll.ciqfunctions.udf.CIQ(A243, "IQ_PRICE_VOL_HIST_6MTH", F243)</f>
        <v>19.468599999999999</v>
      </c>
      <c r="K243">
        <f>_xll.ciqfunctions.udf.CIQ(A243, "IQ_LASTSALEPRICE", WORKDAY(F243,-1))</f>
        <v>14.24</v>
      </c>
      <c r="L243">
        <f>_xll.ciqfunctions.udf.CIQ(A243, "IQ_LASTSALEPRICE", F243)</f>
        <v>14.31</v>
      </c>
      <c r="M243">
        <f>_xll.ciqfunctions.udf.CIQ(A243, "IQ_LASTSALEPRICE", WORKDAY(F243,5))</f>
        <v>14.62</v>
      </c>
      <c r="N243">
        <f t="shared" si="6"/>
        <v>4.9036875845297756E-3</v>
      </c>
      <c r="O243">
        <f t="shared" si="7"/>
        <v>2.6335548337802772E-2</v>
      </c>
      <c r="P243">
        <f>LN(_xll.ciqfunctions.udf.CIQ("XBI", "IQ_LASTSALEPRICE", WORKDAY(F243,-1))/_xll.ciqfunctions.udf.CIQ("XBI", "IQ_LASTSALEPRICE", WORKDAY(F243,1)))</f>
        <v>2.5813627335909313E-2</v>
      </c>
      <c r="Q243">
        <f>LN(_xll.ciqfunctions.udf.CIQ("XBI", "IQ_LASTSALEPRICE", WORKDAY(F243,-1))/_xll.ciqfunctions.udf.CIQ("XBI", "IQ_LASTSALEPRICE", WORKDAY(F243,5)))</f>
        <v>-2.2912126669576684E-2</v>
      </c>
      <c r="R243">
        <f>_xll.ciqfunctions.udf.CIQ(A243, "IQ_SHORT_INTEREST_PERCENT", F243)</f>
        <v>0</v>
      </c>
      <c r="S243">
        <f>_xll.ciqfunctions.udf.CIQ(A243, "IQ_BETA_1YR_RSQ", F243)</f>
        <v>0</v>
      </c>
      <c r="T243">
        <f>_xll.ciqfunctions.udf.CIQ(A243, "IQ_VALUE_TRADED", F243)</f>
        <v>16.308250000000001</v>
      </c>
    </row>
    <row r="244" spans="1:20" x14ac:dyDescent="0.3">
      <c r="A244" t="s">
        <v>804</v>
      </c>
      <c r="B244">
        <v>5.36</v>
      </c>
      <c r="C244" t="s">
        <v>805</v>
      </c>
      <c r="D244" t="s">
        <v>806</v>
      </c>
      <c r="E244" t="s">
        <v>22</v>
      </c>
      <c r="F244" s="1">
        <v>45334</v>
      </c>
      <c r="G244" t="s">
        <v>807</v>
      </c>
      <c r="H244">
        <v>2</v>
      </c>
      <c r="I244">
        <f>_xll.ciqfunctions.udf.CIQ(A244, "IQ_MARKETCAP", F244)</f>
        <v>4.5375300000000003</v>
      </c>
      <c r="J244">
        <f>_xll.ciqfunctions.udf.CIQ(A244, "IQ_PRICE_VOL_HIST_6MTH", F244)</f>
        <v>126.8627</v>
      </c>
      <c r="K244">
        <f>_xll.ciqfunctions.udf.CIQ(A244, "IQ_LASTSALEPRICE", WORKDAY(F244,-1))</f>
        <v>125.54975</v>
      </c>
      <c r="L244">
        <f>_xll.ciqfunctions.udf.CIQ(A244, "IQ_LASTSALEPRICE", F244)</f>
        <v>134.09972999999999</v>
      </c>
      <c r="M244">
        <f>_xll.ciqfunctions.udf.CIQ(A244, "IQ_LASTSALEPRICE", WORKDAY(F244,5))</f>
        <v>117.14977</v>
      </c>
      <c r="N244">
        <f t="shared" si="6"/>
        <v>6.5881682499725952E-2</v>
      </c>
      <c r="O244">
        <f t="shared" si="7"/>
        <v>-6.9248892706104806E-2</v>
      </c>
      <c r="P244">
        <f>LN(_xll.ciqfunctions.udf.CIQ("XBI", "IQ_LASTSALEPRICE", WORKDAY(F244,-1))/_xll.ciqfunctions.udf.CIQ("XBI", "IQ_LASTSALEPRICE", WORKDAY(F244,1)))</f>
        <v>2.5813627335909313E-2</v>
      </c>
      <c r="Q244">
        <f>LN(_xll.ciqfunctions.udf.CIQ("XBI", "IQ_LASTSALEPRICE", WORKDAY(F244,-1))/_xll.ciqfunctions.udf.CIQ("XBI", "IQ_LASTSALEPRICE", WORKDAY(F244,5)))</f>
        <v>-2.2912126669576684E-2</v>
      </c>
      <c r="R244">
        <f>_xll.ciqfunctions.udf.CIQ(A244, "IQ_SHORT_INTEREST_PERCENT", F244)</f>
        <v>8.1001999999999992</v>
      </c>
      <c r="S244">
        <f>_xll.ciqfunctions.udf.CIQ(A244, "IQ_BETA_1YR_RSQ", F244)</f>
        <v>2.5999999999999998E-4</v>
      </c>
      <c r="T244">
        <f>_xll.ciqfunctions.udf.CIQ(A244, "IQ_VALUE_TRADED", F244)</f>
        <v>2.0695600000000001</v>
      </c>
    </row>
    <row r="245" spans="1:20" x14ac:dyDescent="0.3">
      <c r="A245" t="s">
        <v>681</v>
      </c>
      <c r="B245">
        <v>0.81</v>
      </c>
      <c r="C245" t="s">
        <v>682</v>
      </c>
      <c r="D245" t="s">
        <v>683</v>
      </c>
      <c r="E245" t="s">
        <v>17</v>
      </c>
      <c r="F245" s="1">
        <v>45334</v>
      </c>
      <c r="G245" t="s">
        <v>808</v>
      </c>
      <c r="H245">
        <v>301</v>
      </c>
      <c r="I245">
        <f>_xll.ciqfunctions.udf.CIQ(A245, "IQ_MARKETCAP", F245)</f>
        <v>142.76432</v>
      </c>
      <c r="J245">
        <f>_xll.ciqfunctions.udf.CIQ(A245, "IQ_PRICE_VOL_HIST_6MTH", F245)</f>
        <v>123.1802</v>
      </c>
      <c r="K245">
        <f>_xll.ciqfunctions.udf.CIQ(A245, "IQ_LASTSALEPRICE", WORKDAY(F245,-1))</f>
        <v>0.57440000000000002</v>
      </c>
      <c r="L245">
        <f>_xll.ciqfunctions.udf.CIQ(A245, "IQ_LASTSALEPRICE", F245)</f>
        <v>0.80500000000000005</v>
      </c>
      <c r="M245">
        <f>_xll.ciqfunctions.udf.CIQ(A245, "IQ_LASTSALEPRICE", WORKDAY(F245,5))</f>
        <v>1.38</v>
      </c>
      <c r="N245">
        <f t="shared" si="6"/>
        <v>0.33751625968454896</v>
      </c>
      <c r="O245">
        <f t="shared" si="7"/>
        <v>0.8765127604172358</v>
      </c>
      <c r="P245">
        <f>LN(_xll.ciqfunctions.udf.CIQ("XBI", "IQ_LASTSALEPRICE", WORKDAY(F245,-1))/_xll.ciqfunctions.udf.CIQ("XBI", "IQ_LASTSALEPRICE", WORKDAY(F245,1)))</f>
        <v>2.5813627335909313E-2</v>
      </c>
      <c r="Q245">
        <f>LN(_xll.ciqfunctions.udf.CIQ("XBI", "IQ_LASTSALEPRICE", WORKDAY(F245,-1))/_xll.ciqfunctions.udf.CIQ("XBI", "IQ_LASTSALEPRICE", WORKDAY(F245,5)))</f>
        <v>-2.2912126669576684E-2</v>
      </c>
      <c r="R245">
        <f>_xll.ciqfunctions.udf.CIQ(A245, "IQ_SHORT_INTEREST_PERCENT", F245)</f>
        <v>5.6278499999999996</v>
      </c>
      <c r="S245">
        <f>_xll.ciqfunctions.udf.CIQ(A245, "IQ_BETA_1YR_RSQ", F245)</f>
        <v>0.13686000000000001</v>
      </c>
      <c r="T245">
        <f>_xll.ciqfunctions.udf.CIQ(A245, "IQ_VALUE_TRADED", F245)</f>
        <v>6.8437599999999996</v>
      </c>
    </row>
    <row r="246" spans="1:20" x14ac:dyDescent="0.3">
      <c r="A246" t="s">
        <v>809</v>
      </c>
      <c r="B246">
        <v>11.84</v>
      </c>
      <c r="C246" t="s">
        <v>810</v>
      </c>
      <c r="D246" t="s">
        <v>811</v>
      </c>
      <c r="E246" t="s">
        <v>76</v>
      </c>
      <c r="F246" s="1">
        <v>45334</v>
      </c>
      <c r="G246" t="s">
        <v>812</v>
      </c>
      <c r="H246">
        <v>8</v>
      </c>
      <c r="I246">
        <f>_xll.ciqfunctions.udf.CIQ(A246, "IQ_MARKETCAP", F246)</f>
        <v>21.687329999999999</v>
      </c>
      <c r="J246">
        <f>_xll.ciqfunctions.udf.CIQ(A246, "IQ_PRICE_VOL_HIST_6MTH", F246)</f>
        <v>108.3839</v>
      </c>
      <c r="K246">
        <f>_xll.ciqfunctions.udf.CIQ(A246, "IQ_LASTSALEPRICE", WORKDAY(F246,-1))</f>
        <v>1056</v>
      </c>
      <c r="L246">
        <f>_xll.ciqfunctions.udf.CIQ(A246, "IQ_LASTSALEPRICE", F246)</f>
        <v>1184</v>
      </c>
      <c r="M246">
        <f>_xll.ciqfunctions.udf.CIQ(A246, "IQ_LASTSALEPRICE", WORKDAY(F246,5))</f>
        <v>1220.8</v>
      </c>
      <c r="N246">
        <f t="shared" si="6"/>
        <v>0.11441035117774412</v>
      </c>
      <c r="O246">
        <f t="shared" si="7"/>
        <v>0.14501819626398574</v>
      </c>
      <c r="P246">
        <f>LN(_xll.ciqfunctions.udf.CIQ("XBI", "IQ_LASTSALEPRICE", WORKDAY(F246,-1))/_xll.ciqfunctions.udf.CIQ("XBI", "IQ_LASTSALEPRICE", WORKDAY(F246,1)))</f>
        <v>2.5813627335909313E-2</v>
      </c>
      <c r="Q246">
        <f>LN(_xll.ciqfunctions.udf.CIQ("XBI", "IQ_LASTSALEPRICE", WORKDAY(F246,-1))/_xll.ciqfunctions.udf.CIQ("XBI", "IQ_LASTSALEPRICE", WORKDAY(F246,5)))</f>
        <v>-2.2912126669576684E-2</v>
      </c>
      <c r="R246">
        <f>_xll.ciqfunctions.udf.CIQ(A246, "IQ_SHORT_INTEREST_PERCENT", F246)</f>
        <v>1.0888500000000001</v>
      </c>
      <c r="S246">
        <f>_xll.ciqfunctions.udf.CIQ(A246, "IQ_BETA_1YR_RSQ", F246)</f>
        <v>0.13186999999999999</v>
      </c>
      <c r="T246">
        <f>_xll.ciqfunctions.udf.CIQ(A246, "IQ_VALUE_TRADED", F246)</f>
        <v>1.1922900000000001</v>
      </c>
    </row>
    <row r="247" spans="1:20" x14ac:dyDescent="0.3">
      <c r="A247" t="s">
        <v>813</v>
      </c>
      <c r="B247">
        <v>4.46</v>
      </c>
      <c r="C247" t="s">
        <v>814</v>
      </c>
      <c r="D247" t="s">
        <v>815</v>
      </c>
      <c r="E247" t="s">
        <v>22</v>
      </c>
      <c r="F247" s="1">
        <v>45334</v>
      </c>
      <c r="G247" t="s">
        <v>816</v>
      </c>
      <c r="H247">
        <v>32</v>
      </c>
      <c r="I247">
        <f>_xll.ciqfunctions.udf.CIQ(A247, "IQ_MARKETCAP", F247)</f>
        <v>141.43441999999999</v>
      </c>
      <c r="J247">
        <f>_xll.ciqfunctions.udf.CIQ(A247, "IQ_PRICE_VOL_HIST_6MTH", F247)</f>
        <v>62.594099999999997</v>
      </c>
      <c r="K247">
        <f>_xll.ciqfunctions.udf.CIQ(A247, "IQ_LASTSALEPRICE", WORKDAY(F247,-1))</f>
        <v>4.51</v>
      </c>
      <c r="L247">
        <f>_xll.ciqfunctions.udf.CIQ(A247, "IQ_LASTSALEPRICE", F247)</f>
        <v>4.46</v>
      </c>
      <c r="M247">
        <f>_xll.ciqfunctions.udf.CIQ(A247, "IQ_LASTSALEPRICE", WORKDAY(F247,5))</f>
        <v>4.05</v>
      </c>
      <c r="N247">
        <f t="shared" si="6"/>
        <v>-1.1148387482614187E-2</v>
      </c>
      <c r="O247">
        <f t="shared" si="7"/>
        <v>-0.10758027239613926</v>
      </c>
      <c r="P247">
        <f>LN(_xll.ciqfunctions.udf.CIQ("XBI", "IQ_LASTSALEPRICE", WORKDAY(F247,-1))/_xll.ciqfunctions.udf.CIQ("XBI", "IQ_LASTSALEPRICE", WORKDAY(F247,1)))</f>
        <v>2.5813627335909313E-2</v>
      </c>
      <c r="Q247">
        <f>LN(_xll.ciqfunctions.udf.CIQ("XBI", "IQ_LASTSALEPRICE", WORKDAY(F247,-1))/_xll.ciqfunctions.udf.CIQ("XBI", "IQ_LASTSALEPRICE", WORKDAY(F247,5)))</f>
        <v>-2.2912126669576684E-2</v>
      </c>
      <c r="R247">
        <f>_xll.ciqfunctions.udf.CIQ(A247, "IQ_SHORT_INTEREST_PERCENT", F247)</f>
        <v>2.14893</v>
      </c>
      <c r="S247">
        <f>_xll.ciqfunctions.udf.CIQ(A247, "IQ_BETA_1YR_RSQ", F247)</f>
        <v>8.7489999999999998E-2</v>
      </c>
      <c r="T247">
        <f>_xll.ciqfunctions.udf.CIQ(A247, "IQ_VALUE_TRADED", F247)</f>
        <v>0.61229</v>
      </c>
    </row>
    <row r="248" spans="1:20" x14ac:dyDescent="0.3">
      <c r="A248" t="s">
        <v>817</v>
      </c>
      <c r="B248">
        <v>0.12</v>
      </c>
      <c r="C248" t="s">
        <v>818</v>
      </c>
      <c r="D248" t="s">
        <v>819</v>
      </c>
      <c r="E248" t="s">
        <v>36</v>
      </c>
      <c r="F248" s="1">
        <v>45334</v>
      </c>
      <c r="G248" t="s">
        <v>820</v>
      </c>
      <c r="H248">
        <v>55</v>
      </c>
      <c r="I248" t="str">
        <f>_xll.ciqfunctions.udf.CIQ(A248, "IQ_MARKETCAP", F248)</f>
        <v>(Invalid Identifier)</v>
      </c>
      <c r="J248" t="str">
        <f>_xll.ciqfunctions.udf.CIQ(A248, "IQ_PRICE_VOL_HIST_6MTH", F248)</f>
        <v>(Invalid Identifier)</v>
      </c>
      <c r="K248" t="str">
        <f>_xll.ciqfunctions.udf.CIQ(A248, "IQ_LASTSALEPRICE", WORKDAY(F248,-1))</f>
        <v>(Invalid Identifier)</v>
      </c>
      <c r="L248" t="str">
        <f>_xll.ciqfunctions.udf.CIQ(A248, "IQ_LASTSALEPRICE", F248)</f>
        <v>(Invalid Identifier)</v>
      </c>
      <c r="M248" t="str">
        <f>_xll.ciqfunctions.udf.CIQ(A248, "IQ_LASTSALEPRICE", WORKDAY(F248,5))</f>
        <v>(Invalid Identifier)</v>
      </c>
      <c r="N248" t="e">
        <f t="shared" si="6"/>
        <v>#VALUE!</v>
      </c>
      <c r="O248" t="e">
        <f t="shared" si="7"/>
        <v>#VALUE!</v>
      </c>
      <c r="P248">
        <f>LN(_xll.ciqfunctions.udf.CIQ("XBI", "IQ_LASTSALEPRICE", WORKDAY(F248,-1))/_xll.ciqfunctions.udf.CIQ("XBI", "IQ_LASTSALEPRICE", WORKDAY(F248,1)))</f>
        <v>2.5813627335909313E-2</v>
      </c>
      <c r="Q248">
        <f>LN(_xll.ciqfunctions.udf.CIQ("XBI", "IQ_LASTSALEPRICE", WORKDAY(F248,-1))/_xll.ciqfunctions.udf.CIQ("XBI", "IQ_LASTSALEPRICE", WORKDAY(F248,5)))</f>
        <v>-2.2912126669576684E-2</v>
      </c>
      <c r="R248" t="str">
        <f>_xll.ciqfunctions.udf.CIQ(A248, "IQ_SHORT_INTEREST_PERCENT", F248)</f>
        <v>(Invalid Identifier)</v>
      </c>
      <c r="S248" t="str">
        <f>_xll.ciqfunctions.udf.CIQ(A248, "IQ_BETA_1YR_RSQ", F248)</f>
        <v>(Invalid Identifier)</v>
      </c>
      <c r="T248" t="str">
        <f>_xll.ciqfunctions.udf.CIQ(A248, "IQ_VALUE_TRADED", F248)</f>
        <v>(Invalid Identifier)</v>
      </c>
    </row>
    <row r="249" spans="1:20" x14ac:dyDescent="0.3">
      <c r="A249" t="s">
        <v>300</v>
      </c>
      <c r="B249">
        <v>27.85</v>
      </c>
      <c r="C249" t="s">
        <v>821</v>
      </c>
      <c r="D249" t="s">
        <v>822</v>
      </c>
      <c r="E249" t="s">
        <v>17</v>
      </c>
      <c r="F249" s="1">
        <v>45334</v>
      </c>
      <c r="G249" t="s">
        <v>823</v>
      </c>
      <c r="H249">
        <v>46</v>
      </c>
      <c r="I249">
        <f>_xll.ciqfunctions.udf.CIQ(A249, "IQ_MARKETCAP", F249)</f>
        <v>1374.1084699999999</v>
      </c>
      <c r="J249">
        <f>_xll.ciqfunctions.udf.CIQ(A249, "IQ_PRICE_VOL_HIST_6MTH", F249)</f>
        <v>107.0605</v>
      </c>
      <c r="K249">
        <f>_xll.ciqfunctions.udf.CIQ(A249, "IQ_LASTSALEPRICE", WORKDAY(F249,-1))</f>
        <v>28.63</v>
      </c>
      <c r="L249">
        <f>_xll.ciqfunctions.udf.CIQ(A249, "IQ_LASTSALEPRICE", F249)</f>
        <v>27.85</v>
      </c>
      <c r="M249">
        <f>_xll.ciqfunctions.udf.CIQ(A249, "IQ_LASTSALEPRICE", WORKDAY(F249,5))</f>
        <v>27.26</v>
      </c>
      <c r="N249">
        <f t="shared" si="6"/>
        <v>-2.7622152736730556E-2</v>
      </c>
      <c r="O249">
        <f t="shared" si="7"/>
        <v>-4.903469284163707E-2</v>
      </c>
      <c r="P249">
        <f>LN(_xll.ciqfunctions.udf.CIQ("XBI", "IQ_LASTSALEPRICE", WORKDAY(F249,-1))/_xll.ciqfunctions.udf.CIQ("XBI", "IQ_LASTSALEPRICE", WORKDAY(F249,1)))</f>
        <v>2.5813627335909313E-2</v>
      </c>
      <c r="Q249">
        <f>LN(_xll.ciqfunctions.udf.CIQ("XBI", "IQ_LASTSALEPRICE", WORKDAY(F249,-1))/_xll.ciqfunctions.udf.CIQ("XBI", "IQ_LASTSALEPRICE", WORKDAY(F249,5)))</f>
        <v>-2.2912126669576684E-2</v>
      </c>
      <c r="R249">
        <f>_xll.ciqfunctions.udf.CIQ(A249, "IQ_SHORT_INTEREST_PERCENT", F249)</f>
        <v>7.7729299999999997</v>
      </c>
      <c r="S249">
        <f>_xll.ciqfunctions.udf.CIQ(A249, "IQ_BETA_1YR_RSQ", F249)</f>
        <v>9.4939999999999997E-2</v>
      </c>
      <c r="T249">
        <f>_xll.ciqfunctions.udf.CIQ(A249, "IQ_VALUE_TRADED", F249)</f>
        <v>53.768990000000002</v>
      </c>
    </row>
    <row r="250" spans="1:20" x14ac:dyDescent="0.3">
      <c r="A250" t="s">
        <v>824</v>
      </c>
      <c r="B250">
        <v>0.13</v>
      </c>
      <c r="C250" t="s">
        <v>825</v>
      </c>
      <c r="D250" t="s">
        <v>826</v>
      </c>
      <c r="E250" t="s">
        <v>827</v>
      </c>
      <c r="F250" s="1">
        <v>45334</v>
      </c>
      <c r="G250" t="s">
        <v>828</v>
      </c>
      <c r="H250">
        <v>91</v>
      </c>
      <c r="I250" t="str">
        <f>_xll.ciqfunctions.udf.CIQ(A250, "IQ_MARKETCAP", F250)</f>
        <v>(Invalid Identifier)</v>
      </c>
      <c r="J250" t="str">
        <f>_xll.ciqfunctions.udf.CIQ(A250, "IQ_PRICE_VOL_HIST_6MTH", F250)</f>
        <v>(Invalid Identifier)</v>
      </c>
      <c r="K250" t="str">
        <f>_xll.ciqfunctions.udf.CIQ(A250, "IQ_LASTSALEPRICE", WORKDAY(F250,-1))</f>
        <v>(Invalid Identifier)</v>
      </c>
      <c r="L250" t="str">
        <f>_xll.ciqfunctions.udf.CIQ(A250, "IQ_LASTSALEPRICE", F250)</f>
        <v>(Invalid Identifier)</v>
      </c>
      <c r="M250" t="str">
        <f>_xll.ciqfunctions.udf.CIQ(A250, "IQ_LASTSALEPRICE", WORKDAY(F250,5))</f>
        <v>(Invalid Identifier)</v>
      </c>
      <c r="N250" t="e">
        <f t="shared" si="6"/>
        <v>#VALUE!</v>
      </c>
      <c r="O250" t="e">
        <f t="shared" si="7"/>
        <v>#VALUE!</v>
      </c>
      <c r="P250">
        <f>LN(_xll.ciqfunctions.udf.CIQ("XBI", "IQ_LASTSALEPRICE", WORKDAY(F250,-1))/_xll.ciqfunctions.udf.CIQ("XBI", "IQ_LASTSALEPRICE", WORKDAY(F250,1)))</f>
        <v>2.5813627335909313E-2</v>
      </c>
      <c r="Q250">
        <f>LN(_xll.ciqfunctions.udf.CIQ("XBI", "IQ_LASTSALEPRICE", WORKDAY(F250,-1))/_xll.ciqfunctions.udf.CIQ("XBI", "IQ_LASTSALEPRICE", WORKDAY(F250,5)))</f>
        <v>-2.2912126669576684E-2</v>
      </c>
      <c r="R250" t="str">
        <f>_xll.ciqfunctions.udf.CIQ(A250, "IQ_SHORT_INTEREST_PERCENT", F250)</f>
        <v>(Invalid Identifier)</v>
      </c>
      <c r="S250" t="str">
        <f>_xll.ciqfunctions.udf.CIQ(A250, "IQ_BETA_1YR_RSQ", F250)</f>
        <v>(Invalid Identifier)</v>
      </c>
      <c r="T250" t="str">
        <f>_xll.ciqfunctions.udf.CIQ(A250, "IQ_VALUE_TRADED", F250)</f>
        <v>(Invalid Identifier)</v>
      </c>
    </row>
    <row r="251" spans="1:20" x14ac:dyDescent="0.3">
      <c r="A251" t="s">
        <v>829</v>
      </c>
      <c r="B251">
        <v>88.18</v>
      </c>
      <c r="C251" t="s">
        <v>830</v>
      </c>
      <c r="D251" t="s">
        <v>831</v>
      </c>
      <c r="E251" t="s">
        <v>36</v>
      </c>
      <c r="F251" s="1">
        <v>45334</v>
      </c>
      <c r="G251" t="s">
        <v>832</v>
      </c>
      <c r="H251">
        <v>192</v>
      </c>
      <c r="I251">
        <f>_xll.ciqfunctions.udf.CIQ(A251, "IQ_MARKETCAP", F251)</f>
        <v>16610.305319999999</v>
      </c>
      <c r="J251">
        <f>_xll.ciqfunctions.udf.CIQ(A251, "IQ_PRICE_VOL_HIST_6MTH", F251)</f>
        <v>29.6906</v>
      </c>
      <c r="K251">
        <f>_xll.ciqfunctions.udf.CIQ(A251, "IQ_LASTSALEPRICE", WORKDAY(F251,-1))</f>
        <v>88.46</v>
      </c>
      <c r="L251">
        <f>_xll.ciqfunctions.udf.CIQ(A251, "IQ_LASTSALEPRICE", F251)</f>
        <v>88.18</v>
      </c>
      <c r="M251">
        <f>_xll.ciqfunctions.udf.CIQ(A251, "IQ_LASTSALEPRICE", WORKDAY(F251,5))</f>
        <v>88.77</v>
      </c>
      <c r="N251">
        <f t="shared" si="6"/>
        <v>-3.170292510389027E-3</v>
      </c>
      <c r="O251">
        <f t="shared" si="7"/>
        <v>3.4982826400474037E-3</v>
      </c>
      <c r="P251">
        <f>LN(_xll.ciqfunctions.udf.CIQ("XBI", "IQ_LASTSALEPRICE", WORKDAY(F251,-1))/_xll.ciqfunctions.udf.CIQ("XBI", "IQ_LASTSALEPRICE", WORKDAY(F251,1)))</f>
        <v>2.5813627335909313E-2</v>
      </c>
      <c r="Q251">
        <f>LN(_xll.ciqfunctions.udf.CIQ("XBI", "IQ_LASTSALEPRICE", WORKDAY(F251,-1))/_xll.ciqfunctions.udf.CIQ("XBI", "IQ_LASTSALEPRICE", WORKDAY(F251,5)))</f>
        <v>-2.2912126669576684E-2</v>
      </c>
      <c r="R251">
        <f>_xll.ciqfunctions.udf.CIQ(A251, "IQ_SHORT_INTEREST_PERCENT", F251)</f>
        <v>1.6852800000000001</v>
      </c>
      <c r="S251">
        <f>_xll.ciqfunctions.udf.CIQ(A251, "IQ_BETA_1YR_RSQ", F251)</f>
        <v>0.20091000000000001</v>
      </c>
      <c r="T251">
        <f>_xll.ciqfunctions.udf.CIQ(A251, "IQ_VALUE_TRADED", F251)</f>
        <v>112.83954</v>
      </c>
    </row>
    <row r="252" spans="1:20" x14ac:dyDescent="0.3">
      <c r="A252" t="s">
        <v>833</v>
      </c>
      <c r="B252">
        <v>108.73</v>
      </c>
      <c r="C252" t="s">
        <v>834</v>
      </c>
      <c r="D252" t="s">
        <v>243</v>
      </c>
      <c r="E252" t="s">
        <v>184</v>
      </c>
      <c r="F252" s="1">
        <v>45335</v>
      </c>
      <c r="G252" t="s">
        <v>835</v>
      </c>
      <c r="H252">
        <v>28</v>
      </c>
      <c r="I252">
        <f>_xll.ciqfunctions.udf.CIQ(A252, "IQ_MARKETCAP", F252)</f>
        <v>3066.87426</v>
      </c>
      <c r="J252">
        <f>_xll.ciqfunctions.udf.CIQ(A252, "IQ_PRICE_VOL_HIST_6MTH", F252)</f>
        <v>48.201000000000001</v>
      </c>
      <c r="K252">
        <f>_xll.ciqfunctions.udf.CIQ(A252, "IQ_LASTSALEPRICE", WORKDAY(F252,-1))</f>
        <v>115.88</v>
      </c>
      <c r="L252">
        <f>_xll.ciqfunctions.udf.CIQ(A252, "IQ_LASTSALEPRICE", F252)</f>
        <v>108.73</v>
      </c>
      <c r="M252">
        <f>_xll.ciqfunctions.udf.CIQ(A252, "IQ_LASTSALEPRICE", WORKDAY(F252,5))</f>
        <v>111.64</v>
      </c>
      <c r="N252">
        <f t="shared" si="6"/>
        <v>-6.3687427891491441E-2</v>
      </c>
      <c r="O252">
        <f t="shared" si="7"/>
        <v>-3.7275764233028127E-2</v>
      </c>
      <c r="P252">
        <f>LN(_xll.ciqfunctions.udf.CIQ("XBI", "IQ_LASTSALEPRICE", WORKDAY(F252,-1))/_xll.ciqfunctions.udf.CIQ("XBI", "IQ_LASTSALEPRICE", WORKDAY(F252,1)))</f>
        <v>2.1277398447284879E-2</v>
      </c>
      <c r="Q252">
        <f>LN(_xll.ciqfunctions.udf.CIQ("XBI", "IQ_LASTSALEPRICE", WORKDAY(F252,-1))/_xll.ciqfunctions.udf.CIQ("XBI", "IQ_LASTSALEPRICE", WORKDAY(F252,5)))</f>
        <v>7.7636792805619399E-3</v>
      </c>
      <c r="R252">
        <f>_xll.ciqfunctions.udf.CIQ(A252, "IQ_SHORT_INTEREST_PERCENT", F252)</f>
        <v>7.1943299999999999</v>
      </c>
      <c r="S252">
        <f>_xll.ciqfunctions.udf.CIQ(A252, "IQ_BETA_1YR_RSQ", F252)</f>
        <v>5.3280000000000001E-2</v>
      </c>
      <c r="T252">
        <f>_xll.ciqfunctions.udf.CIQ(A252, "IQ_VALUE_TRADED", F252)</f>
        <v>36.548609999999996</v>
      </c>
    </row>
    <row r="253" spans="1:20" x14ac:dyDescent="0.3">
      <c r="A253" t="s">
        <v>836</v>
      </c>
      <c r="B253">
        <v>14.85</v>
      </c>
      <c r="C253" t="s">
        <v>837</v>
      </c>
      <c r="D253" t="s">
        <v>464</v>
      </c>
      <c r="E253" t="s">
        <v>36</v>
      </c>
      <c r="F253" s="1">
        <v>45335</v>
      </c>
      <c r="G253" t="s">
        <v>838</v>
      </c>
      <c r="H253">
        <v>50</v>
      </c>
      <c r="I253">
        <f>_xll.ciqfunctions.udf.CIQ(A253, "IQ_MARKETCAP", F253)</f>
        <v>513.19682999999998</v>
      </c>
      <c r="J253">
        <f>_xll.ciqfunctions.udf.CIQ(A253, "IQ_PRICE_VOL_HIST_6MTH", F253)</f>
        <v>59.319600000000001</v>
      </c>
      <c r="K253">
        <f>_xll.ciqfunctions.udf.CIQ(A253, "IQ_LASTSALEPRICE", WORKDAY(F253,-1))</f>
        <v>16.04</v>
      </c>
      <c r="L253">
        <f>_xll.ciqfunctions.udf.CIQ(A253, "IQ_LASTSALEPRICE", F253)</f>
        <v>14.85</v>
      </c>
      <c r="M253">
        <f>_xll.ciqfunctions.udf.CIQ(A253, "IQ_LASTSALEPRICE", WORKDAY(F253,5))</f>
        <v>13.8</v>
      </c>
      <c r="N253">
        <f t="shared" si="6"/>
        <v>-7.7085737189659831E-2</v>
      </c>
      <c r="O253">
        <f t="shared" si="7"/>
        <v>-0.15041701027520937</v>
      </c>
      <c r="P253">
        <f>LN(_xll.ciqfunctions.udf.CIQ("XBI", "IQ_LASTSALEPRICE", WORKDAY(F253,-1))/_xll.ciqfunctions.udf.CIQ("XBI", "IQ_LASTSALEPRICE", WORKDAY(F253,1)))</f>
        <v>2.1277398447284879E-2</v>
      </c>
      <c r="Q253">
        <f>LN(_xll.ciqfunctions.udf.CIQ("XBI", "IQ_LASTSALEPRICE", WORKDAY(F253,-1))/_xll.ciqfunctions.udf.CIQ("XBI", "IQ_LASTSALEPRICE", WORKDAY(F253,5)))</f>
        <v>7.7636792805619399E-3</v>
      </c>
      <c r="R253">
        <f>_xll.ciqfunctions.udf.CIQ(A253, "IQ_SHORT_INTEREST_PERCENT", F253)</f>
        <v>7.1573200000000003</v>
      </c>
      <c r="S253">
        <f>_xll.ciqfunctions.udf.CIQ(A253, "IQ_BETA_1YR_RSQ", F253)</f>
        <v>0.16325999999999999</v>
      </c>
      <c r="T253">
        <f>_xll.ciqfunctions.udf.CIQ(A253, "IQ_VALUE_TRADED", F253)</f>
        <v>66.190449999999998</v>
      </c>
    </row>
    <row r="254" spans="1:20" x14ac:dyDescent="0.3">
      <c r="A254" t="s">
        <v>839</v>
      </c>
      <c r="B254">
        <v>1.8</v>
      </c>
      <c r="C254" t="s">
        <v>840</v>
      </c>
      <c r="D254" t="s">
        <v>841</v>
      </c>
      <c r="E254" t="s">
        <v>22</v>
      </c>
      <c r="F254" s="1">
        <v>45335</v>
      </c>
      <c r="G254" t="s">
        <v>842</v>
      </c>
      <c r="H254">
        <v>54</v>
      </c>
      <c r="I254">
        <f>_xll.ciqfunctions.udf.CIQ(A254, "IQ_MARKETCAP", F254)</f>
        <v>52.055660000000003</v>
      </c>
      <c r="J254">
        <f>_xll.ciqfunctions.udf.CIQ(A254, "IQ_PRICE_VOL_HIST_6MTH", F254)</f>
        <v>110.74299999999999</v>
      </c>
      <c r="K254">
        <f>_xll.ciqfunctions.udf.CIQ(A254, "IQ_LASTSALEPRICE", WORKDAY(F254,-1))</f>
        <v>1.39</v>
      </c>
      <c r="L254">
        <f>_xll.ciqfunctions.udf.CIQ(A254, "IQ_LASTSALEPRICE", F254)</f>
        <v>1.8</v>
      </c>
      <c r="M254">
        <f>_xll.ciqfunctions.udf.CIQ(A254, "IQ_LASTSALEPRICE", WORKDAY(F254,5))</f>
        <v>1.72</v>
      </c>
      <c r="N254">
        <f t="shared" si="6"/>
        <v>0.25848291775951876</v>
      </c>
      <c r="O254">
        <f t="shared" si="7"/>
        <v>0.21302054368276135</v>
      </c>
      <c r="P254">
        <f>LN(_xll.ciqfunctions.udf.CIQ("XBI", "IQ_LASTSALEPRICE", WORKDAY(F254,-1))/_xll.ciqfunctions.udf.CIQ("XBI", "IQ_LASTSALEPRICE", WORKDAY(F254,1)))</f>
        <v>2.1277398447284879E-2</v>
      </c>
      <c r="Q254">
        <f>LN(_xll.ciqfunctions.udf.CIQ("XBI", "IQ_LASTSALEPRICE", WORKDAY(F254,-1))/_xll.ciqfunctions.udf.CIQ("XBI", "IQ_LASTSALEPRICE", WORKDAY(F254,5)))</f>
        <v>7.7636792805619399E-3</v>
      </c>
      <c r="R254">
        <f>_xll.ciqfunctions.udf.CIQ(A254, "IQ_SHORT_INTEREST_PERCENT", F254)</f>
        <v>0.57462000000000002</v>
      </c>
      <c r="S254">
        <f>_xll.ciqfunctions.udf.CIQ(A254, "IQ_BETA_1YR_RSQ", F254)</f>
        <v>2.7E-4</v>
      </c>
      <c r="T254">
        <f>_xll.ciqfunctions.udf.CIQ(A254, "IQ_VALUE_TRADED", F254)</f>
        <v>3.4786800000000002</v>
      </c>
    </row>
    <row r="255" spans="1:20" x14ac:dyDescent="0.3">
      <c r="A255" t="s">
        <v>637</v>
      </c>
      <c r="B255">
        <v>1.02</v>
      </c>
      <c r="C255" t="s">
        <v>843</v>
      </c>
      <c r="D255" t="s">
        <v>844</v>
      </c>
      <c r="E255" t="s">
        <v>184</v>
      </c>
      <c r="F255" s="1">
        <v>45335</v>
      </c>
      <c r="G255" t="s">
        <v>845</v>
      </c>
      <c r="H255">
        <v>228</v>
      </c>
      <c r="I255">
        <f>_xll.ciqfunctions.udf.CIQ(A255, "IQ_MARKETCAP", F255)</f>
        <v>192.24778000000001</v>
      </c>
      <c r="J255">
        <f>_xll.ciqfunctions.udf.CIQ(A255, "IQ_PRICE_VOL_HIST_6MTH", F255)</f>
        <v>67.622100000000003</v>
      </c>
      <c r="K255">
        <f>_xll.ciqfunctions.udf.CIQ(A255, "IQ_LASTSALEPRICE", WORKDAY(F255,-1))</f>
        <v>1.08</v>
      </c>
      <c r="L255">
        <f>_xll.ciqfunctions.udf.CIQ(A255, "IQ_LASTSALEPRICE", F255)</f>
        <v>1.02</v>
      </c>
      <c r="M255">
        <f>_xll.ciqfunctions.udf.CIQ(A255, "IQ_LASTSALEPRICE", WORKDAY(F255,5))</f>
        <v>1.0900000000000001</v>
      </c>
      <c r="N255">
        <f t="shared" si="6"/>
        <v>-5.7158413839948637E-2</v>
      </c>
      <c r="O255">
        <f t="shared" si="7"/>
        <v>9.2166551049240476E-3</v>
      </c>
      <c r="P255">
        <f>LN(_xll.ciqfunctions.udf.CIQ("XBI", "IQ_LASTSALEPRICE", WORKDAY(F255,-1))/_xll.ciqfunctions.udf.CIQ("XBI", "IQ_LASTSALEPRICE", WORKDAY(F255,1)))</f>
        <v>2.1277398447284879E-2</v>
      </c>
      <c r="Q255">
        <f>LN(_xll.ciqfunctions.udf.CIQ("XBI", "IQ_LASTSALEPRICE", WORKDAY(F255,-1))/_xll.ciqfunctions.udf.CIQ("XBI", "IQ_LASTSALEPRICE", WORKDAY(F255,5)))</f>
        <v>7.7636792805619399E-3</v>
      </c>
      <c r="R255">
        <f>_xll.ciqfunctions.udf.CIQ(A255, "IQ_SHORT_INTEREST_PERCENT", F255)</f>
        <v>4.4860199999999999</v>
      </c>
      <c r="S255">
        <f>_xll.ciqfunctions.udf.CIQ(A255, "IQ_BETA_1YR_RSQ", F255)</f>
        <v>2.4340000000000001E-2</v>
      </c>
      <c r="T255">
        <f>_xll.ciqfunctions.udf.CIQ(A255, "IQ_VALUE_TRADED", F255)</f>
        <v>0.96536</v>
      </c>
    </row>
    <row r="256" spans="1:20" x14ac:dyDescent="0.3">
      <c r="A256" t="s">
        <v>846</v>
      </c>
      <c r="B256">
        <v>28.97</v>
      </c>
      <c r="C256" t="s">
        <v>847</v>
      </c>
      <c r="D256" t="s">
        <v>848</v>
      </c>
      <c r="E256" t="s">
        <v>849</v>
      </c>
      <c r="F256" s="1">
        <v>45335</v>
      </c>
      <c r="G256" t="s">
        <v>850</v>
      </c>
      <c r="H256">
        <v>107</v>
      </c>
      <c r="I256">
        <f>_xll.ciqfunctions.udf.CIQ(A256, "IQ_MARKETCAP", F256)</f>
        <v>2611.90319</v>
      </c>
      <c r="J256">
        <f>_xll.ciqfunctions.udf.CIQ(A256, "IQ_PRICE_VOL_HIST_6MTH", F256)</f>
        <v>68.7179</v>
      </c>
      <c r="K256">
        <f>_xll.ciqfunctions.udf.CIQ(A256, "IQ_LASTSALEPRICE", WORKDAY(F256,-1))</f>
        <v>29.99</v>
      </c>
      <c r="L256">
        <f>_xll.ciqfunctions.udf.CIQ(A256, "IQ_LASTSALEPRICE", F256)</f>
        <v>28.97</v>
      </c>
      <c r="M256">
        <f>_xll.ciqfunctions.udf.CIQ(A256, "IQ_LASTSALEPRICE", WORKDAY(F256,5))</f>
        <v>28.64</v>
      </c>
      <c r="N256">
        <f t="shared" si="6"/>
        <v>-3.4603180979658713E-2</v>
      </c>
      <c r="O256">
        <f t="shared" si="7"/>
        <v>-4.6059650668472736E-2</v>
      </c>
      <c r="P256">
        <f>LN(_xll.ciqfunctions.udf.CIQ("XBI", "IQ_LASTSALEPRICE", WORKDAY(F256,-1))/_xll.ciqfunctions.udf.CIQ("XBI", "IQ_LASTSALEPRICE", WORKDAY(F256,1)))</f>
        <v>2.1277398447284879E-2</v>
      </c>
      <c r="Q256">
        <f>LN(_xll.ciqfunctions.udf.CIQ("XBI", "IQ_LASTSALEPRICE", WORKDAY(F256,-1))/_xll.ciqfunctions.udf.CIQ("XBI", "IQ_LASTSALEPRICE", WORKDAY(F256,5)))</f>
        <v>7.7636792805619399E-3</v>
      </c>
      <c r="R256">
        <f>_xll.ciqfunctions.udf.CIQ(A256, "IQ_SHORT_INTEREST_PERCENT", F256)</f>
        <v>9.3690899999999999</v>
      </c>
      <c r="S256">
        <f>_xll.ciqfunctions.udf.CIQ(A256, "IQ_BETA_1YR_RSQ", F256)</f>
        <v>0.11126</v>
      </c>
      <c r="T256">
        <f>_xll.ciqfunctions.udf.CIQ(A256, "IQ_VALUE_TRADED", F256)</f>
        <v>51.999009999999998</v>
      </c>
    </row>
    <row r="257" spans="1:20" x14ac:dyDescent="0.3">
      <c r="A257" t="s">
        <v>851</v>
      </c>
      <c r="B257">
        <v>5.23</v>
      </c>
      <c r="C257" t="s">
        <v>852</v>
      </c>
      <c r="D257" t="s">
        <v>853</v>
      </c>
      <c r="E257" t="s">
        <v>184</v>
      </c>
      <c r="F257" s="1">
        <v>45335</v>
      </c>
      <c r="G257" t="s">
        <v>854</v>
      </c>
      <c r="H257">
        <v>13</v>
      </c>
      <c r="I257">
        <f>_xll.ciqfunctions.udf.CIQ(A257, "IQ_MARKETCAP", F257)</f>
        <v>56.1708</v>
      </c>
      <c r="J257">
        <f>_xll.ciqfunctions.udf.CIQ(A257, "IQ_PRICE_VOL_HIST_6MTH", F257)</f>
        <v>116.71810000000001</v>
      </c>
      <c r="K257">
        <f>_xll.ciqfunctions.udf.CIQ(A257, "IQ_LASTSALEPRICE", WORKDAY(F257,-1))</f>
        <v>5.6977000000000002</v>
      </c>
      <c r="L257">
        <f>_xll.ciqfunctions.udf.CIQ(A257, "IQ_LASTSALEPRICE", F257)</f>
        <v>5.23</v>
      </c>
      <c r="M257">
        <f>_xll.ciqfunctions.udf.CIQ(A257, "IQ_LASTSALEPRICE", WORKDAY(F257,5))</f>
        <v>4.3600000000000003</v>
      </c>
      <c r="N257">
        <f t="shared" si="6"/>
        <v>-8.5651306560172238E-2</v>
      </c>
      <c r="O257">
        <f t="shared" si="7"/>
        <v>-0.26759052727606086</v>
      </c>
      <c r="P257">
        <f>LN(_xll.ciqfunctions.udf.CIQ("XBI", "IQ_LASTSALEPRICE", WORKDAY(F257,-1))/_xll.ciqfunctions.udf.CIQ("XBI", "IQ_LASTSALEPRICE", WORKDAY(F257,1)))</f>
        <v>2.1277398447284879E-2</v>
      </c>
      <c r="Q257">
        <f>LN(_xll.ciqfunctions.udf.CIQ("XBI", "IQ_LASTSALEPRICE", WORKDAY(F257,-1))/_xll.ciqfunctions.udf.CIQ("XBI", "IQ_LASTSALEPRICE", WORKDAY(F257,5)))</f>
        <v>7.7636792805619399E-3</v>
      </c>
      <c r="R257">
        <f>_xll.ciqfunctions.udf.CIQ(A257, "IQ_SHORT_INTEREST_PERCENT", F257)</f>
        <v>0.20183999999999999</v>
      </c>
      <c r="S257">
        <f>_xll.ciqfunctions.udf.CIQ(A257, "IQ_BETA_1YR_RSQ", F257)</f>
        <v>3.4139999999999997E-2</v>
      </c>
      <c r="T257">
        <f>_xll.ciqfunctions.udf.CIQ(A257, "IQ_VALUE_TRADED", F257)</f>
        <v>0.11315</v>
      </c>
    </row>
    <row r="258" spans="1:20" x14ac:dyDescent="0.3">
      <c r="A258" t="s">
        <v>855</v>
      </c>
      <c r="B258">
        <v>10.8</v>
      </c>
      <c r="C258" t="s">
        <v>856</v>
      </c>
      <c r="D258" t="s">
        <v>857</v>
      </c>
      <c r="E258" t="s">
        <v>17</v>
      </c>
      <c r="F258" s="1">
        <v>45335</v>
      </c>
      <c r="G258" t="s">
        <v>858</v>
      </c>
      <c r="H258">
        <v>682</v>
      </c>
      <c r="I258">
        <f>_xll.ciqfunctions.udf.CIQ(A258, "IQ_MARKETCAP", F258)</f>
        <v>8703.1368700000003</v>
      </c>
      <c r="J258">
        <f>_xll.ciqfunctions.udf.CIQ(A258, "IQ_PRICE_VOL_HIST_6MTH", F258)</f>
        <v>57.245100000000001</v>
      </c>
      <c r="K258">
        <f>_xll.ciqfunctions.udf.CIQ(A258, "IQ_LASTSALEPRICE", WORKDAY(F258,-1))</f>
        <v>10.87</v>
      </c>
      <c r="L258">
        <f>_xll.ciqfunctions.udf.CIQ(A258, "IQ_LASTSALEPRICE", F258)</f>
        <v>10.8</v>
      </c>
      <c r="M258">
        <f>_xll.ciqfunctions.udf.CIQ(A258, "IQ_LASTSALEPRICE", WORKDAY(F258,5))</f>
        <v>11.54</v>
      </c>
      <c r="N258">
        <f t="shared" si="6"/>
        <v>-6.4605670029439059E-3</v>
      </c>
      <c r="O258">
        <f t="shared" si="7"/>
        <v>5.9812559946835347E-2</v>
      </c>
      <c r="P258">
        <f>LN(_xll.ciqfunctions.udf.CIQ("XBI", "IQ_LASTSALEPRICE", WORKDAY(F258,-1))/_xll.ciqfunctions.udf.CIQ("XBI", "IQ_LASTSALEPRICE", WORKDAY(F258,1)))</f>
        <v>2.1277398447284879E-2</v>
      </c>
      <c r="Q258">
        <f>LN(_xll.ciqfunctions.udf.CIQ("XBI", "IQ_LASTSALEPRICE", WORKDAY(F258,-1))/_xll.ciqfunctions.udf.CIQ("XBI", "IQ_LASTSALEPRICE", WORKDAY(F258,5)))</f>
        <v>7.7636792805619399E-3</v>
      </c>
      <c r="R258">
        <f>_xll.ciqfunctions.udf.CIQ(A258, "IQ_SHORT_INTEREST_PERCENT", F258)</f>
        <v>3.1901000000000002</v>
      </c>
      <c r="S258">
        <f>_xll.ciqfunctions.udf.CIQ(A258, "IQ_BETA_1YR_RSQ", F258)</f>
        <v>9.307E-2</v>
      </c>
      <c r="T258">
        <f>_xll.ciqfunctions.udf.CIQ(A258, "IQ_VALUE_TRADED", F258)</f>
        <v>66.985860000000002</v>
      </c>
    </row>
    <row r="259" spans="1:20" x14ac:dyDescent="0.3">
      <c r="A259" t="s">
        <v>859</v>
      </c>
      <c r="B259">
        <v>0.97</v>
      </c>
      <c r="C259" t="s">
        <v>860</v>
      </c>
      <c r="D259" t="s">
        <v>861</v>
      </c>
      <c r="E259" t="s">
        <v>17</v>
      </c>
      <c r="F259" s="1">
        <v>45335</v>
      </c>
      <c r="G259" t="s">
        <v>862</v>
      </c>
      <c r="I259">
        <f>_xll.ciqfunctions.udf.CIQ(A259, "IQ_MARKETCAP", F259)</f>
        <v>0</v>
      </c>
      <c r="J259">
        <f>_xll.ciqfunctions.udf.CIQ(A259, "IQ_PRICE_VOL_HIST_6MTH", F259)</f>
        <v>0</v>
      </c>
      <c r="K259">
        <f>_xll.ciqfunctions.udf.CIQ(A259, "IQ_LASTSALEPRICE", WORKDAY(F259,-1))</f>
        <v>0</v>
      </c>
      <c r="L259">
        <f>_xll.ciqfunctions.udf.CIQ(A259, "IQ_LASTSALEPRICE", F259)</f>
        <v>0</v>
      </c>
      <c r="M259">
        <f>_xll.ciqfunctions.udf.CIQ(A259, "IQ_LASTSALEPRICE", WORKDAY(F259,5))</f>
        <v>0</v>
      </c>
      <c r="N259" t="e">
        <f t="shared" ref="N259:N322" si="8">LN(L259/K259)</f>
        <v>#DIV/0!</v>
      </c>
      <c r="O259" t="e">
        <f t="shared" ref="O259:O322" si="9">LN(M259/K259)</f>
        <v>#DIV/0!</v>
      </c>
      <c r="P259">
        <f>LN(_xll.ciqfunctions.udf.CIQ("XBI", "IQ_LASTSALEPRICE", WORKDAY(F259,-1))/_xll.ciqfunctions.udf.CIQ("XBI", "IQ_LASTSALEPRICE", WORKDAY(F259,1)))</f>
        <v>2.1277398447284879E-2</v>
      </c>
      <c r="Q259">
        <f>LN(_xll.ciqfunctions.udf.CIQ("XBI", "IQ_LASTSALEPRICE", WORKDAY(F259,-1))/_xll.ciqfunctions.udf.CIQ("XBI", "IQ_LASTSALEPRICE", WORKDAY(F259,5)))</f>
        <v>7.7636792805619399E-3</v>
      </c>
      <c r="R259">
        <f>_xll.ciqfunctions.udf.CIQ(A259, "IQ_SHORT_INTEREST_PERCENT", F259)</f>
        <v>0</v>
      </c>
      <c r="S259">
        <f>_xll.ciqfunctions.udf.CIQ(A259, "IQ_BETA_1YR_RSQ", F259)</f>
        <v>0</v>
      </c>
      <c r="T259">
        <f>_xll.ciqfunctions.udf.CIQ(A259, "IQ_VALUE_TRADED", F259)</f>
        <v>0</v>
      </c>
    </row>
    <row r="260" spans="1:20" x14ac:dyDescent="0.3">
      <c r="A260" t="s">
        <v>863</v>
      </c>
      <c r="B260">
        <v>6.21</v>
      </c>
      <c r="C260" t="s">
        <v>864</v>
      </c>
      <c r="D260" t="s">
        <v>865</v>
      </c>
      <c r="E260" t="s">
        <v>76</v>
      </c>
      <c r="F260" s="1">
        <v>45335</v>
      </c>
      <c r="G260" t="s">
        <v>866</v>
      </c>
      <c r="H260">
        <v>50</v>
      </c>
      <c r="I260">
        <f>_xll.ciqfunctions.udf.CIQ(A260, "IQ_MARKETCAP", F260)</f>
        <v>295.41797000000003</v>
      </c>
      <c r="J260">
        <f>_xll.ciqfunctions.udf.CIQ(A260, "IQ_PRICE_VOL_HIST_6MTH", F260)</f>
        <v>67.3613</v>
      </c>
      <c r="K260">
        <f>_xll.ciqfunctions.udf.CIQ(A260, "IQ_LASTSALEPRICE", WORKDAY(F260,-1))</f>
        <v>6.36</v>
      </c>
      <c r="L260">
        <f>_xll.ciqfunctions.udf.CIQ(A260, "IQ_LASTSALEPRICE", F260)</f>
        <v>6.21</v>
      </c>
      <c r="M260">
        <f>_xll.ciqfunctions.udf.CIQ(A260, "IQ_LASTSALEPRICE", WORKDAY(F260,5))</f>
        <v>6.79</v>
      </c>
      <c r="N260">
        <f t="shared" si="8"/>
        <v>-2.386748140664343E-2</v>
      </c>
      <c r="O260">
        <f t="shared" si="9"/>
        <v>6.5422564218574022E-2</v>
      </c>
      <c r="P260">
        <f>LN(_xll.ciqfunctions.udf.CIQ("XBI", "IQ_LASTSALEPRICE", WORKDAY(F260,-1))/_xll.ciqfunctions.udf.CIQ("XBI", "IQ_LASTSALEPRICE", WORKDAY(F260,1)))</f>
        <v>2.1277398447284879E-2</v>
      </c>
      <c r="Q260">
        <f>LN(_xll.ciqfunctions.udf.CIQ("XBI", "IQ_LASTSALEPRICE", WORKDAY(F260,-1))/_xll.ciqfunctions.udf.CIQ("XBI", "IQ_LASTSALEPRICE", WORKDAY(F260,5)))</f>
        <v>7.7636792805619399E-3</v>
      </c>
      <c r="R260">
        <f>_xll.ciqfunctions.udf.CIQ(A260, "IQ_SHORT_INTEREST_PERCENT", F260)</f>
        <v>6.7413600000000002</v>
      </c>
      <c r="S260">
        <f>_xll.ciqfunctions.udf.CIQ(A260, "IQ_BETA_1YR_RSQ", F260)</f>
        <v>0.17585000000000001</v>
      </c>
      <c r="T260">
        <f>_xll.ciqfunctions.udf.CIQ(A260, "IQ_VALUE_TRADED", F260)</f>
        <v>5.6354499999999996</v>
      </c>
    </row>
    <row r="261" spans="1:20" x14ac:dyDescent="0.3">
      <c r="A261" t="s">
        <v>867</v>
      </c>
      <c r="B261">
        <v>5.62</v>
      </c>
      <c r="C261" t="s">
        <v>868</v>
      </c>
      <c r="D261" t="s">
        <v>869</v>
      </c>
      <c r="E261" t="s">
        <v>36</v>
      </c>
      <c r="F261" s="1">
        <v>45335</v>
      </c>
      <c r="G261" t="s">
        <v>870</v>
      </c>
      <c r="H261">
        <v>174</v>
      </c>
      <c r="I261">
        <f>_xll.ciqfunctions.udf.CIQ(A261, "IQ_MARKETCAP", F261)</f>
        <v>619.42867999999999</v>
      </c>
      <c r="J261">
        <f>_xll.ciqfunctions.udf.CIQ(A261, "IQ_PRICE_VOL_HIST_6MTH", F261)</f>
        <v>88.907399999999996</v>
      </c>
      <c r="K261">
        <f>_xll.ciqfunctions.udf.CIQ(A261, "IQ_LASTSALEPRICE", WORKDAY(F261,-1))</f>
        <v>5.88</v>
      </c>
      <c r="L261">
        <f>_xll.ciqfunctions.udf.CIQ(A261, "IQ_LASTSALEPRICE", F261)</f>
        <v>5.62</v>
      </c>
      <c r="M261">
        <f>_xll.ciqfunctions.udf.CIQ(A261, "IQ_LASTSALEPRICE", WORKDAY(F261,5))</f>
        <v>7.52</v>
      </c>
      <c r="N261">
        <f t="shared" si="8"/>
        <v>-4.5225098004935779E-2</v>
      </c>
      <c r="O261">
        <f t="shared" si="9"/>
        <v>0.24600937605121279</v>
      </c>
      <c r="P261">
        <f>LN(_xll.ciqfunctions.udf.CIQ("XBI", "IQ_LASTSALEPRICE", WORKDAY(F261,-1))/_xll.ciqfunctions.udf.CIQ("XBI", "IQ_LASTSALEPRICE", WORKDAY(F261,1)))</f>
        <v>2.1277398447284879E-2</v>
      </c>
      <c r="Q261">
        <f>LN(_xll.ciqfunctions.udf.CIQ("XBI", "IQ_LASTSALEPRICE", WORKDAY(F261,-1))/_xll.ciqfunctions.udf.CIQ("XBI", "IQ_LASTSALEPRICE", WORKDAY(F261,5)))</f>
        <v>7.7636792805619399E-3</v>
      </c>
      <c r="R261">
        <f>_xll.ciqfunctions.udf.CIQ(A261, "IQ_SHORT_INTEREST_PERCENT", F261)</f>
        <v>3.59266</v>
      </c>
      <c r="S261">
        <f>_xll.ciqfunctions.udf.CIQ(A261, "IQ_BETA_1YR_RSQ", F261)</f>
        <v>4.326E-2</v>
      </c>
      <c r="T261">
        <f>_xll.ciqfunctions.udf.CIQ(A261, "IQ_VALUE_TRADED", F261)</f>
        <v>7.4900599999999997</v>
      </c>
    </row>
    <row r="262" spans="1:20" x14ac:dyDescent="0.3">
      <c r="A262" t="s">
        <v>871</v>
      </c>
      <c r="B262">
        <v>7.51</v>
      </c>
      <c r="C262" t="s">
        <v>872</v>
      </c>
      <c r="D262" t="s">
        <v>873</v>
      </c>
      <c r="E262" t="s">
        <v>160</v>
      </c>
      <c r="F262" s="1">
        <v>45335</v>
      </c>
      <c r="G262" t="s">
        <v>874</v>
      </c>
      <c r="H262">
        <v>14</v>
      </c>
      <c r="I262">
        <f>_xll.ciqfunctions.udf.CIQ(A262, "IQ_MARKETCAP", F262)</f>
        <v>214.8143</v>
      </c>
      <c r="J262">
        <f>_xll.ciqfunctions.udf.CIQ(A262, "IQ_PRICE_VOL_HIST_6MTH", F262)</f>
        <v>0</v>
      </c>
      <c r="K262">
        <f>_xll.ciqfunctions.udf.CIQ(A262, "IQ_LASTSALEPRICE", WORKDAY(F262,-1))</f>
        <v>0</v>
      </c>
      <c r="L262">
        <f>_xll.ciqfunctions.udf.CIQ(A262, "IQ_LASTSALEPRICE", F262)</f>
        <v>0</v>
      </c>
      <c r="M262">
        <f>_xll.ciqfunctions.udf.CIQ(A262, "IQ_LASTSALEPRICE", WORKDAY(F262,5))</f>
        <v>0</v>
      </c>
      <c r="N262" t="e">
        <f t="shared" si="8"/>
        <v>#DIV/0!</v>
      </c>
      <c r="O262" t="e">
        <f t="shared" si="9"/>
        <v>#DIV/0!</v>
      </c>
      <c r="P262">
        <f>LN(_xll.ciqfunctions.udf.CIQ("XBI", "IQ_LASTSALEPRICE", WORKDAY(F262,-1))/_xll.ciqfunctions.udf.CIQ("XBI", "IQ_LASTSALEPRICE", WORKDAY(F262,1)))</f>
        <v>2.1277398447284879E-2</v>
      </c>
      <c r="Q262">
        <f>LN(_xll.ciqfunctions.udf.CIQ("XBI", "IQ_LASTSALEPRICE", WORKDAY(F262,-1))/_xll.ciqfunctions.udf.CIQ("XBI", "IQ_LASTSALEPRICE", WORKDAY(F262,5)))</f>
        <v>7.7636792805619399E-3</v>
      </c>
      <c r="R262">
        <f>_xll.ciqfunctions.udf.CIQ(A262, "IQ_SHORT_INTEREST_PERCENT", F262)</f>
        <v>0</v>
      </c>
      <c r="S262">
        <f>_xll.ciqfunctions.udf.CIQ(A262, "IQ_BETA_1YR_RSQ", F262)</f>
        <v>0</v>
      </c>
      <c r="T262">
        <f>_xll.ciqfunctions.udf.CIQ(A262, "IQ_VALUE_TRADED", F262)</f>
        <v>0</v>
      </c>
    </row>
    <row r="263" spans="1:20" x14ac:dyDescent="0.3">
      <c r="A263" t="s">
        <v>527</v>
      </c>
      <c r="B263">
        <v>27.94</v>
      </c>
      <c r="C263" t="s">
        <v>872</v>
      </c>
      <c r="D263" t="s">
        <v>873</v>
      </c>
      <c r="E263" t="s">
        <v>160</v>
      </c>
      <c r="F263" s="1">
        <v>45335</v>
      </c>
      <c r="G263" t="s">
        <v>874</v>
      </c>
      <c r="H263">
        <v>328</v>
      </c>
      <c r="I263">
        <f>_xll.ciqfunctions.udf.CIQ(A263, "IQ_MARKETCAP", F263)</f>
        <v>8509.64581</v>
      </c>
      <c r="J263">
        <f>_xll.ciqfunctions.udf.CIQ(A263, "IQ_PRICE_VOL_HIST_6MTH", F263)</f>
        <v>0</v>
      </c>
      <c r="K263">
        <f>_xll.ciqfunctions.udf.CIQ(A263, "IQ_LASTSALEPRICE", WORKDAY(F263,-1))</f>
        <v>0</v>
      </c>
      <c r="L263">
        <f>_xll.ciqfunctions.udf.CIQ(A263, "IQ_LASTSALEPRICE", F263)</f>
        <v>0</v>
      </c>
      <c r="M263">
        <f>_xll.ciqfunctions.udf.CIQ(A263, "IQ_LASTSALEPRICE", WORKDAY(F263,5))</f>
        <v>0</v>
      </c>
      <c r="N263" t="e">
        <f t="shared" si="8"/>
        <v>#DIV/0!</v>
      </c>
      <c r="O263" t="e">
        <f t="shared" si="9"/>
        <v>#DIV/0!</v>
      </c>
      <c r="P263">
        <f>LN(_xll.ciqfunctions.udf.CIQ("XBI", "IQ_LASTSALEPRICE", WORKDAY(F263,-1))/_xll.ciqfunctions.udf.CIQ("XBI", "IQ_LASTSALEPRICE", WORKDAY(F263,1)))</f>
        <v>2.1277398447284879E-2</v>
      </c>
      <c r="Q263">
        <f>LN(_xll.ciqfunctions.udf.CIQ("XBI", "IQ_LASTSALEPRICE", WORKDAY(F263,-1))/_xll.ciqfunctions.udf.CIQ("XBI", "IQ_LASTSALEPRICE", WORKDAY(F263,5)))</f>
        <v>7.7636792805619399E-3</v>
      </c>
      <c r="R263">
        <f>_xll.ciqfunctions.udf.CIQ(A263, "IQ_SHORT_INTEREST_PERCENT", F263)</f>
        <v>0</v>
      </c>
      <c r="S263">
        <f>_xll.ciqfunctions.udf.CIQ(A263, "IQ_BETA_1YR_RSQ", F263)</f>
        <v>0</v>
      </c>
      <c r="T263">
        <f>_xll.ciqfunctions.udf.CIQ(A263, "IQ_VALUE_TRADED", F263)</f>
        <v>0</v>
      </c>
    </row>
    <row r="264" spans="1:20" x14ac:dyDescent="0.3">
      <c r="A264" t="s">
        <v>351</v>
      </c>
      <c r="B264">
        <v>14.05</v>
      </c>
      <c r="C264" t="s">
        <v>875</v>
      </c>
      <c r="D264" t="s">
        <v>876</v>
      </c>
      <c r="E264" t="s">
        <v>160</v>
      </c>
      <c r="F264" s="1">
        <v>45335</v>
      </c>
      <c r="G264" t="s">
        <v>877</v>
      </c>
      <c r="I264">
        <f>_xll.ciqfunctions.udf.CIQ(A264, "IQ_MARKETCAP", F264)</f>
        <v>6824780.0368499998</v>
      </c>
      <c r="J264">
        <f>_xll.ciqfunctions.udf.CIQ(A264, "IQ_PRICE_VOL_HIST_6MTH", F264)</f>
        <v>19.463799999999999</v>
      </c>
      <c r="K264">
        <f>_xll.ciqfunctions.udf.CIQ(A264, "IQ_LASTSALEPRICE", WORKDAY(F264,-1))</f>
        <v>14.31</v>
      </c>
      <c r="L264">
        <f>_xll.ciqfunctions.udf.CIQ(A264, "IQ_LASTSALEPRICE", F264)</f>
        <v>14.34</v>
      </c>
      <c r="M264">
        <f>_xll.ciqfunctions.udf.CIQ(A264, "IQ_LASTSALEPRICE", WORKDAY(F264,5))</f>
        <v>14.82</v>
      </c>
      <c r="N264">
        <f t="shared" si="8"/>
        <v>2.0942416031146851E-3</v>
      </c>
      <c r="O264">
        <f t="shared" si="9"/>
        <v>3.5019026299581354E-2</v>
      </c>
      <c r="P264">
        <f>LN(_xll.ciqfunctions.udf.CIQ("XBI", "IQ_LASTSALEPRICE", WORKDAY(F264,-1))/_xll.ciqfunctions.udf.CIQ("XBI", "IQ_LASTSALEPRICE", WORKDAY(F264,1)))</f>
        <v>2.1277398447284879E-2</v>
      </c>
      <c r="Q264">
        <f>LN(_xll.ciqfunctions.udf.CIQ("XBI", "IQ_LASTSALEPRICE", WORKDAY(F264,-1))/_xll.ciqfunctions.udf.CIQ("XBI", "IQ_LASTSALEPRICE", WORKDAY(F264,5)))</f>
        <v>7.7636792805619399E-3</v>
      </c>
      <c r="R264">
        <f>_xll.ciqfunctions.udf.CIQ(A264, "IQ_SHORT_INTEREST_PERCENT", F264)</f>
        <v>0</v>
      </c>
      <c r="S264">
        <f>_xll.ciqfunctions.udf.CIQ(A264, "IQ_BETA_1YR_RSQ", F264)</f>
        <v>0</v>
      </c>
      <c r="T264">
        <f>_xll.ciqfunctions.udf.CIQ(A264, "IQ_VALUE_TRADED", F264)</f>
        <v>30.03886</v>
      </c>
    </row>
    <row r="265" spans="1:20" x14ac:dyDescent="0.3">
      <c r="A265" t="s">
        <v>878</v>
      </c>
      <c r="B265">
        <v>2.92</v>
      </c>
      <c r="C265" t="s">
        <v>879</v>
      </c>
      <c r="D265" t="s">
        <v>880</v>
      </c>
      <c r="E265" t="s">
        <v>36</v>
      </c>
      <c r="F265" s="1">
        <v>45336</v>
      </c>
      <c r="G265" t="s">
        <v>881</v>
      </c>
      <c r="H265">
        <v>171</v>
      </c>
      <c r="I265">
        <f>_xll.ciqfunctions.udf.CIQ(A265, "IQ_MARKETCAP", F265)</f>
        <v>377.80092000000002</v>
      </c>
      <c r="J265">
        <f>_xll.ciqfunctions.udf.CIQ(A265, "IQ_PRICE_VOL_HIST_6MTH", F265)</f>
        <v>89.541499999999999</v>
      </c>
      <c r="K265">
        <f>_xll.ciqfunctions.udf.CIQ(A265, "IQ_LASTSALEPRICE", WORKDAY(F265,-1))</f>
        <v>0.56999999999999995</v>
      </c>
      <c r="L265">
        <f>_xll.ciqfunctions.udf.CIQ(A265, "IQ_LASTSALEPRICE", F265)</f>
        <v>0.56999999999999995</v>
      </c>
      <c r="M265">
        <f>_xll.ciqfunctions.udf.CIQ(A265, "IQ_LASTSALEPRICE", WORKDAY(F265,5))</f>
        <v>0.59</v>
      </c>
      <c r="N265">
        <f t="shared" si="8"/>
        <v>0</v>
      </c>
      <c r="O265">
        <f t="shared" si="9"/>
        <v>3.4486176071169404E-2</v>
      </c>
      <c r="P265">
        <f>LN(_xll.ciqfunctions.udf.CIQ("XBI", "IQ_LASTSALEPRICE", WORKDAY(F265,-1))/_xll.ciqfunctions.udf.CIQ("XBI", "IQ_LASTSALEPRICE", WORKDAY(F265,1)))</f>
        <v>-5.0013169696660476E-2</v>
      </c>
      <c r="Q265">
        <f>LN(_xll.ciqfunctions.udf.CIQ("XBI", "IQ_LASTSALEPRICE", WORKDAY(F265,-1))/_xll.ciqfunctions.udf.CIQ("XBI", "IQ_LASTSALEPRICE", WORKDAY(F265,5)))</f>
        <v>-4.1398924547435698E-2</v>
      </c>
      <c r="R265">
        <f>_xll.ciqfunctions.udf.CIQ(A265, "IQ_SHORT_INTEREST_PERCENT", F265)</f>
        <v>0</v>
      </c>
      <c r="S265">
        <f>_xll.ciqfunctions.udf.CIQ(A265, "IQ_BETA_1YR_RSQ", F265)</f>
        <v>6.1399999999999996E-3</v>
      </c>
      <c r="T265">
        <f>_xll.ciqfunctions.udf.CIQ(A265, "IQ_VALUE_TRADED", F265)</f>
        <v>0.11814</v>
      </c>
    </row>
    <row r="266" spans="1:20" x14ac:dyDescent="0.3">
      <c r="A266" t="s">
        <v>582</v>
      </c>
      <c r="B266">
        <v>2.56</v>
      </c>
      <c r="C266" t="s">
        <v>583</v>
      </c>
      <c r="D266" t="s">
        <v>584</v>
      </c>
      <c r="E266" t="s">
        <v>22</v>
      </c>
      <c r="F266" s="1">
        <v>45336</v>
      </c>
      <c r="G266" t="s">
        <v>882</v>
      </c>
      <c r="H266">
        <v>1</v>
      </c>
      <c r="I266">
        <f>_xll.ciqfunctions.udf.CIQ(A266, "IQ_MARKETCAP", F266)</f>
        <v>3.2667000000000002</v>
      </c>
      <c r="J266">
        <f>_xll.ciqfunctions.udf.CIQ(A266, "IQ_PRICE_VOL_HIST_6MTH", F266)</f>
        <v>0</v>
      </c>
      <c r="K266">
        <f>_xll.ciqfunctions.udf.CIQ(A266, "IQ_LASTSALEPRICE", WORKDAY(F266,-1))</f>
        <v>0</v>
      </c>
      <c r="L266">
        <f>_xll.ciqfunctions.udf.CIQ(A266, "IQ_LASTSALEPRICE", F266)</f>
        <v>0</v>
      </c>
      <c r="M266">
        <f>_xll.ciqfunctions.udf.CIQ(A266, "IQ_LASTSALEPRICE", WORKDAY(F266,5))</f>
        <v>0</v>
      </c>
      <c r="N266" t="e">
        <f t="shared" si="8"/>
        <v>#DIV/0!</v>
      </c>
      <c r="O266" t="e">
        <f t="shared" si="9"/>
        <v>#DIV/0!</v>
      </c>
      <c r="P266">
        <f>LN(_xll.ciqfunctions.udf.CIQ("XBI", "IQ_LASTSALEPRICE", WORKDAY(F266,-1))/_xll.ciqfunctions.udf.CIQ("XBI", "IQ_LASTSALEPRICE", WORKDAY(F266,1)))</f>
        <v>-5.0013169696660476E-2</v>
      </c>
      <c r="Q266">
        <f>LN(_xll.ciqfunctions.udf.CIQ("XBI", "IQ_LASTSALEPRICE", WORKDAY(F266,-1))/_xll.ciqfunctions.udf.CIQ("XBI", "IQ_LASTSALEPRICE", WORKDAY(F266,5)))</f>
        <v>-4.1398924547435698E-2</v>
      </c>
      <c r="R266">
        <f>_xll.ciqfunctions.udf.CIQ(A266, "IQ_SHORT_INTEREST_PERCENT", F266)</f>
        <v>0</v>
      </c>
      <c r="S266">
        <f>_xll.ciqfunctions.udf.CIQ(A266, "IQ_BETA_1YR_RSQ", F266)</f>
        <v>0</v>
      </c>
      <c r="T266">
        <f>_xll.ciqfunctions.udf.CIQ(A266, "IQ_VALUE_TRADED", F266)</f>
        <v>0</v>
      </c>
    </row>
    <row r="267" spans="1:20" x14ac:dyDescent="0.3">
      <c r="A267" t="s">
        <v>883</v>
      </c>
      <c r="B267">
        <v>11.99</v>
      </c>
      <c r="C267" t="s">
        <v>884</v>
      </c>
      <c r="D267" t="s">
        <v>885</v>
      </c>
      <c r="E267" t="s">
        <v>89</v>
      </c>
      <c r="F267" s="1">
        <v>45336</v>
      </c>
      <c r="G267" t="s">
        <v>886</v>
      </c>
      <c r="H267">
        <v>11</v>
      </c>
      <c r="I267">
        <f>_xll.ciqfunctions.udf.CIQ(A267, "IQ_MARKETCAP", F267)</f>
        <v>48.72683</v>
      </c>
      <c r="J267">
        <f>_xll.ciqfunctions.udf.CIQ(A267, "IQ_PRICE_VOL_HIST_6MTH", F267)</f>
        <v>78.501999999999995</v>
      </c>
      <c r="K267">
        <f>_xll.ciqfunctions.udf.CIQ(A267, "IQ_LASTSALEPRICE", WORKDAY(F267,-1))</f>
        <v>11.17201</v>
      </c>
      <c r="L267">
        <f>_xll.ciqfunctions.udf.CIQ(A267, "IQ_LASTSALEPRICE", F267)</f>
        <v>11.99</v>
      </c>
      <c r="M267">
        <f>_xll.ciqfunctions.udf.CIQ(A267, "IQ_LASTSALEPRICE", WORKDAY(F267,5))</f>
        <v>12.36</v>
      </c>
      <c r="N267">
        <f t="shared" si="8"/>
        <v>7.0661425862013058E-2</v>
      </c>
      <c r="O267">
        <f t="shared" si="9"/>
        <v>0.10105390885213482</v>
      </c>
      <c r="P267">
        <f>LN(_xll.ciqfunctions.udf.CIQ("XBI", "IQ_LASTSALEPRICE", WORKDAY(F267,-1))/_xll.ciqfunctions.udf.CIQ("XBI", "IQ_LASTSALEPRICE", WORKDAY(F267,1)))</f>
        <v>-5.0013169696660476E-2</v>
      </c>
      <c r="Q267">
        <f>LN(_xll.ciqfunctions.udf.CIQ("XBI", "IQ_LASTSALEPRICE", WORKDAY(F267,-1))/_xll.ciqfunctions.udf.CIQ("XBI", "IQ_LASTSALEPRICE", WORKDAY(F267,5)))</f>
        <v>-4.1398924547435698E-2</v>
      </c>
      <c r="R267">
        <f>_xll.ciqfunctions.udf.CIQ(A267, "IQ_SHORT_INTEREST_PERCENT", F267)</f>
        <v>1.3544499999999999</v>
      </c>
      <c r="S267">
        <f>_xll.ciqfunctions.udf.CIQ(A267, "IQ_BETA_1YR_RSQ", F267)</f>
        <v>0.24252000000000001</v>
      </c>
      <c r="T267">
        <f>_xll.ciqfunctions.udf.CIQ(A267, "IQ_VALUE_TRADED", F267)</f>
        <v>1.6460600000000001</v>
      </c>
    </row>
    <row r="268" spans="1:20" x14ac:dyDescent="0.3">
      <c r="A268" t="s">
        <v>887</v>
      </c>
      <c r="B268">
        <v>10.199999999999999</v>
      </c>
      <c r="C268" t="s">
        <v>888</v>
      </c>
      <c r="D268" t="s">
        <v>889</v>
      </c>
      <c r="E268" t="s">
        <v>36</v>
      </c>
      <c r="F268" s="1">
        <v>45336</v>
      </c>
      <c r="G268" t="s">
        <v>890</v>
      </c>
      <c r="H268">
        <v>13</v>
      </c>
      <c r="I268">
        <f>_xll.ciqfunctions.udf.CIQ(A268, "IQ_MARKETCAP", F268)</f>
        <v>131.05127999999999</v>
      </c>
      <c r="J268">
        <f>_xll.ciqfunctions.udf.CIQ(A268, "IQ_PRICE_VOL_HIST_6MTH", F268)</f>
        <v>59.411299999999997</v>
      </c>
      <c r="K268">
        <f>_xll.ciqfunctions.udf.CIQ(A268, "IQ_LASTSALEPRICE", WORKDAY(F268,-1))</f>
        <v>8.31</v>
      </c>
      <c r="L268">
        <f>_xll.ciqfunctions.udf.CIQ(A268, "IQ_LASTSALEPRICE", F268)</f>
        <v>10.199999999999999</v>
      </c>
      <c r="M268">
        <f>_xll.ciqfunctions.udf.CIQ(A268, "IQ_LASTSALEPRICE", WORKDAY(F268,5))</f>
        <v>13.16</v>
      </c>
      <c r="N268">
        <f t="shared" si="8"/>
        <v>0.20492811142286849</v>
      </c>
      <c r="O268">
        <f t="shared" si="9"/>
        <v>0.45972231702981431</v>
      </c>
      <c r="P268">
        <f>LN(_xll.ciqfunctions.udf.CIQ("XBI", "IQ_LASTSALEPRICE", WORKDAY(F268,-1))/_xll.ciqfunctions.udf.CIQ("XBI", "IQ_LASTSALEPRICE", WORKDAY(F268,1)))</f>
        <v>-5.0013169696660476E-2</v>
      </c>
      <c r="Q268">
        <f>LN(_xll.ciqfunctions.udf.CIQ("XBI", "IQ_LASTSALEPRICE", WORKDAY(F268,-1))/_xll.ciqfunctions.udf.CIQ("XBI", "IQ_LASTSALEPRICE", WORKDAY(F268,5)))</f>
        <v>-4.1398924547435698E-2</v>
      </c>
      <c r="R268">
        <f>_xll.ciqfunctions.udf.CIQ(A268, "IQ_SHORT_INTEREST_PERCENT", F268)</f>
        <v>1.2025999999999999</v>
      </c>
      <c r="S268">
        <f>_xll.ciqfunctions.udf.CIQ(A268, "IQ_BETA_1YR_RSQ", F268)</f>
        <v>0.12427000000000001</v>
      </c>
      <c r="T268">
        <f>_xll.ciqfunctions.udf.CIQ(A268, "IQ_VALUE_TRADED", F268)</f>
        <v>3.3767200000000002</v>
      </c>
    </row>
    <row r="269" spans="1:20" x14ac:dyDescent="0.3">
      <c r="A269" t="s">
        <v>891</v>
      </c>
      <c r="B269">
        <v>49.37</v>
      </c>
      <c r="C269" t="s">
        <v>892</v>
      </c>
      <c r="D269" t="s">
        <v>243</v>
      </c>
      <c r="E269" t="s">
        <v>46</v>
      </c>
      <c r="F269" s="1">
        <v>45336</v>
      </c>
      <c r="G269" t="s">
        <v>893</v>
      </c>
      <c r="H269">
        <v>73</v>
      </c>
      <c r="I269">
        <f>_xll.ciqfunctions.udf.CIQ(A269, "IQ_MARKETCAP", F269)</f>
        <v>3357.1109799999999</v>
      </c>
      <c r="J269">
        <f>_xll.ciqfunctions.udf.CIQ(A269, "IQ_PRICE_VOL_HIST_6MTH", F269)</f>
        <v>78.133600000000001</v>
      </c>
      <c r="K269">
        <f>_xll.ciqfunctions.udf.CIQ(A269, "IQ_LASTSALEPRICE", WORKDAY(F269,-1))</f>
        <v>47.77</v>
      </c>
      <c r="L269">
        <f>_xll.ciqfunctions.udf.CIQ(A269, "IQ_LASTSALEPRICE", F269)</f>
        <v>49.37</v>
      </c>
      <c r="M269">
        <f>_xll.ciqfunctions.udf.CIQ(A269, "IQ_LASTSALEPRICE", WORKDAY(F269,5))</f>
        <v>47.7</v>
      </c>
      <c r="N269">
        <f t="shared" si="8"/>
        <v>3.2945124868900888E-2</v>
      </c>
      <c r="O269">
        <f t="shared" si="9"/>
        <v>-1.4664295075749985E-3</v>
      </c>
      <c r="P269">
        <f>LN(_xll.ciqfunctions.udf.CIQ("XBI", "IQ_LASTSALEPRICE", WORKDAY(F269,-1))/_xll.ciqfunctions.udf.CIQ("XBI", "IQ_LASTSALEPRICE", WORKDAY(F269,1)))</f>
        <v>-5.0013169696660476E-2</v>
      </c>
      <c r="Q269">
        <f>LN(_xll.ciqfunctions.udf.CIQ("XBI", "IQ_LASTSALEPRICE", WORKDAY(F269,-1))/_xll.ciqfunctions.udf.CIQ("XBI", "IQ_LASTSALEPRICE", WORKDAY(F269,5)))</f>
        <v>-4.1398924547435698E-2</v>
      </c>
      <c r="R269">
        <f>_xll.ciqfunctions.udf.CIQ(A269, "IQ_SHORT_INTEREST_PERCENT", F269)</f>
        <v>9.5532599999999999</v>
      </c>
      <c r="S269">
        <f>_xll.ciqfunctions.udf.CIQ(A269, "IQ_BETA_1YR_RSQ", F269)</f>
        <v>0.16656000000000001</v>
      </c>
      <c r="T269">
        <f>_xll.ciqfunctions.udf.CIQ(A269, "IQ_VALUE_TRADED", F269)</f>
        <v>33.33137</v>
      </c>
    </row>
    <row r="270" spans="1:20" x14ac:dyDescent="0.3">
      <c r="A270" t="s">
        <v>433</v>
      </c>
      <c r="B270">
        <v>60.73</v>
      </c>
      <c r="C270" t="s">
        <v>447</v>
      </c>
      <c r="D270" t="s">
        <v>369</v>
      </c>
      <c r="E270" t="s">
        <v>17</v>
      </c>
      <c r="F270" s="1">
        <v>45336</v>
      </c>
      <c r="G270" t="s">
        <v>894</v>
      </c>
      <c r="I270">
        <f>_xll.ciqfunctions.udf.CIQ(A270, "IQ_MARKETCAP", F270)</f>
        <v>150740.41123</v>
      </c>
      <c r="J270">
        <f>_xll.ciqfunctions.udf.CIQ(A270, "IQ_PRICE_VOL_HIST_6MTH", F270)</f>
        <v>23.381900000000002</v>
      </c>
      <c r="K270">
        <f>_xll.ciqfunctions.udf.CIQ(A270, "IQ_LASTSALEPRICE", WORKDAY(F270,-1))</f>
        <v>96</v>
      </c>
      <c r="L270">
        <f>_xll.ciqfunctions.udf.CIQ(A270, "IQ_LASTSALEPRICE", F270)</f>
        <v>97.24</v>
      </c>
      <c r="M270">
        <f>_xll.ciqfunctions.udf.CIQ(A270, "IQ_LASTSALEPRICE", WORKDAY(F270,5))</f>
        <v>101.02</v>
      </c>
      <c r="N270">
        <f t="shared" si="8"/>
        <v>1.2833957980086394E-2</v>
      </c>
      <c r="O270">
        <f t="shared" si="9"/>
        <v>5.0970325572070242E-2</v>
      </c>
      <c r="P270">
        <f>LN(_xll.ciqfunctions.udf.CIQ("XBI", "IQ_LASTSALEPRICE", WORKDAY(F270,-1))/_xll.ciqfunctions.udf.CIQ("XBI", "IQ_LASTSALEPRICE", WORKDAY(F270,1)))</f>
        <v>-5.0013169696660476E-2</v>
      </c>
      <c r="Q270">
        <f>LN(_xll.ciqfunctions.udf.CIQ("XBI", "IQ_LASTSALEPRICE", WORKDAY(F270,-1))/_xll.ciqfunctions.udf.CIQ("XBI", "IQ_LASTSALEPRICE", WORKDAY(F270,5)))</f>
        <v>-4.1398924547435698E-2</v>
      </c>
      <c r="R270">
        <f>_xll.ciqfunctions.udf.CIQ(A270, "IQ_SHORT_INTEREST_PERCENT", F270)</f>
        <v>0</v>
      </c>
      <c r="S270">
        <f>_xll.ciqfunctions.udf.CIQ(A270, "IQ_BETA_1YR_RSQ", F270)</f>
        <v>0.19671</v>
      </c>
      <c r="T270">
        <f>_xll.ciqfunctions.udf.CIQ(A270, "IQ_VALUE_TRADED", F270)</f>
        <v>610.15464999999995</v>
      </c>
    </row>
    <row r="271" spans="1:20" x14ac:dyDescent="0.3">
      <c r="A271" t="s">
        <v>449</v>
      </c>
      <c r="B271">
        <v>0.41</v>
      </c>
      <c r="C271" t="s">
        <v>447</v>
      </c>
      <c r="D271" t="s">
        <v>369</v>
      </c>
      <c r="E271" t="s">
        <v>17</v>
      </c>
      <c r="F271" s="1">
        <v>45336</v>
      </c>
      <c r="G271" t="s">
        <v>894</v>
      </c>
      <c r="H271">
        <v>2</v>
      </c>
      <c r="I271">
        <f>_xll.ciqfunctions.udf.CIQ(A271, "IQ_MARKETCAP", F271)</f>
        <v>59.512</v>
      </c>
      <c r="J271">
        <f>_xll.ciqfunctions.udf.CIQ(A271, "IQ_PRICE_VOL_HIST_6MTH", F271)</f>
        <v>58.181199999999997</v>
      </c>
      <c r="K271">
        <f>_xll.ciqfunctions.udf.CIQ(A271, "IQ_LASTSALEPRICE", WORKDAY(F271,-1))</f>
        <v>0.28999999999999998</v>
      </c>
      <c r="L271">
        <f>_xll.ciqfunctions.udf.CIQ(A271, "IQ_LASTSALEPRICE", F271)</f>
        <v>0.28499999999999998</v>
      </c>
      <c r="M271">
        <f>_xll.ciqfunctions.udf.CIQ(A271, "IQ_LASTSALEPRICE", WORKDAY(F271,5))</f>
        <v>0.27500000000000002</v>
      </c>
      <c r="N271">
        <f t="shared" si="8"/>
        <v>-1.7391742711869222E-2</v>
      </c>
      <c r="O271">
        <f t="shared" si="9"/>
        <v>-5.310982531394829E-2</v>
      </c>
      <c r="P271">
        <f>LN(_xll.ciqfunctions.udf.CIQ("XBI", "IQ_LASTSALEPRICE", WORKDAY(F271,-1))/_xll.ciqfunctions.udf.CIQ("XBI", "IQ_LASTSALEPRICE", WORKDAY(F271,1)))</f>
        <v>-5.0013169696660476E-2</v>
      </c>
      <c r="Q271">
        <f>LN(_xll.ciqfunctions.udf.CIQ("XBI", "IQ_LASTSALEPRICE", WORKDAY(F271,-1))/_xll.ciqfunctions.udf.CIQ("XBI", "IQ_LASTSALEPRICE", WORKDAY(F271,5)))</f>
        <v>-4.1398924547435698E-2</v>
      </c>
      <c r="R271">
        <f>_xll.ciqfunctions.udf.CIQ(A271, "IQ_SHORT_INTEREST_PERCENT", F271)</f>
        <v>0</v>
      </c>
      <c r="S271">
        <f>_xll.ciqfunctions.udf.CIQ(A271, "IQ_BETA_1YR_RSQ", F271)</f>
        <v>7.79E-3</v>
      </c>
      <c r="T271">
        <f>_xll.ciqfunctions.udf.CIQ(A271, "IQ_VALUE_TRADED", F271)</f>
        <v>1.33E-3</v>
      </c>
    </row>
    <row r="272" spans="1:20" x14ac:dyDescent="0.3">
      <c r="A272" t="s">
        <v>895</v>
      </c>
      <c r="B272">
        <v>19.260000000000002</v>
      </c>
      <c r="C272" t="s">
        <v>896</v>
      </c>
      <c r="D272" t="s">
        <v>897</v>
      </c>
      <c r="E272" t="s">
        <v>89</v>
      </c>
      <c r="F272" s="1">
        <v>45336</v>
      </c>
      <c r="G272" t="s">
        <v>898</v>
      </c>
      <c r="H272">
        <v>7</v>
      </c>
      <c r="I272">
        <f>_xll.ciqfunctions.udf.CIQ(A272, "IQ_MARKETCAP", F272)</f>
        <v>78.500519999999995</v>
      </c>
      <c r="J272">
        <f>_xll.ciqfunctions.udf.CIQ(A272, "IQ_PRICE_VOL_HIST_6MTH", F272)</f>
        <v>266.2559</v>
      </c>
      <c r="K272">
        <f>_xll.ciqfunctions.udf.CIQ(A272, "IQ_LASTSALEPRICE", WORKDAY(F272,-1))</f>
        <v>19.252500000000001</v>
      </c>
      <c r="L272">
        <f>_xll.ciqfunctions.udf.CIQ(A272, "IQ_LASTSALEPRICE", F272)</f>
        <v>19.254999999999999</v>
      </c>
      <c r="M272">
        <f>_xll.ciqfunctions.udf.CIQ(A272, "IQ_LASTSALEPRICE", WORKDAY(F272,5))</f>
        <v>19.914999999999999</v>
      </c>
      <c r="N272">
        <f t="shared" si="8"/>
        <v>1.2984483560407419E-4</v>
      </c>
      <c r="O272">
        <f t="shared" si="9"/>
        <v>3.3832294202339352E-2</v>
      </c>
      <c r="P272">
        <f>LN(_xll.ciqfunctions.udf.CIQ("XBI", "IQ_LASTSALEPRICE", WORKDAY(F272,-1))/_xll.ciqfunctions.udf.CIQ("XBI", "IQ_LASTSALEPRICE", WORKDAY(F272,1)))</f>
        <v>-5.0013169696660476E-2</v>
      </c>
      <c r="Q272">
        <f>LN(_xll.ciqfunctions.udf.CIQ("XBI", "IQ_LASTSALEPRICE", WORKDAY(F272,-1))/_xll.ciqfunctions.udf.CIQ("XBI", "IQ_LASTSALEPRICE", WORKDAY(F272,5)))</f>
        <v>-4.1398924547435698E-2</v>
      </c>
      <c r="R272">
        <f>_xll.ciqfunctions.udf.CIQ(A272, "IQ_SHORT_INTEREST_PERCENT", F272)</f>
        <v>7.3873300000000004</v>
      </c>
      <c r="S272">
        <f>_xll.ciqfunctions.udf.CIQ(A272, "IQ_BETA_1YR_RSQ", F272)</f>
        <v>3.3669999999999999E-2</v>
      </c>
      <c r="T272">
        <f>_xll.ciqfunctions.udf.CIQ(A272, "IQ_VALUE_TRADED", F272)</f>
        <v>1.1395299999999999</v>
      </c>
    </row>
    <row r="273" spans="1:20" x14ac:dyDescent="0.3">
      <c r="A273" t="s">
        <v>504</v>
      </c>
      <c r="B273">
        <v>10.37</v>
      </c>
      <c r="C273" t="s">
        <v>899</v>
      </c>
      <c r="D273" t="s">
        <v>900</v>
      </c>
      <c r="E273" t="s">
        <v>27</v>
      </c>
      <c r="F273" s="1">
        <v>45336</v>
      </c>
      <c r="G273" t="s">
        <v>901</v>
      </c>
      <c r="H273">
        <v>19</v>
      </c>
      <c r="I273">
        <f>_xll.ciqfunctions.udf.CIQ(A273, "IQ_MARKETCAP", F273)</f>
        <v>109.71391</v>
      </c>
      <c r="J273">
        <f>_xll.ciqfunctions.udf.CIQ(A273, "IQ_PRICE_VOL_HIST_6MTH", F273)</f>
        <v>114.2025</v>
      </c>
      <c r="K273">
        <f>_xll.ciqfunctions.udf.CIQ(A273, "IQ_LASTSALEPRICE", WORKDAY(F273,-1))</f>
        <v>10.050000000000001</v>
      </c>
      <c r="L273">
        <f>_xll.ciqfunctions.udf.CIQ(A273, "IQ_LASTSALEPRICE", F273)</f>
        <v>10.37</v>
      </c>
      <c r="M273">
        <f>_xll.ciqfunctions.udf.CIQ(A273, "IQ_LASTSALEPRICE", WORKDAY(F273,5))</f>
        <v>10.18</v>
      </c>
      <c r="N273">
        <f t="shared" si="8"/>
        <v>3.1344387736351023E-2</v>
      </c>
      <c r="O273">
        <f t="shared" si="9"/>
        <v>1.2852376617291803E-2</v>
      </c>
      <c r="P273">
        <f>LN(_xll.ciqfunctions.udf.CIQ("XBI", "IQ_LASTSALEPRICE", WORKDAY(F273,-1))/_xll.ciqfunctions.udf.CIQ("XBI", "IQ_LASTSALEPRICE", WORKDAY(F273,1)))</f>
        <v>-5.0013169696660476E-2</v>
      </c>
      <c r="Q273">
        <f>LN(_xll.ciqfunctions.udf.CIQ("XBI", "IQ_LASTSALEPRICE", WORKDAY(F273,-1))/_xll.ciqfunctions.udf.CIQ("XBI", "IQ_LASTSALEPRICE", WORKDAY(F273,5)))</f>
        <v>-4.1398924547435698E-2</v>
      </c>
      <c r="R273">
        <f>_xll.ciqfunctions.udf.CIQ(A273, "IQ_SHORT_INTEREST_PERCENT", F273)</f>
        <v>12.39142</v>
      </c>
      <c r="S273">
        <f>_xll.ciqfunctions.udf.CIQ(A273, "IQ_BETA_1YR_RSQ", F273)</f>
        <v>1.2749999999999999E-2</v>
      </c>
      <c r="T273">
        <f>_xll.ciqfunctions.udf.CIQ(A273, "IQ_VALUE_TRADED", F273)</f>
        <v>1.6562699999999999</v>
      </c>
    </row>
    <row r="274" spans="1:20" x14ac:dyDescent="0.3">
      <c r="A274" t="s">
        <v>902</v>
      </c>
      <c r="B274">
        <v>1.69</v>
      </c>
      <c r="C274" t="s">
        <v>903</v>
      </c>
      <c r="D274" t="s">
        <v>904</v>
      </c>
      <c r="E274" t="s">
        <v>89</v>
      </c>
      <c r="F274" s="1">
        <v>45336</v>
      </c>
      <c r="G274" t="s">
        <v>905</v>
      </c>
      <c r="H274">
        <v>9</v>
      </c>
      <c r="I274">
        <f>_xll.ciqfunctions.udf.CIQ(A274, "IQ_MARKETCAP", F274)</f>
        <v>4.8773400000000002</v>
      </c>
      <c r="J274">
        <f>_xll.ciqfunctions.udf.CIQ(A274, "IQ_PRICE_VOL_HIST_6MTH", F274)</f>
        <v>65.958799999999997</v>
      </c>
      <c r="K274">
        <f>_xll.ciqfunctions.udf.CIQ(A274, "IQ_LASTSALEPRICE", WORKDAY(F274,-1))</f>
        <v>1.6</v>
      </c>
      <c r="L274">
        <f>_xll.ciqfunctions.udf.CIQ(A274, "IQ_LASTSALEPRICE", F274)</f>
        <v>1.69</v>
      </c>
      <c r="M274">
        <f>_xll.ciqfunctions.udf.CIQ(A274, "IQ_LASTSALEPRICE", WORKDAY(F274,5))</f>
        <v>1.56</v>
      </c>
      <c r="N274">
        <f t="shared" si="8"/>
        <v>5.4724899689246466E-2</v>
      </c>
      <c r="O274">
        <f t="shared" si="9"/>
        <v>-2.5317807984289897E-2</v>
      </c>
      <c r="P274">
        <f>LN(_xll.ciqfunctions.udf.CIQ("XBI", "IQ_LASTSALEPRICE", WORKDAY(F274,-1))/_xll.ciqfunctions.udf.CIQ("XBI", "IQ_LASTSALEPRICE", WORKDAY(F274,1)))</f>
        <v>-5.0013169696660476E-2</v>
      </c>
      <c r="Q274">
        <f>LN(_xll.ciqfunctions.udf.CIQ("XBI", "IQ_LASTSALEPRICE", WORKDAY(F274,-1))/_xll.ciqfunctions.udf.CIQ("XBI", "IQ_LASTSALEPRICE", WORKDAY(F274,5)))</f>
        <v>-4.1398924547435698E-2</v>
      </c>
      <c r="R274">
        <f>_xll.ciqfunctions.udf.CIQ(A274, "IQ_SHORT_INTEREST_PERCENT", F274)</f>
        <v>3.6041599999999998</v>
      </c>
      <c r="S274">
        <f>_xll.ciqfunctions.udf.CIQ(A274, "IQ_BETA_1YR_RSQ", F274)</f>
        <v>0.16072</v>
      </c>
      <c r="T274">
        <f>_xll.ciqfunctions.udf.CIQ(A274, "IQ_VALUE_TRADED", F274)</f>
        <v>0.54503000000000001</v>
      </c>
    </row>
    <row r="275" spans="1:20" x14ac:dyDescent="0.3">
      <c r="A275" t="s">
        <v>700</v>
      </c>
      <c r="B275">
        <v>1</v>
      </c>
      <c r="C275" t="s">
        <v>906</v>
      </c>
      <c r="D275" t="s">
        <v>907</v>
      </c>
      <c r="E275" t="s">
        <v>76</v>
      </c>
      <c r="F275" s="1">
        <v>45336</v>
      </c>
      <c r="G275" t="s">
        <v>908</v>
      </c>
      <c r="H275">
        <v>4</v>
      </c>
      <c r="I275">
        <f>_xll.ciqfunctions.udf.CIQ(A275, "IQ_MARKETCAP", F275)</f>
        <v>34.50573</v>
      </c>
      <c r="J275">
        <f>_xll.ciqfunctions.udf.CIQ(A275, "IQ_PRICE_VOL_HIST_6MTH", F275)</f>
        <v>82.080100000000002</v>
      </c>
      <c r="K275">
        <f>_xll.ciqfunctions.udf.CIQ(A275, "IQ_LASTSALEPRICE", WORKDAY(F275,-1))</f>
        <v>9.2769999999999992</v>
      </c>
      <c r="L275">
        <f>_xll.ciqfunctions.udf.CIQ(A275, "IQ_LASTSALEPRICE", F275)</f>
        <v>9.9960000000000004</v>
      </c>
      <c r="M275">
        <f>_xll.ciqfunctions.udf.CIQ(A275, "IQ_LASTSALEPRICE", WORKDAY(F275,5))</f>
        <v>9.2001000000000008</v>
      </c>
      <c r="N275">
        <f t="shared" si="8"/>
        <v>7.4646794301571673E-2</v>
      </c>
      <c r="O275">
        <f t="shared" si="9"/>
        <v>-8.3238651099955645E-3</v>
      </c>
      <c r="P275">
        <f>LN(_xll.ciqfunctions.udf.CIQ("XBI", "IQ_LASTSALEPRICE", WORKDAY(F275,-1))/_xll.ciqfunctions.udf.CIQ("XBI", "IQ_LASTSALEPRICE", WORKDAY(F275,1)))</f>
        <v>-5.0013169696660476E-2</v>
      </c>
      <c r="Q275">
        <f>LN(_xll.ciqfunctions.udf.CIQ("XBI", "IQ_LASTSALEPRICE", WORKDAY(F275,-1))/_xll.ciqfunctions.udf.CIQ("XBI", "IQ_LASTSALEPRICE", WORKDAY(F275,5)))</f>
        <v>-4.1398924547435698E-2</v>
      </c>
      <c r="R275">
        <f>_xll.ciqfunctions.udf.CIQ(A275, "IQ_SHORT_INTEREST_PERCENT", F275)</f>
        <v>0.54871999999999999</v>
      </c>
      <c r="S275">
        <f>_xll.ciqfunctions.udf.CIQ(A275, "IQ_BETA_1YR_RSQ", F275)</f>
        <v>9.3729999999999994E-2</v>
      </c>
      <c r="T275">
        <f>_xll.ciqfunctions.udf.CIQ(A275, "IQ_VALUE_TRADED", F275)</f>
        <v>4.8079999999999998E-2</v>
      </c>
    </row>
    <row r="276" spans="1:20" x14ac:dyDescent="0.3">
      <c r="A276" t="s">
        <v>909</v>
      </c>
      <c r="B276">
        <v>1.82</v>
      </c>
      <c r="C276" t="s">
        <v>910</v>
      </c>
      <c r="D276" t="s">
        <v>911</v>
      </c>
      <c r="E276" t="s">
        <v>89</v>
      </c>
      <c r="F276" s="1">
        <v>45336</v>
      </c>
      <c r="G276" t="s">
        <v>912</v>
      </c>
      <c r="H276">
        <v>1</v>
      </c>
      <c r="I276">
        <f>_xll.ciqfunctions.udf.CIQ(A276, "IQ_MARKETCAP", F276)</f>
        <v>1.5142800000000001</v>
      </c>
      <c r="J276">
        <f>_xll.ciqfunctions.udf.CIQ(A276, "IQ_PRICE_VOL_HIST_6MTH", F276)</f>
        <v>204.73060000000001</v>
      </c>
      <c r="K276">
        <f>_xll.ciqfunctions.udf.CIQ(A276, "IQ_LASTSALEPRICE", WORKDAY(F276,-1))</f>
        <v>1.72</v>
      </c>
      <c r="L276">
        <f>_xll.ciqfunctions.udf.CIQ(A276, "IQ_LASTSALEPRICE", F276)</f>
        <v>1.82</v>
      </c>
      <c r="M276">
        <f>_xll.ciqfunctions.udf.CIQ(A276, "IQ_LASTSALEPRICE", WORKDAY(F276,5))</f>
        <v>1.94</v>
      </c>
      <c r="N276">
        <f t="shared" si="8"/>
        <v>5.6512210263342404E-2</v>
      </c>
      <c r="O276">
        <f t="shared" si="9"/>
        <v>0.12036368224987509</v>
      </c>
      <c r="P276">
        <f>LN(_xll.ciqfunctions.udf.CIQ("XBI", "IQ_LASTSALEPRICE", WORKDAY(F276,-1))/_xll.ciqfunctions.udf.CIQ("XBI", "IQ_LASTSALEPRICE", WORKDAY(F276,1)))</f>
        <v>-5.0013169696660476E-2</v>
      </c>
      <c r="Q276">
        <f>LN(_xll.ciqfunctions.udf.CIQ("XBI", "IQ_LASTSALEPRICE", WORKDAY(F276,-1))/_xll.ciqfunctions.udf.CIQ("XBI", "IQ_LASTSALEPRICE", WORKDAY(F276,5)))</f>
        <v>-4.1398924547435698E-2</v>
      </c>
      <c r="R276">
        <f>_xll.ciqfunctions.udf.CIQ(A276, "IQ_SHORT_INTEREST_PERCENT", F276)</f>
        <v>6.8399700000000001</v>
      </c>
      <c r="S276">
        <f>_xll.ciqfunctions.udf.CIQ(A276, "IQ_BETA_1YR_RSQ", F276)</f>
        <v>8.77E-3</v>
      </c>
      <c r="T276">
        <f>_xll.ciqfunctions.udf.CIQ(A276, "IQ_VALUE_TRADED", F276)</f>
        <v>2.7009999999999999E-2</v>
      </c>
    </row>
    <row r="277" spans="1:20" x14ac:dyDescent="0.3">
      <c r="A277" t="s">
        <v>913</v>
      </c>
      <c r="B277">
        <v>1.93</v>
      </c>
      <c r="C277" t="s">
        <v>914</v>
      </c>
      <c r="D277" t="s">
        <v>915</v>
      </c>
      <c r="E277" t="s">
        <v>36</v>
      </c>
      <c r="F277" s="1">
        <v>45336</v>
      </c>
      <c r="G277" t="s">
        <v>916</v>
      </c>
      <c r="H277">
        <v>128</v>
      </c>
      <c r="I277">
        <f>_xll.ciqfunctions.udf.CIQ(A277, "IQ_MARKETCAP", F277)</f>
        <v>279.06981999999999</v>
      </c>
      <c r="J277">
        <f>_xll.ciqfunctions.udf.CIQ(A277, "IQ_PRICE_VOL_HIST_6MTH", F277)</f>
        <v>65.765900000000002</v>
      </c>
      <c r="K277">
        <f>_xll.ciqfunctions.udf.CIQ(A277, "IQ_LASTSALEPRICE", WORKDAY(F277,-1))</f>
        <v>1.85</v>
      </c>
      <c r="L277">
        <f>_xll.ciqfunctions.udf.CIQ(A277, "IQ_LASTSALEPRICE", F277)</f>
        <v>1.93</v>
      </c>
      <c r="M277">
        <f>_xll.ciqfunctions.udf.CIQ(A277, "IQ_LASTSALEPRICE", WORKDAY(F277,5))</f>
        <v>2.0299999999999998</v>
      </c>
      <c r="N277">
        <f t="shared" si="8"/>
        <v>4.2334363826560736E-2</v>
      </c>
      <c r="O277">
        <f t="shared" si="9"/>
        <v>9.2850153963462412E-2</v>
      </c>
      <c r="P277">
        <f>LN(_xll.ciqfunctions.udf.CIQ("XBI", "IQ_LASTSALEPRICE", WORKDAY(F277,-1))/_xll.ciqfunctions.udf.CIQ("XBI", "IQ_LASTSALEPRICE", WORKDAY(F277,1)))</f>
        <v>-5.0013169696660476E-2</v>
      </c>
      <c r="Q277">
        <f>LN(_xll.ciqfunctions.udf.CIQ("XBI", "IQ_LASTSALEPRICE", WORKDAY(F277,-1))/_xll.ciqfunctions.udf.CIQ("XBI", "IQ_LASTSALEPRICE", WORKDAY(F277,5)))</f>
        <v>-4.1398924547435698E-2</v>
      </c>
      <c r="R277">
        <f>_xll.ciqfunctions.udf.CIQ(A277, "IQ_SHORT_INTEREST_PERCENT", F277)</f>
        <v>0</v>
      </c>
      <c r="S277">
        <f>_xll.ciqfunctions.udf.CIQ(A277, "IQ_BETA_1YR_RSQ", F277)</f>
        <v>0</v>
      </c>
      <c r="T277">
        <f>_xll.ciqfunctions.udf.CIQ(A277, "IQ_VALUE_TRADED", F277)</f>
        <v>0.50692000000000004</v>
      </c>
    </row>
    <row r="278" spans="1:20" x14ac:dyDescent="0.3">
      <c r="A278" t="s">
        <v>917</v>
      </c>
      <c r="B278">
        <v>6.95</v>
      </c>
      <c r="C278" t="s">
        <v>918</v>
      </c>
      <c r="D278" t="s">
        <v>919</v>
      </c>
      <c r="E278" t="s">
        <v>22</v>
      </c>
      <c r="F278" s="1">
        <v>45337</v>
      </c>
      <c r="G278" t="s">
        <v>920</v>
      </c>
      <c r="H278">
        <v>42</v>
      </c>
      <c r="I278">
        <f>_xll.ciqfunctions.udf.CIQ(A278, "IQ_MARKETCAP", F278)</f>
        <v>292.80106999999998</v>
      </c>
      <c r="J278">
        <f>_xll.ciqfunctions.udf.CIQ(A278, "IQ_PRICE_VOL_HIST_6MTH", F278)</f>
        <v>97.616299999999995</v>
      </c>
      <c r="K278">
        <f>_xll.ciqfunctions.udf.CIQ(A278, "IQ_LASTSALEPRICE", WORKDAY(F278,-1))</f>
        <v>6.81</v>
      </c>
      <c r="L278">
        <f>_xll.ciqfunctions.udf.CIQ(A278, "IQ_LASTSALEPRICE", F278)</f>
        <v>6.95</v>
      </c>
      <c r="M278">
        <f>_xll.ciqfunctions.udf.CIQ(A278, "IQ_LASTSALEPRICE", WORKDAY(F278,5))</f>
        <v>6.26</v>
      </c>
      <c r="N278">
        <f t="shared" si="8"/>
        <v>2.0349539415279921E-2</v>
      </c>
      <c r="O278">
        <f t="shared" si="9"/>
        <v>-8.4211935049413794E-2</v>
      </c>
      <c r="P278">
        <f>LN(_xll.ciqfunctions.udf.CIQ("XBI", "IQ_LASTSALEPRICE", WORKDAY(F278,-1))/_xll.ciqfunctions.udf.CIQ("XBI", "IQ_LASTSALEPRICE", WORKDAY(F278,1)))</f>
        <v>-2.181431121186098E-2</v>
      </c>
      <c r="Q278">
        <f>LN(_xll.ciqfunctions.udf.CIQ("XBI", "IQ_LASTSALEPRICE", WORKDAY(F278,-1))/_xll.ciqfunctions.udf.CIQ("XBI", "IQ_LASTSALEPRICE", WORKDAY(F278,5)))</f>
        <v>-3.2492469267424988E-2</v>
      </c>
      <c r="R278">
        <f>_xll.ciqfunctions.udf.CIQ(A278, "IQ_SHORT_INTEREST_PERCENT", F278)</f>
        <v>4.0891900000000003</v>
      </c>
      <c r="S278">
        <f>_xll.ciqfunctions.udf.CIQ(A278, "IQ_BETA_1YR_RSQ", F278)</f>
        <v>5.8970000000000002E-2</v>
      </c>
      <c r="T278">
        <f>_xll.ciqfunctions.udf.CIQ(A278, "IQ_VALUE_TRADED", F278)</f>
        <v>0.64234999999999998</v>
      </c>
    </row>
    <row r="279" spans="1:20" x14ac:dyDescent="0.3">
      <c r="A279" t="s">
        <v>134</v>
      </c>
      <c r="B279">
        <v>3.75</v>
      </c>
      <c r="C279" t="s">
        <v>921</v>
      </c>
      <c r="D279" t="s">
        <v>922</v>
      </c>
      <c r="E279" t="s">
        <v>36</v>
      </c>
      <c r="F279" s="1">
        <v>45337</v>
      </c>
      <c r="G279" t="s">
        <v>923</v>
      </c>
      <c r="H279">
        <v>144</v>
      </c>
      <c r="I279">
        <f>_xll.ciqfunctions.udf.CIQ(A279, "IQ_MARKETCAP", F279)</f>
        <v>289.60953000000001</v>
      </c>
      <c r="J279">
        <f>_xll.ciqfunctions.udf.CIQ(A279, "IQ_PRICE_VOL_HIST_6MTH", F279)</f>
        <v>143.53739999999999</v>
      </c>
      <c r="K279">
        <f>_xll.ciqfunctions.udf.CIQ(A279, "IQ_LASTSALEPRICE", WORKDAY(F279,-1))</f>
        <v>2.68</v>
      </c>
      <c r="L279">
        <f>_xll.ciqfunctions.udf.CIQ(A279, "IQ_LASTSALEPRICE", F279)</f>
        <v>3.75</v>
      </c>
      <c r="M279">
        <f>_xll.ciqfunctions.udf.CIQ(A279, "IQ_LASTSALEPRICE", WORKDAY(F279,5))</f>
        <v>5.6</v>
      </c>
      <c r="N279">
        <f t="shared" si="8"/>
        <v>0.33593904545955411</v>
      </c>
      <c r="O279">
        <f t="shared" si="9"/>
        <v>0.73694980321833814</v>
      </c>
      <c r="P279">
        <f>LN(_xll.ciqfunctions.udf.CIQ("XBI", "IQ_LASTSALEPRICE", WORKDAY(F279,-1))/_xll.ciqfunctions.udf.CIQ("XBI", "IQ_LASTSALEPRICE", WORKDAY(F279,1)))</f>
        <v>-2.181431121186098E-2</v>
      </c>
      <c r="Q279">
        <f>LN(_xll.ciqfunctions.udf.CIQ("XBI", "IQ_LASTSALEPRICE", WORKDAY(F279,-1))/_xll.ciqfunctions.udf.CIQ("XBI", "IQ_LASTSALEPRICE", WORKDAY(F279,5)))</f>
        <v>-3.2492469267424988E-2</v>
      </c>
      <c r="R279">
        <f>_xll.ciqfunctions.udf.CIQ(A279, "IQ_SHORT_INTEREST_PERCENT", F279)</f>
        <v>4.8065800000000003</v>
      </c>
      <c r="S279">
        <f>_xll.ciqfunctions.udf.CIQ(A279, "IQ_BETA_1YR_RSQ", F279)</f>
        <v>1.4590000000000001E-2</v>
      </c>
      <c r="T279">
        <f>_xll.ciqfunctions.udf.CIQ(A279, "IQ_VALUE_TRADED", F279)</f>
        <v>35.200839999999999</v>
      </c>
    </row>
    <row r="280" spans="1:20" x14ac:dyDescent="0.3">
      <c r="A280" t="s">
        <v>462</v>
      </c>
      <c r="B280">
        <v>45.28</v>
      </c>
      <c r="C280" t="s">
        <v>924</v>
      </c>
      <c r="D280" t="s">
        <v>925</v>
      </c>
      <c r="E280" t="s">
        <v>36</v>
      </c>
      <c r="F280" s="1">
        <v>45337</v>
      </c>
      <c r="G280" t="s">
        <v>926</v>
      </c>
      <c r="H280">
        <v>159</v>
      </c>
      <c r="I280">
        <f>_xll.ciqfunctions.udf.CIQ(A280, "IQ_MARKETCAP", F280)</f>
        <v>6496.4175500000001</v>
      </c>
      <c r="J280">
        <f>_xll.ciqfunctions.udf.CIQ(A280, "IQ_PRICE_VOL_HIST_6MTH", F280)</f>
        <v>37.367100000000001</v>
      </c>
      <c r="K280">
        <f>_xll.ciqfunctions.udf.CIQ(A280, "IQ_LASTSALEPRICE", WORKDAY(F280,-1))</f>
        <v>49.07</v>
      </c>
      <c r="L280">
        <f>_xll.ciqfunctions.udf.CIQ(A280, "IQ_LASTSALEPRICE", F280)</f>
        <v>45.28</v>
      </c>
      <c r="M280">
        <f>_xll.ciqfunctions.udf.CIQ(A280, "IQ_LASTSALEPRICE", WORKDAY(F280,5))</f>
        <v>43.98</v>
      </c>
      <c r="N280">
        <f t="shared" si="8"/>
        <v>-8.038241620688448E-2</v>
      </c>
      <c r="O280">
        <f t="shared" si="9"/>
        <v>-0.10951286497519698</v>
      </c>
      <c r="P280">
        <f>LN(_xll.ciqfunctions.udf.CIQ("XBI", "IQ_LASTSALEPRICE", WORKDAY(F280,-1))/_xll.ciqfunctions.udf.CIQ("XBI", "IQ_LASTSALEPRICE", WORKDAY(F280,1)))</f>
        <v>-2.181431121186098E-2</v>
      </c>
      <c r="Q280">
        <f>LN(_xll.ciqfunctions.udf.CIQ("XBI", "IQ_LASTSALEPRICE", WORKDAY(F280,-1))/_xll.ciqfunctions.udf.CIQ("XBI", "IQ_LASTSALEPRICE", WORKDAY(F280,5)))</f>
        <v>-3.2492469267424988E-2</v>
      </c>
      <c r="R280">
        <f>_xll.ciqfunctions.udf.CIQ(A280, "IQ_SHORT_INTEREST_PERCENT", F280)</f>
        <v>5.8907699999999998</v>
      </c>
      <c r="S280">
        <f>_xll.ciqfunctions.udf.CIQ(A280, "IQ_BETA_1YR_RSQ", F280)</f>
        <v>0.27415</v>
      </c>
      <c r="T280">
        <f>_xll.ciqfunctions.udf.CIQ(A280, "IQ_VALUE_TRADED", F280)</f>
        <v>131.94692000000001</v>
      </c>
    </row>
    <row r="281" spans="1:20" x14ac:dyDescent="0.3">
      <c r="A281" t="s">
        <v>927</v>
      </c>
      <c r="B281">
        <v>1.48</v>
      </c>
      <c r="C281" t="s">
        <v>928</v>
      </c>
      <c r="D281" t="s">
        <v>929</v>
      </c>
      <c r="E281" t="s">
        <v>76</v>
      </c>
      <c r="F281" s="1">
        <v>45337</v>
      </c>
      <c r="G281" t="s">
        <v>930</v>
      </c>
      <c r="H281">
        <v>83</v>
      </c>
      <c r="I281">
        <f>_xll.ciqfunctions.udf.CIQ(A281, "IQ_MARKETCAP", F281)</f>
        <v>8.9769900000000007</v>
      </c>
      <c r="J281">
        <f>_xll.ciqfunctions.udf.CIQ(A281, "IQ_PRICE_VOL_HIST_6MTH", F281)</f>
        <v>38.342599999999997</v>
      </c>
      <c r="K281">
        <f>_xll.ciqfunctions.udf.CIQ(A281, "IQ_LASTSALEPRICE", WORKDAY(F281,-1))</f>
        <v>4.4999999999999998E-2</v>
      </c>
      <c r="L281">
        <f>_xll.ciqfunctions.udf.CIQ(A281, "IQ_LASTSALEPRICE", F281)</f>
        <v>4.4999999999999998E-2</v>
      </c>
      <c r="M281">
        <f>_xll.ciqfunctions.udf.CIQ(A281, "IQ_LASTSALEPRICE", WORKDAY(F281,5))</f>
        <v>4.3499999999999997E-2</v>
      </c>
      <c r="N281">
        <f t="shared" si="8"/>
        <v>0</v>
      </c>
      <c r="O281">
        <f t="shared" si="9"/>
        <v>-3.3901551675681339E-2</v>
      </c>
      <c r="P281">
        <f>LN(_xll.ciqfunctions.udf.CIQ("XBI", "IQ_LASTSALEPRICE", WORKDAY(F281,-1))/_xll.ciqfunctions.udf.CIQ("XBI", "IQ_LASTSALEPRICE", WORKDAY(F281,1)))</f>
        <v>-2.181431121186098E-2</v>
      </c>
      <c r="Q281">
        <f>LN(_xll.ciqfunctions.udf.CIQ("XBI", "IQ_LASTSALEPRICE", WORKDAY(F281,-1))/_xll.ciqfunctions.udf.CIQ("XBI", "IQ_LASTSALEPRICE", WORKDAY(F281,5)))</f>
        <v>-3.2492469267424988E-2</v>
      </c>
      <c r="R281">
        <f>_xll.ciqfunctions.udf.CIQ(A281, "IQ_SHORT_INTEREST_PERCENT", F281)</f>
        <v>0</v>
      </c>
      <c r="S281">
        <f>_xll.ciqfunctions.udf.CIQ(A281, "IQ_BETA_1YR_RSQ", F281)</f>
        <v>8.5699999999999995E-3</v>
      </c>
      <c r="T281">
        <f>_xll.ciqfunctions.udf.CIQ(A281, "IQ_VALUE_TRADED", F281)</f>
        <v>2.0999999999999999E-3</v>
      </c>
    </row>
    <row r="282" spans="1:20" x14ac:dyDescent="0.3">
      <c r="A282" t="s">
        <v>931</v>
      </c>
      <c r="B282">
        <v>1.1599999999999999</v>
      </c>
      <c r="C282" t="s">
        <v>932</v>
      </c>
      <c r="D282" t="s">
        <v>933</v>
      </c>
      <c r="E282" t="s">
        <v>22</v>
      </c>
      <c r="F282" s="1">
        <v>45337</v>
      </c>
      <c r="G282" t="s">
        <v>934</v>
      </c>
      <c r="H282">
        <v>100</v>
      </c>
      <c r="I282">
        <f>_xll.ciqfunctions.udf.CIQ(A282, "IQ_MARKETCAP", F282)</f>
        <v>86.331789999999998</v>
      </c>
      <c r="J282">
        <f>_xll.ciqfunctions.udf.CIQ(A282, "IQ_PRICE_VOL_HIST_6MTH", F282)</f>
        <v>75.279600000000002</v>
      </c>
      <c r="K282">
        <f>_xll.ciqfunctions.udf.CIQ(A282, "IQ_LASTSALEPRICE", WORKDAY(F282,-1))</f>
        <v>1.1499999999999999</v>
      </c>
      <c r="L282">
        <f>_xll.ciqfunctions.udf.CIQ(A282, "IQ_LASTSALEPRICE", F282)</f>
        <v>1.1599999999999999</v>
      </c>
      <c r="M282">
        <f>_xll.ciqfunctions.udf.CIQ(A282, "IQ_LASTSALEPRICE", WORKDAY(F282,5))</f>
        <v>1.0349999999999999</v>
      </c>
      <c r="N282">
        <f t="shared" si="8"/>
        <v>8.6580627431145311E-3</v>
      </c>
      <c r="O282">
        <f t="shared" si="9"/>
        <v>-0.10536051565782628</v>
      </c>
      <c r="P282">
        <f>LN(_xll.ciqfunctions.udf.CIQ("XBI", "IQ_LASTSALEPRICE", WORKDAY(F282,-1))/_xll.ciqfunctions.udf.CIQ("XBI", "IQ_LASTSALEPRICE", WORKDAY(F282,1)))</f>
        <v>-2.181431121186098E-2</v>
      </c>
      <c r="Q282">
        <f>LN(_xll.ciqfunctions.udf.CIQ("XBI", "IQ_LASTSALEPRICE", WORKDAY(F282,-1))/_xll.ciqfunctions.udf.CIQ("XBI", "IQ_LASTSALEPRICE", WORKDAY(F282,5)))</f>
        <v>-3.2492469267424988E-2</v>
      </c>
      <c r="R282">
        <f>_xll.ciqfunctions.udf.CIQ(A282, "IQ_SHORT_INTEREST_PERCENT", F282)</f>
        <v>0.89483999999999997</v>
      </c>
      <c r="S282">
        <f>_xll.ciqfunctions.udf.CIQ(A282, "IQ_BETA_1YR_RSQ", F282)</f>
        <v>3.95E-2</v>
      </c>
      <c r="T282">
        <f>_xll.ciqfunctions.udf.CIQ(A282, "IQ_VALUE_TRADED", F282)</f>
        <v>0.28364</v>
      </c>
    </row>
    <row r="283" spans="1:20" x14ac:dyDescent="0.3">
      <c r="A283" t="s">
        <v>935</v>
      </c>
      <c r="B283">
        <v>3.71</v>
      </c>
      <c r="C283" t="s">
        <v>936</v>
      </c>
      <c r="D283" t="s">
        <v>937</v>
      </c>
      <c r="E283" t="s">
        <v>36</v>
      </c>
      <c r="F283" s="1">
        <v>45337</v>
      </c>
      <c r="G283" t="s">
        <v>938</v>
      </c>
      <c r="H283">
        <v>306</v>
      </c>
      <c r="I283">
        <f>_xll.ciqfunctions.udf.CIQ(A283, "IQ_MARKETCAP", F283)</f>
        <v>1000.12197</v>
      </c>
      <c r="J283">
        <f>_xll.ciqfunctions.udf.CIQ(A283, "IQ_PRICE_VOL_HIST_6MTH", F283)</f>
        <v>54.642600000000002</v>
      </c>
      <c r="K283">
        <f>_xll.ciqfunctions.udf.CIQ(A283, "IQ_LASTSALEPRICE", WORKDAY(F283,-1))</f>
        <v>3.6</v>
      </c>
      <c r="L283">
        <f>_xll.ciqfunctions.udf.CIQ(A283, "IQ_LASTSALEPRICE", F283)</f>
        <v>3.71</v>
      </c>
      <c r="M283">
        <f>_xll.ciqfunctions.udf.CIQ(A283, "IQ_LASTSALEPRICE", WORKDAY(F283,5))</f>
        <v>3.59</v>
      </c>
      <c r="N283">
        <f t="shared" si="8"/>
        <v>3.0098031157279347E-2</v>
      </c>
      <c r="O283">
        <f t="shared" si="9"/>
        <v>-2.781642961876914E-3</v>
      </c>
      <c r="P283">
        <f>LN(_xll.ciqfunctions.udf.CIQ("XBI", "IQ_LASTSALEPRICE", WORKDAY(F283,-1))/_xll.ciqfunctions.udf.CIQ("XBI", "IQ_LASTSALEPRICE", WORKDAY(F283,1)))</f>
        <v>-2.181431121186098E-2</v>
      </c>
      <c r="Q283">
        <f>LN(_xll.ciqfunctions.udf.CIQ("XBI", "IQ_LASTSALEPRICE", WORKDAY(F283,-1))/_xll.ciqfunctions.udf.CIQ("XBI", "IQ_LASTSALEPRICE", WORKDAY(F283,5)))</f>
        <v>-3.2492469267424988E-2</v>
      </c>
      <c r="R283">
        <f>_xll.ciqfunctions.udf.CIQ(A283, "IQ_SHORT_INTEREST_PERCENT", F283)</f>
        <v>12.978730000000001</v>
      </c>
      <c r="S283">
        <f>_xll.ciqfunctions.udf.CIQ(A283, "IQ_BETA_1YR_RSQ", F283)</f>
        <v>5.2159999999999998E-2</v>
      </c>
      <c r="T283">
        <f>_xll.ciqfunctions.udf.CIQ(A283, "IQ_VALUE_TRADED", F283)</f>
        <v>10.62758</v>
      </c>
    </row>
    <row r="284" spans="1:20" x14ac:dyDescent="0.3">
      <c r="A284" t="s">
        <v>939</v>
      </c>
      <c r="B284">
        <v>6.02</v>
      </c>
      <c r="C284" t="s">
        <v>940</v>
      </c>
      <c r="D284" t="s">
        <v>941</v>
      </c>
      <c r="E284" t="s">
        <v>22</v>
      </c>
      <c r="F284" s="1">
        <v>45337</v>
      </c>
      <c r="G284" t="s">
        <v>942</v>
      </c>
      <c r="H284">
        <v>135</v>
      </c>
      <c r="I284">
        <f>_xll.ciqfunctions.udf.CIQ(A284, "IQ_MARKETCAP", F284)</f>
        <v>870.59893</v>
      </c>
      <c r="J284">
        <f>_xll.ciqfunctions.udf.CIQ(A284, "IQ_PRICE_VOL_HIST_6MTH", F284)</f>
        <v>63.277200000000001</v>
      </c>
      <c r="K284">
        <f>_xll.ciqfunctions.udf.CIQ(A284, "IQ_LASTSALEPRICE", WORKDAY(F284,-1))</f>
        <v>7.97</v>
      </c>
      <c r="L284">
        <f>_xll.ciqfunctions.udf.CIQ(A284, "IQ_LASTSALEPRICE", F284)</f>
        <v>6.02</v>
      </c>
      <c r="M284">
        <f>_xll.ciqfunctions.udf.CIQ(A284, "IQ_LASTSALEPRICE", WORKDAY(F284,5))</f>
        <v>6</v>
      </c>
      <c r="N284">
        <f t="shared" si="8"/>
        <v>-0.28059723348139404</v>
      </c>
      <c r="O284">
        <f t="shared" si="9"/>
        <v>-0.28392502357406857</v>
      </c>
      <c r="P284">
        <f>LN(_xll.ciqfunctions.udf.CIQ("XBI", "IQ_LASTSALEPRICE", WORKDAY(F284,-1))/_xll.ciqfunctions.udf.CIQ("XBI", "IQ_LASTSALEPRICE", WORKDAY(F284,1)))</f>
        <v>-2.181431121186098E-2</v>
      </c>
      <c r="Q284">
        <f>LN(_xll.ciqfunctions.udf.CIQ("XBI", "IQ_LASTSALEPRICE", WORKDAY(F284,-1))/_xll.ciqfunctions.udf.CIQ("XBI", "IQ_LASTSALEPRICE", WORKDAY(F284,5)))</f>
        <v>-3.2492469267424988E-2</v>
      </c>
      <c r="R284">
        <f>_xll.ciqfunctions.udf.CIQ(A284, "IQ_SHORT_INTEREST_PERCENT", F284)</f>
        <v>12.812810000000001</v>
      </c>
      <c r="S284">
        <f>_xll.ciqfunctions.udf.CIQ(A284, "IQ_BETA_1YR_RSQ", F284)</f>
        <v>0.22408</v>
      </c>
      <c r="T284">
        <f>_xll.ciqfunctions.udf.CIQ(A284, "IQ_VALUE_TRADED", F284)</f>
        <v>118.14681</v>
      </c>
    </row>
    <row r="285" spans="1:20" x14ac:dyDescent="0.3">
      <c r="A285" t="s">
        <v>939</v>
      </c>
      <c r="B285">
        <v>6.02</v>
      </c>
      <c r="C285" t="s">
        <v>943</v>
      </c>
      <c r="D285" t="s">
        <v>944</v>
      </c>
      <c r="E285" t="s">
        <v>184</v>
      </c>
      <c r="F285" s="1">
        <v>45337</v>
      </c>
      <c r="G285" t="s">
        <v>945</v>
      </c>
      <c r="H285">
        <v>135</v>
      </c>
      <c r="I285">
        <f>_xll.ciqfunctions.udf.CIQ(A285, "IQ_MARKETCAP", F285)</f>
        <v>870.59893</v>
      </c>
      <c r="J285">
        <f>_xll.ciqfunctions.udf.CIQ(A285, "IQ_PRICE_VOL_HIST_6MTH", F285)</f>
        <v>63.277200000000001</v>
      </c>
      <c r="K285">
        <f>_xll.ciqfunctions.udf.CIQ(A285, "IQ_LASTSALEPRICE", WORKDAY(F285,-1))</f>
        <v>7.97</v>
      </c>
      <c r="L285">
        <f>_xll.ciqfunctions.udf.CIQ(A285, "IQ_LASTSALEPRICE", F285)</f>
        <v>6.02</v>
      </c>
      <c r="M285">
        <f>_xll.ciqfunctions.udf.CIQ(A285, "IQ_LASTSALEPRICE", WORKDAY(F285,5))</f>
        <v>6</v>
      </c>
      <c r="N285">
        <f t="shared" si="8"/>
        <v>-0.28059723348139404</v>
      </c>
      <c r="O285">
        <f t="shared" si="9"/>
        <v>-0.28392502357406857</v>
      </c>
      <c r="P285">
        <f>LN(_xll.ciqfunctions.udf.CIQ("XBI", "IQ_LASTSALEPRICE", WORKDAY(F285,-1))/_xll.ciqfunctions.udf.CIQ("XBI", "IQ_LASTSALEPRICE", WORKDAY(F285,1)))</f>
        <v>-2.181431121186098E-2</v>
      </c>
      <c r="Q285">
        <f>LN(_xll.ciqfunctions.udf.CIQ("XBI", "IQ_LASTSALEPRICE", WORKDAY(F285,-1))/_xll.ciqfunctions.udf.CIQ("XBI", "IQ_LASTSALEPRICE", WORKDAY(F285,5)))</f>
        <v>-3.2492469267424988E-2</v>
      </c>
      <c r="R285">
        <f>_xll.ciqfunctions.udf.CIQ(A285, "IQ_SHORT_INTEREST_PERCENT", F285)</f>
        <v>12.812810000000001</v>
      </c>
      <c r="S285">
        <f>_xll.ciqfunctions.udf.CIQ(A285, "IQ_BETA_1YR_RSQ", F285)</f>
        <v>0.22408</v>
      </c>
      <c r="T285">
        <f>_xll.ciqfunctions.udf.CIQ(A285, "IQ_VALUE_TRADED", F285)</f>
        <v>118.14681</v>
      </c>
    </row>
    <row r="286" spans="1:20" x14ac:dyDescent="0.3">
      <c r="A286" t="s">
        <v>508</v>
      </c>
      <c r="B286">
        <v>0.89</v>
      </c>
      <c r="C286" t="s">
        <v>946</v>
      </c>
      <c r="D286" t="s">
        <v>947</v>
      </c>
      <c r="E286" t="s">
        <v>36</v>
      </c>
      <c r="F286" s="1">
        <v>45337</v>
      </c>
      <c r="G286" t="s">
        <v>948</v>
      </c>
      <c r="H286">
        <v>2</v>
      </c>
      <c r="I286">
        <f>_xll.ciqfunctions.udf.CIQ(A286, "IQ_MARKETCAP", F286)</f>
        <v>6.0055500000000004</v>
      </c>
      <c r="J286">
        <f>_xll.ciqfunctions.udf.CIQ(A286, "IQ_PRICE_VOL_HIST_6MTH", F286)</f>
        <v>123.85850000000001</v>
      </c>
      <c r="K286">
        <f>_xll.ciqfunctions.udf.CIQ(A286, "IQ_LASTSALEPRICE", WORKDAY(F286,-1))</f>
        <v>13.49999</v>
      </c>
      <c r="L286">
        <f>_xll.ciqfunctions.udf.CIQ(A286, "IQ_LASTSALEPRICE", F286)</f>
        <v>13.34999</v>
      </c>
      <c r="M286">
        <f>_xll.ciqfunctions.udf.CIQ(A286, "IQ_LASTSALEPRICE", WORKDAY(F286,5))</f>
        <v>13.42498</v>
      </c>
      <c r="N286">
        <f t="shared" si="8"/>
        <v>-1.1173308921061159E-2</v>
      </c>
      <c r="O286">
        <f t="shared" si="9"/>
        <v>-5.5717940674643853E-3</v>
      </c>
      <c r="P286">
        <f>LN(_xll.ciqfunctions.udf.CIQ("XBI", "IQ_LASTSALEPRICE", WORKDAY(F286,-1))/_xll.ciqfunctions.udf.CIQ("XBI", "IQ_LASTSALEPRICE", WORKDAY(F286,1)))</f>
        <v>-2.181431121186098E-2</v>
      </c>
      <c r="Q286">
        <f>LN(_xll.ciqfunctions.udf.CIQ("XBI", "IQ_LASTSALEPRICE", WORKDAY(F286,-1))/_xll.ciqfunctions.udf.CIQ("XBI", "IQ_LASTSALEPRICE", WORKDAY(F286,5)))</f>
        <v>-3.2492469267424988E-2</v>
      </c>
      <c r="R286">
        <f>_xll.ciqfunctions.udf.CIQ(A286, "IQ_SHORT_INTEREST_PERCENT", F286)</f>
        <v>10.054589999999999</v>
      </c>
      <c r="S286">
        <f>_xll.ciqfunctions.udf.CIQ(A286, "IQ_BETA_1YR_RSQ", F286)</f>
        <v>4.4600000000000004E-3</v>
      </c>
      <c r="T286">
        <f>_xll.ciqfunctions.udf.CIQ(A286, "IQ_VALUE_TRADED", F286)</f>
        <v>0.26267000000000001</v>
      </c>
    </row>
    <row r="287" spans="1:20" x14ac:dyDescent="0.3">
      <c r="A287" t="s">
        <v>151</v>
      </c>
      <c r="B287">
        <v>1.86</v>
      </c>
      <c r="C287" t="s">
        <v>949</v>
      </c>
      <c r="D287" t="s">
        <v>950</v>
      </c>
      <c r="E287" t="s">
        <v>22</v>
      </c>
      <c r="F287" s="1">
        <v>45338</v>
      </c>
      <c r="G287" t="s">
        <v>951</v>
      </c>
      <c r="H287">
        <v>29</v>
      </c>
      <c r="I287">
        <f>_xll.ciqfunctions.udf.CIQ(A287, "IQ_MARKETCAP", F287)</f>
        <v>34.180759999999999</v>
      </c>
      <c r="J287">
        <f>_xll.ciqfunctions.udf.CIQ(A287, "IQ_PRICE_VOL_HIST_6MTH", F287)</f>
        <v>151.7972</v>
      </c>
      <c r="K287">
        <f>_xll.ciqfunctions.udf.CIQ(A287, "IQ_LASTSALEPRICE", WORKDAY(F287,-1))</f>
        <v>1.88</v>
      </c>
      <c r="L287">
        <f>_xll.ciqfunctions.udf.CIQ(A287, "IQ_LASTSALEPRICE", F287)</f>
        <v>1.86</v>
      </c>
      <c r="M287">
        <f>_xll.ciqfunctions.udf.CIQ(A287, "IQ_LASTSALEPRICE", WORKDAY(F287,5))</f>
        <v>1.74</v>
      </c>
      <c r="N287">
        <f t="shared" si="8"/>
        <v>-1.0695289116747806E-2</v>
      </c>
      <c r="O287">
        <f t="shared" si="9"/>
        <v>-7.7386663615420112E-2</v>
      </c>
      <c r="P287">
        <f>LN(_xll.ciqfunctions.udf.CIQ("XBI", "IQ_LASTSALEPRICE", WORKDAY(F287,-1))/_xll.ciqfunctions.udf.CIQ("XBI", "IQ_LASTSALEPRICE", WORKDAY(F287,1)))</f>
        <v>1.2874156911745001E-3</v>
      </c>
      <c r="Q287">
        <f>LN(_xll.ciqfunctions.udf.CIQ("XBI", "IQ_LASTSALEPRICE", WORKDAY(F287,-1))/_xll.ciqfunctions.udf.CIQ("XBI", "IQ_LASTSALEPRICE", WORKDAY(F287,5)))</f>
        <v>-1.5743331223763691E-2</v>
      </c>
      <c r="R287">
        <f>_xll.ciqfunctions.udf.CIQ(A287, "IQ_SHORT_INTEREST_PERCENT", F287)</f>
        <v>8.1234800000000007</v>
      </c>
      <c r="S287">
        <f>_xll.ciqfunctions.udf.CIQ(A287, "IQ_BETA_1YR_RSQ", F287)</f>
        <v>0.11164</v>
      </c>
      <c r="T287">
        <f>_xll.ciqfunctions.udf.CIQ(A287, "IQ_VALUE_TRADED", F287)</f>
        <v>0.65685000000000004</v>
      </c>
    </row>
    <row r="288" spans="1:20" x14ac:dyDescent="0.3">
      <c r="A288" t="s">
        <v>952</v>
      </c>
      <c r="B288">
        <v>5.8</v>
      </c>
      <c r="C288" t="s">
        <v>953</v>
      </c>
      <c r="D288" t="s">
        <v>954</v>
      </c>
      <c r="E288" t="s">
        <v>22</v>
      </c>
      <c r="F288" s="1">
        <v>45338</v>
      </c>
      <c r="G288" t="s">
        <v>955</v>
      </c>
      <c r="H288">
        <v>15</v>
      </c>
      <c r="I288">
        <f>_xll.ciqfunctions.udf.CIQ(A288, "IQ_MARKETCAP", F288)</f>
        <v>77.264740000000003</v>
      </c>
      <c r="J288">
        <f>_xll.ciqfunctions.udf.CIQ(A288, "IQ_PRICE_VOL_HIST_6MTH", F288)</f>
        <v>105.4952</v>
      </c>
      <c r="K288">
        <f>_xll.ciqfunctions.udf.CIQ(A288, "IQ_LASTSALEPRICE", WORKDAY(F288,-1))</f>
        <v>5.97</v>
      </c>
      <c r="L288">
        <f>_xll.ciqfunctions.udf.CIQ(A288, "IQ_LASTSALEPRICE", F288)</f>
        <v>5.8</v>
      </c>
      <c r="M288">
        <f>_xll.ciqfunctions.udf.CIQ(A288, "IQ_LASTSALEPRICE", WORKDAY(F288,5))</f>
        <v>5.55</v>
      </c>
      <c r="N288">
        <f t="shared" si="8"/>
        <v>-2.8889009852137042E-2</v>
      </c>
      <c r="O288">
        <f t="shared" si="9"/>
        <v>-7.2948999646167551E-2</v>
      </c>
      <c r="P288">
        <f>LN(_xll.ciqfunctions.udf.CIQ("XBI", "IQ_LASTSALEPRICE", WORKDAY(F288,-1))/_xll.ciqfunctions.udf.CIQ("XBI", "IQ_LASTSALEPRICE", WORKDAY(F288,1)))</f>
        <v>1.2874156911745001E-3</v>
      </c>
      <c r="Q288">
        <f>LN(_xll.ciqfunctions.udf.CIQ("XBI", "IQ_LASTSALEPRICE", WORKDAY(F288,-1))/_xll.ciqfunctions.udf.CIQ("XBI", "IQ_LASTSALEPRICE", WORKDAY(F288,5)))</f>
        <v>-1.5743331223763691E-2</v>
      </c>
      <c r="R288">
        <f>_xll.ciqfunctions.udf.CIQ(A288, "IQ_SHORT_INTEREST_PERCENT", F288)</f>
        <v>0.39573999999999998</v>
      </c>
      <c r="S288">
        <f>_xll.ciqfunctions.udf.CIQ(A288, "IQ_BETA_1YR_RSQ", F288)</f>
        <v>2.3700000000000001E-3</v>
      </c>
      <c r="T288">
        <f>_xll.ciqfunctions.udf.CIQ(A288, "IQ_VALUE_TRADED", F288)</f>
        <v>8.4669999999999995E-2</v>
      </c>
    </row>
    <row r="289" spans="1:20" x14ac:dyDescent="0.3">
      <c r="A289" t="s">
        <v>618</v>
      </c>
      <c r="B289">
        <v>31.01</v>
      </c>
      <c r="C289" t="s">
        <v>956</v>
      </c>
      <c r="D289" t="s">
        <v>957</v>
      </c>
      <c r="E289" t="s">
        <v>160</v>
      </c>
      <c r="F289" s="1">
        <v>45338</v>
      </c>
      <c r="G289" t="s">
        <v>958</v>
      </c>
      <c r="I289">
        <f>_xll.ciqfunctions.udf.CIQ(A289, "IQ_MARKETCAP", F289)</f>
        <v>183360.27124999999</v>
      </c>
      <c r="J289">
        <f>_xll.ciqfunctions.udf.CIQ(A289, "IQ_PRICE_VOL_HIST_6MTH", F289)</f>
        <v>0</v>
      </c>
      <c r="K289">
        <f>_xll.ciqfunctions.udf.CIQ(A289, "IQ_LASTSALEPRICE", WORKDAY(F289,-1))</f>
        <v>0</v>
      </c>
      <c r="L289">
        <f>_xll.ciqfunctions.udf.CIQ(A289, "IQ_LASTSALEPRICE", F289)</f>
        <v>0</v>
      </c>
      <c r="M289">
        <f>_xll.ciqfunctions.udf.CIQ(A289, "IQ_LASTSALEPRICE", WORKDAY(F289,5))</f>
        <v>0</v>
      </c>
      <c r="N289" t="e">
        <f t="shared" si="8"/>
        <v>#DIV/0!</v>
      </c>
      <c r="O289" t="e">
        <f t="shared" si="9"/>
        <v>#DIV/0!</v>
      </c>
      <c r="P289">
        <f>LN(_xll.ciqfunctions.udf.CIQ("XBI", "IQ_LASTSALEPRICE", WORKDAY(F289,-1))/_xll.ciqfunctions.udf.CIQ("XBI", "IQ_LASTSALEPRICE", WORKDAY(F289,1)))</f>
        <v>1.2874156911745001E-3</v>
      </c>
      <c r="Q289">
        <f>LN(_xll.ciqfunctions.udf.CIQ("XBI", "IQ_LASTSALEPRICE", WORKDAY(F289,-1))/_xll.ciqfunctions.udf.CIQ("XBI", "IQ_LASTSALEPRICE", WORKDAY(F289,5)))</f>
        <v>-1.5743331223763691E-2</v>
      </c>
      <c r="R289">
        <f>_xll.ciqfunctions.udf.CIQ(A289, "IQ_SHORT_INTEREST_PERCENT", F289)</f>
        <v>0</v>
      </c>
      <c r="S289">
        <f>_xll.ciqfunctions.udf.CIQ(A289, "IQ_BETA_1YR_RSQ", F289)</f>
        <v>0</v>
      </c>
      <c r="T289">
        <f>_xll.ciqfunctions.udf.CIQ(A289, "IQ_VALUE_TRADED", F289)</f>
        <v>0</v>
      </c>
    </row>
    <row r="290" spans="1:20" x14ac:dyDescent="0.3">
      <c r="A290" t="s">
        <v>959</v>
      </c>
      <c r="B290">
        <v>9.15</v>
      </c>
      <c r="C290" t="s">
        <v>960</v>
      </c>
      <c r="D290" t="s">
        <v>961</v>
      </c>
      <c r="E290" t="s">
        <v>160</v>
      </c>
      <c r="F290" s="1">
        <v>45338</v>
      </c>
      <c r="G290" t="s">
        <v>958</v>
      </c>
      <c r="H290">
        <v>361</v>
      </c>
      <c r="I290">
        <f>_xll.ciqfunctions.udf.CIQ(A290, "IQ_MARKETCAP", F290)</f>
        <v>2341.6538</v>
      </c>
      <c r="J290">
        <f>_xll.ciqfunctions.udf.CIQ(A290, "IQ_PRICE_VOL_HIST_6MTH", F290)</f>
        <v>94.303899999999999</v>
      </c>
      <c r="K290">
        <f>_xll.ciqfunctions.udf.CIQ(A290, "IQ_LASTSALEPRICE", WORKDAY(F290,-1))</f>
        <v>9.8699999999999992</v>
      </c>
      <c r="L290">
        <f>_xll.ciqfunctions.udf.CIQ(A290, "IQ_LASTSALEPRICE", F290)</f>
        <v>9.15</v>
      </c>
      <c r="M290">
        <f>_xll.ciqfunctions.udf.CIQ(A290, "IQ_LASTSALEPRICE", WORKDAY(F290,5))</f>
        <v>15.77</v>
      </c>
      <c r="N290">
        <f t="shared" si="8"/>
        <v>-7.5745974157960166E-2</v>
      </c>
      <c r="O290">
        <f t="shared" si="9"/>
        <v>0.46860954752955686</v>
      </c>
      <c r="P290">
        <f>LN(_xll.ciqfunctions.udf.CIQ("XBI", "IQ_LASTSALEPRICE", WORKDAY(F290,-1))/_xll.ciqfunctions.udf.CIQ("XBI", "IQ_LASTSALEPRICE", WORKDAY(F290,1)))</f>
        <v>1.2874156911745001E-3</v>
      </c>
      <c r="Q290">
        <f>LN(_xll.ciqfunctions.udf.CIQ("XBI", "IQ_LASTSALEPRICE", WORKDAY(F290,-1))/_xll.ciqfunctions.udf.CIQ("XBI", "IQ_LASTSALEPRICE", WORKDAY(F290,5)))</f>
        <v>-1.5743331223763691E-2</v>
      </c>
      <c r="R290">
        <f>_xll.ciqfunctions.udf.CIQ(A290, "IQ_SHORT_INTEREST_PERCENT", F290)</f>
        <v>16.398399999999999</v>
      </c>
      <c r="S290">
        <f>_xll.ciqfunctions.udf.CIQ(A290, "IQ_BETA_1YR_RSQ", F290)</f>
        <v>0.19051000000000001</v>
      </c>
      <c r="T290">
        <f>_xll.ciqfunctions.udf.CIQ(A290, "IQ_VALUE_TRADED", F290)</f>
        <v>161.66011</v>
      </c>
    </row>
    <row r="291" spans="1:20" x14ac:dyDescent="0.3">
      <c r="A291" t="s">
        <v>433</v>
      </c>
      <c r="B291">
        <v>63.3</v>
      </c>
      <c r="C291" t="s">
        <v>962</v>
      </c>
      <c r="D291" t="s">
        <v>253</v>
      </c>
      <c r="E291" t="s">
        <v>160</v>
      </c>
      <c r="F291" s="1">
        <v>45339</v>
      </c>
      <c r="G291" t="s">
        <v>963</v>
      </c>
      <c r="I291">
        <f>_xll.ciqfunctions.udf.CIQ(A291, "IQ_MARKETCAP", F291)</f>
        <v>156476.11178000001</v>
      </c>
      <c r="J291">
        <f>_xll.ciqfunctions.udf.CIQ(A291, "IQ_PRICE_VOL_HIST_6MTH", F291)</f>
        <v>23.5748</v>
      </c>
      <c r="K291">
        <f>_xll.ciqfunctions.udf.CIQ(A291, "IQ_LASTSALEPRICE", WORKDAY(F291,-1))</f>
        <v>100.94</v>
      </c>
      <c r="L291">
        <f>_xll.ciqfunctions.udf.CIQ(A291, "IQ_LASTSALEPRICE", F291)</f>
        <v>100.94</v>
      </c>
      <c r="M291">
        <f>_xll.ciqfunctions.udf.CIQ(A291, "IQ_LASTSALEPRICE", WORKDAY(F291,5))</f>
        <v>102.2</v>
      </c>
      <c r="N291">
        <f t="shared" si="8"/>
        <v>0</v>
      </c>
      <c r="O291">
        <f t="shared" si="9"/>
        <v>1.2405396857487731E-2</v>
      </c>
      <c r="P291">
        <f>LN(_xll.ciqfunctions.udf.CIQ("XBI", "IQ_LASTSALEPRICE", WORKDAY(F291,-1))/_xll.ciqfunctions.udf.CIQ("XBI", "IQ_LASTSALEPRICE", WORKDAY(F291,1)))</f>
        <v>0</v>
      </c>
      <c r="Q291">
        <f>LN(_xll.ciqfunctions.udf.CIQ("XBI", "IQ_LASTSALEPRICE", WORKDAY(F291,-1))/_xll.ciqfunctions.udf.CIQ("XBI", "IQ_LASTSALEPRICE", WORKDAY(F291,5)))</f>
        <v>-1.7030746914938236E-2</v>
      </c>
      <c r="R291">
        <f>_xll.ciqfunctions.udf.CIQ(A291, "IQ_SHORT_INTEREST_PERCENT", F291)</f>
        <v>0</v>
      </c>
      <c r="S291">
        <f>_xll.ciqfunctions.udf.CIQ(A291, "IQ_BETA_1YR_RSQ", F291)</f>
        <v>0.20399</v>
      </c>
      <c r="T291">
        <f>_xll.ciqfunctions.udf.CIQ(A291, "IQ_VALUE_TRADED", F291)</f>
        <v>0</v>
      </c>
    </row>
    <row r="292" spans="1:20" x14ac:dyDescent="0.3">
      <c r="A292" t="s">
        <v>433</v>
      </c>
      <c r="B292">
        <v>64.06</v>
      </c>
      <c r="C292" t="s">
        <v>964</v>
      </c>
      <c r="D292" t="s">
        <v>965</v>
      </c>
      <c r="E292" t="s">
        <v>36</v>
      </c>
      <c r="F292" s="1">
        <v>45341</v>
      </c>
      <c r="G292" t="s">
        <v>966</v>
      </c>
      <c r="I292">
        <f>_xll.ciqfunctions.udf.CIQ(A292, "IQ_MARKETCAP", F292)</f>
        <v>161498.72523000001</v>
      </c>
      <c r="J292">
        <f>_xll.ciqfunctions.udf.CIQ(A292, "IQ_PRICE_VOL_HIST_6MTH", F292)</f>
        <v>24.007999999999999</v>
      </c>
      <c r="K292">
        <f>_xll.ciqfunctions.udf.CIQ(A292, "IQ_LASTSALEPRICE", WORKDAY(F292,-1))</f>
        <v>100.94</v>
      </c>
      <c r="L292">
        <f>_xll.ciqfunctions.udf.CIQ(A292, "IQ_LASTSALEPRICE", F292)</f>
        <v>104.18</v>
      </c>
      <c r="M292">
        <f>_xll.ciqfunctions.udf.CIQ(A292, "IQ_LASTSALEPRICE", WORKDAY(F292,5))</f>
        <v>102.54</v>
      </c>
      <c r="N292">
        <f t="shared" si="8"/>
        <v>3.1593891404929235E-2</v>
      </c>
      <c r="O292">
        <f t="shared" si="9"/>
        <v>1.5726685443438256E-2</v>
      </c>
      <c r="P292">
        <f>LN(_xll.ciqfunctions.udf.CIQ("XBI", "IQ_LASTSALEPRICE", WORKDAY(F292,-1))/_xll.ciqfunctions.udf.CIQ("XBI", "IQ_LASTSALEPRICE", WORKDAY(F292,1)))</f>
        <v>8.3005920451382376E-3</v>
      </c>
      <c r="Q292">
        <f>LN(_xll.ciqfunctions.udf.CIQ("XBI", "IQ_LASTSALEPRICE", WORKDAY(F292,-1))/_xll.ciqfunctions.udf.CIQ("XBI", "IQ_LASTSALEPRICE", WORKDAY(F292,5)))</f>
        <v>-4.3998907357710795E-2</v>
      </c>
      <c r="R292">
        <f>_xll.ciqfunctions.udf.CIQ(A292, "IQ_SHORT_INTEREST_PERCENT", F292)</f>
        <v>0</v>
      </c>
      <c r="S292">
        <f>_xll.ciqfunctions.udf.CIQ(A292, "IQ_BETA_1YR_RSQ", F292)</f>
        <v>0.20399</v>
      </c>
      <c r="T292">
        <f>_xll.ciqfunctions.udf.CIQ(A292, "IQ_VALUE_TRADED", F292)</f>
        <v>195.99508</v>
      </c>
    </row>
    <row r="293" spans="1:20" x14ac:dyDescent="0.3">
      <c r="A293" t="s">
        <v>967</v>
      </c>
      <c r="B293">
        <v>6.87</v>
      </c>
      <c r="C293" t="s">
        <v>968</v>
      </c>
      <c r="D293" t="s">
        <v>969</v>
      </c>
      <c r="E293" t="s">
        <v>124</v>
      </c>
      <c r="F293" s="1">
        <v>45342</v>
      </c>
      <c r="G293" t="s">
        <v>970</v>
      </c>
      <c r="H293">
        <v>16</v>
      </c>
      <c r="I293">
        <f>_xll.ciqfunctions.udf.CIQ(A293, "IQ_MARKETCAP", F293)</f>
        <v>236.30195000000001</v>
      </c>
      <c r="J293">
        <f>_xll.ciqfunctions.udf.CIQ(A293, "IQ_PRICE_VOL_HIST_6MTH", F293)</f>
        <v>199.23140000000001</v>
      </c>
      <c r="K293">
        <f>_xll.ciqfunctions.udf.CIQ(A293, "IQ_LASTSALEPRICE", WORKDAY(F293,-1))</f>
        <v>207.76</v>
      </c>
      <c r="L293">
        <f>_xll.ciqfunctions.udf.CIQ(A293, "IQ_LASTSALEPRICE", F293)</f>
        <v>54.96</v>
      </c>
      <c r="M293">
        <f>_xll.ciqfunctions.udf.CIQ(A293, "IQ_LASTSALEPRICE", WORKDAY(F293,5))</f>
        <v>71.92</v>
      </c>
      <c r="N293">
        <f t="shared" si="8"/>
        <v>-1.3297779194403991</v>
      </c>
      <c r="O293">
        <f t="shared" si="9"/>
        <v>-1.060829177191128</v>
      </c>
      <c r="P293">
        <f>LN(_xll.ciqfunctions.udf.CIQ("XBI", "IQ_LASTSALEPRICE", WORKDAY(F293,-1))/_xll.ciqfunctions.udf.CIQ("XBI", "IQ_LASTSALEPRICE", WORKDAY(F293,1)))</f>
        <v>7.3268294580502583E-3</v>
      </c>
      <c r="Q293">
        <f>LN(_xll.ciqfunctions.udf.CIQ("XBI", "IQ_LASTSALEPRICE", WORKDAY(F293,-1))/_xll.ciqfunctions.udf.CIQ("XBI", "IQ_LASTSALEPRICE", WORKDAY(F293,5)))</f>
        <v>-9.944935934012139E-2</v>
      </c>
      <c r="R293">
        <f>_xll.ciqfunctions.udf.CIQ(A293, "IQ_SHORT_INTEREST_PERCENT", F293)</f>
        <v>11.472250000000001</v>
      </c>
      <c r="S293">
        <f>_xll.ciqfunctions.udf.CIQ(A293, "IQ_BETA_1YR_RSQ", F293)</f>
        <v>0.22387000000000001</v>
      </c>
      <c r="T293">
        <f>_xll.ciqfunctions.udf.CIQ(A293, "IQ_VALUE_TRADED", F293)</f>
        <v>96.015069999999994</v>
      </c>
    </row>
    <row r="294" spans="1:20" x14ac:dyDescent="0.3">
      <c r="A294" t="s">
        <v>967</v>
      </c>
      <c r="B294">
        <v>6.87</v>
      </c>
      <c r="C294" t="s">
        <v>968</v>
      </c>
      <c r="D294" t="s">
        <v>310</v>
      </c>
      <c r="E294" t="s">
        <v>124</v>
      </c>
      <c r="F294" s="1">
        <v>45342</v>
      </c>
      <c r="G294" t="s">
        <v>971</v>
      </c>
      <c r="H294">
        <v>16</v>
      </c>
      <c r="I294">
        <f>_xll.ciqfunctions.udf.CIQ(A294, "IQ_MARKETCAP", F294)</f>
        <v>236.30195000000001</v>
      </c>
      <c r="J294">
        <f>_xll.ciqfunctions.udf.CIQ(A294, "IQ_PRICE_VOL_HIST_6MTH", F294)</f>
        <v>199.23140000000001</v>
      </c>
      <c r="K294">
        <f>_xll.ciqfunctions.udf.CIQ(A294, "IQ_LASTSALEPRICE", WORKDAY(F294,-1))</f>
        <v>207.76</v>
      </c>
      <c r="L294">
        <f>_xll.ciqfunctions.udf.CIQ(A294, "IQ_LASTSALEPRICE", F294)</f>
        <v>54.96</v>
      </c>
      <c r="M294">
        <f>_xll.ciqfunctions.udf.CIQ(A294, "IQ_LASTSALEPRICE", WORKDAY(F294,5))</f>
        <v>71.92</v>
      </c>
      <c r="N294">
        <f t="shared" si="8"/>
        <v>-1.3297779194403991</v>
      </c>
      <c r="O294">
        <f t="shared" si="9"/>
        <v>-1.060829177191128</v>
      </c>
      <c r="P294">
        <f>LN(_xll.ciqfunctions.udf.CIQ("XBI", "IQ_LASTSALEPRICE", WORKDAY(F294,-1))/_xll.ciqfunctions.udf.CIQ("XBI", "IQ_LASTSALEPRICE", WORKDAY(F294,1)))</f>
        <v>7.3268294580502583E-3</v>
      </c>
      <c r="Q294">
        <f>LN(_xll.ciqfunctions.udf.CIQ("XBI", "IQ_LASTSALEPRICE", WORKDAY(F294,-1))/_xll.ciqfunctions.udf.CIQ("XBI", "IQ_LASTSALEPRICE", WORKDAY(F294,5)))</f>
        <v>-9.944935934012139E-2</v>
      </c>
      <c r="R294">
        <f>_xll.ciqfunctions.udf.CIQ(A294, "IQ_SHORT_INTEREST_PERCENT", F294)</f>
        <v>11.472250000000001</v>
      </c>
      <c r="S294">
        <f>_xll.ciqfunctions.udf.CIQ(A294, "IQ_BETA_1YR_RSQ", F294)</f>
        <v>0.22387000000000001</v>
      </c>
      <c r="T294">
        <f>_xll.ciqfunctions.udf.CIQ(A294, "IQ_VALUE_TRADED", F294)</f>
        <v>96.015069999999994</v>
      </c>
    </row>
    <row r="295" spans="1:20" x14ac:dyDescent="0.3">
      <c r="A295" t="s">
        <v>972</v>
      </c>
      <c r="B295">
        <v>6.76</v>
      </c>
      <c r="C295" t="s">
        <v>973</v>
      </c>
      <c r="D295" t="s">
        <v>974</v>
      </c>
      <c r="E295" t="s">
        <v>22</v>
      </c>
      <c r="F295" s="1">
        <v>45342</v>
      </c>
      <c r="G295" t="s">
        <v>975</v>
      </c>
      <c r="H295">
        <v>36</v>
      </c>
      <c r="I295">
        <f>_xll.ciqfunctions.udf.CIQ(A295, "IQ_MARKETCAP", F295)</f>
        <v>197.85926000000001</v>
      </c>
      <c r="J295">
        <f>_xll.ciqfunctions.udf.CIQ(A295, "IQ_PRICE_VOL_HIST_6MTH", F295)</f>
        <v>97.455100000000002</v>
      </c>
      <c r="K295">
        <f>_xll.ciqfunctions.udf.CIQ(A295, "IQ_LASTSALEPRICE", WORKDAY(F295,-1))</f>
        <v>6.6</v>
      </c>
      <c r="L295">
        <f>_xll.ciqfunctions.udf.CIQ(A295, "IQ_LASTSALEPRICE", F295)</f>
        <v>6.76</v>
      </c>
      <c r="M295">
        <f>_xll.ciqfunctions.udf.CIQ(A295, "IQ_LASTSALEPRICE", WORKDAY(F295,5))</f>
        <v>6.43</v>
      </c>
      <c r="N295">
        <f t="shared" si="8"/>
        <v>2.3953241022492796E-2</v>
      </c>
      <c r="O295">
        <f t="shared" si="9"/>
        <v>-2.609511078285184E-2</v>
      </c>
      <c r="P295">
        <f>LN(_xll.ciqfunctions.udf.CIQ("XBI", "IQ_LASTSALEPRICE", WORKDAY(F295,-1))/_xll.ciqfunctions.udf.CIQ("XBI", "IQ_LASTSALEPRICE", WORKDAY(F295,1)))</f>
        <v>7.3268294580502583E-3</v>
      </c>
      <c r="Q295">
        <f>LN(_xll.ciqfunctions.udf.CIQ("XBI", "IQ_LASTSALEPRICE", WORKDAY(F295,-1))/_xll.ciqfunctions.udf.CIQ("XBI", "IQ_LASTSALEPRICE", WORKDAY(F295,5)))</f>
        <v>-9.944935934012139E-2</v>
      </c>
      <c r="R295">
        <f>_xll.ciqfunctions.udf.CIQ(A295, "IQ_SHORT_INTEREST_PERCENT", F295)</f>
        <v>9.1314799999999998</v>
      </c>
      <c r="S295">
        <f>_xll.ciqfunctions.udf.CIQ(A295, "IQ_BETA_1YR_RSQ", F295)</f>
        <v>2.6960000000000001E-2</v>
      </c>
      <c r="T295">
        <f>_xll.ciqfunctions.udf.CIQ(A295, "IQ_VALUE_TRADED", F295)</f>
        <v>0.59628000000000003</v>
      </c>
    </row>
    <row r="296" spans="1:20" x14ac:dyDescent="0.3">
      <c r="A296" t="s">
        <v>774</v>
      </c>
      <c r="B296">
        <v>66.42</v>
      </c>
      <c r="C296" t="s">
        <v>976</v>
      </c>
      <c r="D296" t="s">
        <v>977</v>
      </c>
      <c r="E296" t="s">
        <v>17</v>
      </c>
      <c r="F296" s="1">
        <v>45342</v>
      </c>
      <c r="G296" t="s">
        <v>978</v>
      </c>
      <c r="H296">
        <v>34</v>
      </c>
      <c r="I296">
        <f>_xll.ciqfunctions.udf.CIQ(A296, "IQ_MARKETCAP", F296)</f>
        <v>1603.40723</v>
      </c>
      <c r="J296">
        <f>_xll.ciqfunctions.udf.CIQ(A296, "IQ_PRICE_VOL_HIST_6MTH", F296)</f>
        <v>47.941699999999997</v>
      </c>
      <c r="K296">
        <f>_xll.ciqfunctions.udf.CIQ(A296, "IQ_LASTSALEPRICE", WORKDAY(F296,-1))</f>
        <v>65.92</v>
      </c>
      <c r="L296">
        <f>_xll.ciqfunctions.udf.CIQ(A296, "IQ_LASTSALEPRICE", F296)</f>
        <v>66.42</v>
      </c>
      <c r="M296">
        <f>_xll.ciqfunctions.udf.CIQ(A296, "IQ_LASTSALEPRICE", WORKDAY(F296,5))</f>
        <v>66.25</v>
      </c>
      <c r="N296">
        <f t="shared" si="8"/>
        <v>7.5563303473842342E-3</v>
      </c>
      <c r="O296">
        <f t="shared" si="9"/>
        <v>4.9935792651152663E-3</v>
      </c>
      <c r="P296">
        <f>LN(_xll.ciqfunctions.udf.CIQ("XBI", "IQ_LASTSALEPRICE", WORKDAY(F296,-1))/_xll.ciqfunctions.udf.CIQ("XBI", "IQ_LASTSALEPRICE", WORKDAY(F296,1)))</f>
        <v>7.3268294580502583E-3</v>
      </c>
      <c r="Q296">
        <f>LN(_xll.ciqfunctions.udf.CIQ("XBI", "IQ_LASTSALEPRICE", WORKDAY(F296,-1))/_xll.ciqfunctions.udf.CIQ("XBI", "IQ_LASTSALEPRICE", WORKDAY(F296,5)))</f>
        <v>-9.944935934012139E-2</v>
      </c>
      <c r="R296">
        <f>_xll.ciqfunctions.udf.CIQ(A296, "IQ_SHORT_INTEREST_PERCENT", F296)</f>
        <v>5.4648500000000002</v>
      </c>
      <c r="S296">
        <f>_xll.ciqfunctions.udf.CIQ(A296, "IQ_BETA_1YR_RSQ", F296)</f>
        <v>4.7E-2</v>
      </c>
      <c r="T296">
        <f>_xll.ciqfunctions.udf.CIQ(A296, "IQ_VALUE_TRADED", F296)</f>
        <v>9.2046200000000002</v>
      </c>
    </row>
    <row r="297" spans="1:20" x14ac:dyDescent="0.3">
      <c r="A297" t="s">
        <v>542</v>
      </c>
      <c r="B297">
        <v>44.97</v>
      </c>
      <c r="C297" t="s">
        <v>979</v>
      </c>
      <c r="D297" t="s">
        <v>980</v>
      </c>
      <c r="E297" t="s">
        <v>197</v>
      </c>
      <c r="F297" s="1">
        <v>45342</v>
      </c>
      <c r="G297" t="s">
        <v>981</v>
      </c>
      <c r="I297">
        <f>_xll.ciqfunctions.udf.CIQ(A297, "IQ_MARKETCAP", F297)</f>
        <v>109252.59462</v>
      </c>
      <c r="J297">
        <f>_xll.ciqfunctions.udf.CIQ(A297, "IQ_PRICE_VOL_HIST_6MTH", F297)</f>
        <v>34.620600000000003</v>
      </c>
      <c r="K297">
        <f>_xll.ciqfunctions.udf.CIQ(A297, "IQ_LASTSALEPRICE", WORKDAY(F297,-1))</f>
        <v>46.18</v>
      </c>
      <c r="L297">
        <f>_xll.ciqfunctions.udf.CIQ(A297, "IQ_LASTSALEPRICE", F297)</f>
        <v>46.85</v>
      </c>
      <c r="M297">
        <f>_xll.ciqfunctions.udf.CIQ(A297, "IQ_LASTSALEPRICE", WORKDAY(F297,5))</f>
        <v>48.21</v>
      </c>
      <c r="N297">
        <f t="shared" si="8"/>
        <v>1.4404204758082037E-2</v>
      </c>
      <c r="O297">
        <f t="shared" si="9"/>
        <v>4.3019664491181733E-2</v>
      </c>
      <c r="P297">
        <f>LN(_xll.ciqfunctions.udf.CIQ("XBI", "IQ_LASTSALEPRICE", WORKDAY(F297,-1))/_xll.ciqfunctions.udf.CIQ("XBI", "IQ_LASTSALEPRICE", WORKDAY(F297,1)))</f>
        <v>7.3268294580502583E-3</v>
      </c>
      <c r="Q297">
        <f>LN(_xll.ciqfunctions.udf.CIQ("XBI", "IQ_LASTSALEPRICE", WORKDAY(F297,-1))/_xll.ciqfunctions.udf.CIQ("XBI", "IQ_LASTSALEPRICE", WORKDAY(F297,5)))</f>
        <v>-9.944935934012139E-2</v>
      </c>
      <c r="R297">
        <f>_xll.ciqfunctions.udf.CIQ(A297, "IQ_SHORT_INTEREST_PERCENT", F297)</f>
        <v>0</v>
      </c>
      <c r="S297">
        <f>_xll.ciqfunctions.udf.CIQ(A297, "IQ_BETA_1YR_RSQ", F297)</f>
        <v>0</v>
      </c>
      <c r="T297">
        <f>_xll.ciqfunctions.udf.CIQ(A297, "IQ_VALUE_TRADED", F297)</f>
        <v>108.72283</v>
      </c>
    </row>
    <row r="298" spans="1:20" x14ac:dyDescent="0.3">
      <c r="A298" t="s">
        <v>52</v>
      </c>
      <c r="B298">
        <v>13.07</v>
      </c>
      <c r="C298" t="s">
        <v>979</v>
      </c>
      <c r="D298" t="s">
        <v>980</v>
      </c>
      <c r="E298" t="s">
        <v>197</v>
      </c>
      <c r="F298" s="1">
        <v>45342</v>
      </c>
      <c r="G298" t="s">
        <v>981</v>
      </c>
      <c r="I298">
        <f>_xll.ciqfunctions.udf.CIQ(A298, "IQ_MARKETCAP", F298)</f>
        <v>14651.370629999999</v>
      </c>
      <c r="J298">
        <f>_xll.ciqfunctions.udf.CIQ(A298, "IQ_PRICE_VOL_HIST_6MTH", F298)</f>
        <v>35.392200000000003</v>
      </c>
      <c r="K298">
        <f>_xll.ciqfunctions.udf.CIQ(A298, "IQ_LASTSALEPRICE", WORKDAY(F298,-1))</f>
        <v>13.02</v>
      </c>
      <c r="L298">
        <f>_xll.ciqfunctions.udf.CIQ(A298, "IQ_LASTSALEPRICE", F298)</f>
        <v>13.07</v>
      </c>
      <c r="M298">
        <f>_xll.ciqfunctions.udf.CIQ(A298, "IQ_LASTSALEPRICE", WORKDAY(F298,5))</f>
        <v>13.3</v>
      </c>
      <c r="N298">
        <f t="shared" si="8"/>
        <v>3.8328908557073607E-3</v>
      </c>
      <c r="O298">
        <f t="shared" si="9"/>
        <v>2.1277398447284879E-2</v>
      </c>
      <c r="P298">
        <f>LN(_xll.ciqfunctions.udf.CIQ("XBI", "IQ_LASTSALEPRICE", WORKDAY(F298,-1))/_xll.ciqfunctions.udf.CIQ("XBI", "IQ_LASTSALEPRICE", WORKDAY(F298,1)))</f>
        <v>7.3268294580502583E-3</v>
      </c>
      <c r="Q298">
        <f>LN(_xll.ciqfunctions.udf.CIQ("XBI", "IQ_LASTSALEPRICE", WORKDAY(F298,-1))/_xll.ciqfunctions.udf.CIQ("XBI", "IQ_LASTSALEPRICE", WORKDAY(F298,5)))</f>
        <v>-9.944935934012139E-2</v>
      </c>
      <c r="R298">
        <f>_xll.ciqfunctions.udf.CIQ(A298, "IQ_SHORT_INTEREST_PERCENT", F298)</f>
        <v>1.6339699999999999</v>
      </c>
      <c r="S298">
        <f>_xll.ciqfunctions.udf.CIQ(A298, "IQ_BETA_1YR_RSQ", F298)</f>
        <v>4.4429999999999997E-2</v>
      </c>
      <c r="T298">
        <f>_xll.ciqfunctions.udf.CIQ(A298, "IQ_VALUE_TRADED", F298)</f>
        <v>154.43069</v>
      </c>
    </row>
    <row r="299" spans="1:20" x14ac:dyDescent="0.3">
      <c r="A299" t="s">
        <v>891</v>
      </c>
      <c r="B299">
        <v>50.6</v>
      </c>
      <c r="C299" t="s">
        <v>982</v>
      </c>
      <c r="D299" t="s">
        <v>983</v>
      </c>
      <c r="E299" t="s">
        <v>22</v>
      </c>
      <c r="F299" s="1">
        <v>45342</v>
      </c>
      <c r="G299" t="s">
        <v>984</v>
      </c>
      <c r="H299">
        <v>73</v>
      </c>
      <c r="I299">
        <f>_xll.ciqfunctions.udf.CIQ(A299, "IQ_MARKETCAP", F299)</f>
        <v>3440.7497499999999</v>
      </c>
      <c r="J299">
        <f>_xll.ciqfunctions.udf.CIQ(A299, "IQ_PRICE_VOL_HIST_6MTH", F299)</f>
        <v>78.517799999999994</v>
      </c>
      <c r="K299">
        <f>_xll.ciqfunctions.udf.CIQ(A299, "IQ_LASTSALEPRICE", WORKDAY(F299,-1))</f>
        <v>52.31</v>
      </c>
      <c r="L299">
        <f>_xll.ciqfunctions.udf.CIQ(A299, "IQ_LASTSALEPRICE", F299)</f>
        <v>50.6</v>
      </c>
      <c r="M299">
        <f>_xll.ciqfunctions.udf.CIQ(A299, "IQ_LASTSALEPRICE", WORKDAY(F299,5))</f>
        <v>48.01</v>
      </c>
      <c r="N299">
        <f t="shared" si="8"/>
        <v>-3.3235981089099823E-2</v>
      </c>
      <c r="O299">
        <f t="shared" si="9"/>
        <v>-8.5778234839670744E-2</v>
      </c>
      <c r="P299">
        <f>LN(_xll.ciqfunctions.udf.CIQ("XBI", "IQ_LASTSALEPRICE", WORKDAY(F299,-1))/_xll.ciqfunctions.udf.CIQ("XBI", "IQ_LASTSALEPRICE", WORKDAY(F299,1)))</f>
        <v>7.3268294580502583E-3</v>
      </c>
      <c r="Q299">
        <f>LN(_xll.ciqfunctions.udf.CIQ("XBI", "IQ_LASTSALEPRICE", WORKDAY(F299,-1))/_xll.ciqfunctions.udf.CIQ("XBI", "IQ_LASTSALEPRICE", WORKDAY(F299,5)))</f>
        <v>-9.944935934012139E-2</v>
      </c>
      <c r="R299">
        <f>_xll.ciqfunctions.udf.CIQ(A299, "IQ_SHORT_INTEREST_PERCENT", F299)</f>
        <v>9.5532599999999999</v>
      </c>
      <c r="S299">
        <f>_xll.ciqfunctions.udf.CIQ(A299, "IQ_BETA_1YR_RSQ", F299)</f>
        <v>0.16569999999999999</v>
      </c>
      <c r="T299">
        <f>_xll.ciqfunctions.udf.CIQ(A299, "IQ_VALUE_TRADED", F299)</f>
        <v>39.890610000000002</v>
      </c>
    </row>
    <row r="300" spans="1:20" x14ac:dyDescent="0.3">
      <c r="A300" t="s">
        <v>985</v>
      </c>
      <c r="B300">
        <v>7.52</v>
      </c>
      <c r="C300" t="s">
        <v>986</v>
      </c>
      <c r="D300" t="s">
        <v>987</v>
      </c>
      <c r="E300" t="s">
        <v>36</v>
      </c>
      <c r="F300" s="1">
        <v>45342</v>
      </c>
      <c r="G300" t="s">
        <v>988</v>
      </c>
      <c r="H300">
        <v>98</v>
      </c>
      <c r="I300">
        <f>_xll.ciqfunctions.udf.CIQ(A300, "IQ_MARKETCAP", F300)</f>
        <v>721.89934000000005</v>
      </c>
      <c r="J300">
        <f>_xll.ciqfunctions.udf.CIQ(A300, "IQ_PRICE_VOL_HIST_6MTH", F300)</f>
        <v>131.4907</v>
      </c>
      <c r="K300">
        <f>_xll.ciqfunctions.udf.CIQ(A300, "IQ_LASTSALEPRICE", WORKDAY(F300,-1))</f>
        <v>7.17</v>
      </c>
      <c r="L300">
        <f>_xll.ciqfunctions.udf.CIQ(A300, "IQ_LASTSALEPRICE", F300)</f>
        <v>7.52</v>
      </c>
      <c r="M300">
        <f>_xll.ciqfunctions.udf.CIQ(A300, "IQ_LASTSALEPRICE", WORKDAY(F300,5))</f>
        <v>8.82</v>
      </c>
      <c r="N300">
        <f t="shared" si="8"/>
        <v>4.7660483350219322E-2</v>
      </c>
      <c r="O300">
        <f t="shared" si="9"/>
        <v>0.20711621540717093</v>
      </c>
      <c r="P300">
        <f>LN(_xll.ciqfunctions.udf.CIQ("XBI", "IQ_LASTSALEPRICE", WORKDAY(F300,-1))/_xll.ciqfunctions.udf.CIQ("XBI", "IQ_LASTSALEPRICE", WORKDAY(F300,1)))</f>
        <v>7.3268294580502583E-3</v>
      </c>
      <c r="Q300">
        <f>LN(_xll.ciqfunctions.udf.CIQ("XBI", "IQ_LASTSALEPRICE", WORKDAY(F300,-1))/_xll.ciqfunctions.udf.CIQ("XBI", "IQ_LASTSALEPRICE", WORKDAY(F300,5)))</f>
        <v>-9.944935934012139E-2</v>
      </c>
      <c r="R300">
        <f>_xll.ciqfunctions.udf.CIQ(A300, "IQ_SHORT_INTEREST_PERCENT", F300)</f>
        <v>5.0643700000000003</v>
      </c>
      <c r="S300">
        <f>_xll.ciqfunctions.udf.CIQ(A300, "IQ_BETA_1YR_RSQ", F300)</f>
        <v>0.13708000000000001</v>
      </c>
      <c r="T300">
        <f>_xll.ciqfunctions.udf.CIQ(A300, "IQ_VALUE_TRADED", F300)</f>
        <v>9.6081500000000002</v>
      </c>
    </row>
    <row r="301" spans="1:20" x14ac:dyDescent="0.3">
      <c r="A301" t="s">
        <v>989</v>
      </c>
      <c r="B301">
        <v>156.58000000000001</v>
      </c>
      <c r="C301" t="s">
        <v>990</v>
      </c>
      <c r="D301" t="s">
        <v>991</v>
      </c>
      <c r="E301" t="s">
        <v>160</v>
      </c>
      <c r="F301" s="1">
        <v>45342</v>
      </c>
      <c r="G301" t="s">
        <v>992</v>
      </c>
      <c r="I301">
        <f>_xll.ciqfunctions.udf.CIQ(A301, "IQ_MARKETCAP", F301)</f>
        <v>380247.99460999999</v>
      </c>
      <c r="J301">
        <f>_xll.ciqfunctions.udf.CIQ(A301, "IQ_PRICE_VOL_HIST_6MTH", F301)</f>
        <v>13.412800000000001</v>
      </c>
      <c r="K301">
        <f>_xll.ciqfunctions.udf.CIQ(A301, "IQ_LASTSALEPRICE", WORKDAY(F301,-1))</f>
        <v>156.55000000000001</v>
      </c>
      <c r="L301">
        <f>_xll.ciqfunctions.udf.CIQ(A301, "IQ_LASTSALEPRICE", F301)</f>
        <v>157.86000000000001</v>
      </c>
      <c r="M301">
        <f>_xll.ciqfunctions.udf.CIQ(A301, "IQ_LASTSALEPRICE", WORKDAY(F301,5))</f>
        <v>160.97999999999999</v>
      </c>
      <c r="N301">
        <f t="shared" si="8"/>
        <v>8.3331165078417459E-3</v>
      </c>
      <c r="O301">
        <f t="shared" si="9"/>
        <v>2.7904685893173038E-2</v>
      </c>
      <c r="P301">
        <f>LN(_xll.ciqfunctions.udf.CIQ("XBI", "IQ_LASTSALEPRICE", WORKDAY(F301,-1))/_xll.ciqfunctions.udf.CIQ("XBI", "IQ_LASTSALEPRICE", WORKDAY(F301,1)))</f>
        <v>7.3268294580502583E-3</v>
      </c>
      <c r="Q301">
        <f>LN(_xll.ciqfunctions.udf.CIQ("XBI", "IQ_LASTSALEPRICE", WORKDAY(F301,-1))/_xll.ciqfunctions.udf.CIQ("XBI", "IQ_LASTSALEPRICE", WORKDAY(F301,5)))</f>
        <v>-9.944935934012139E-2</v>
      </c>
      <c r="R301">
        <f>_xll.ciqfunctions.udf.CIQ(A301, "IQ_SHORT_INTEREST_PERCENT", F301)</f>
        <v>0.51073000000000002</v>
      </c>
      <c r="S301">
        <f>_xll.ciqfunctions.udf.CIQ(A301, "IQ_BETA_1YR_RSQ", F301)</f>
        <v>0.12424</v>
      </c>
      <c r="T301">
        <f>_xll.ciqfunctions.udf.CIQ(A301, "IQ_VALUE_TRADED", F301)</f>
        <v>1499.94499</v>
      </c>
    </row>
    <row r="302" spans="1:20" x14ac:dyDescent="0.3">
      <c r="A302" t="s">
        <v>146</v>
      </c>
      <c r="B302">
        <v>41.19</v>
      </c>
      <c r="C302" t="s">
        <v>993</v>
      </c>
      <c r="D302" t="s">
        <v>994</v>
      </c>
      <c r="E302" t="s">
        <v>36</v>
      </c>
      <c r="F302" s="1">
        <v>45343</v>
      </c>
      <c r="G302" t="s">
        <v>995</v>
      </c>
      <c r="I302">
        <f>_xll.ciqfunctions.udf.CIQ(A302, "IQ_MARKETCAP", F302)</f>
        <v>67401.330759999997</v>
      </c>
      <c r="J302">
        <f>_xll.ciqfunctions.udf.CIQ(A302, "IQ_PRICE_VOL_HIST_6MTH", F302)</f>
        <v>18.0092</v>
      </c>
      <c r="K302">
        <f>_xll.ciqfunctions.udf.CIQ(A302, "IQ_LASTSALEPRICE", WORKDAY(F302,-1))</f>
        <v>16.777999999999999</v>
      </c>
      <c r="L302">
        <f>_xll.ciqfunctions.udf.CIQ(A302, "IQ_LASTSALEPRICE", F302)</f>
        <v>16.61</v>
      </c>
      <c r="M302">
        <f>_xll.ciqfunctions.udf.CIQ(A302, "IQ_LASTSALEPRICE", WORKDAY(F302,5))</f>
        <v>16.698</v>
      </c>
      <c r="N302">
        <f t="shared" si="8"/>
        <v>-1.0063580798899255E-2</v>
      </c>
      <c r="O302">
        <f t="shared" si="9"/>
        <v>-4.7795526522940489E-3</v>
      </c>
      <c r="P302">
        <f>LN(_xll.ciqfunctions.udf.CIQ("XBI", "IQ_LASTSALEPRICE", WORKDAY(F302,-1))/_xll.ciqfunctions.udf.CIQ("XBI", "IQ_LASTSALEPRICE", WORKDAY(F302,1)))</f>
        <v>-1.8978750100702237E-2</v>
      </c>
      <c r="Q302">
        <f>LN(_xll.ciqfunctions.udf.CIQ("XBI", "IQ_LASTSALEPRICE", WORKDAY(F302,-1))/_xll.ciqfunctions.udf.CIQ("XBI", "IQ_LASTSALEPRICE", WORKDAY(F302,5)))</f>
        <v>-9.4443816310672071E-2</v>
      </c>
      <c r="R302">
        <f>_xll.ciqfunctions.udf.CIQ(A302, "IQ_SHORT_INTEREST_PERCENT", F302)</f>
        <v>0</v>
      </c>
      <c r="S302">
        <f>_xll.ciqfunctions.udf.CIQ(A302, "IQ_BETA_1YR_RSQ", F302)</f>
        <v>3.79E-3</v>
      </c>
      <c r="T302">
        <f>_xll.ciqfunctions.udf.CIQ(A302, "IQ_VALUE_TRADED", F302)</f>
        <v>83.185519999999997</v>
      </c>
    </row>
    <row r="303" spans="1:20" x14ac:dyDescent="0.3">
      <c r="A303" t="s">
        <v>996</v>
      </c>
      <c r="B303">
        <v>0.32</v>
      </c>
      <c r="C303" t="s">
        <v>997</v>
      </c>
      <c r="D303" t="s">
        <v>998</v>
      </c>
      <c r="E303" t="s">
        <v>22</v>
      </c>
      <c r="F303" s="1">
        <v>45343</v>
      </c>
      <c r="G303" t="s">
        <v>999</v>
      </c>
      <c r="H303">
        <v>1</v>
      </c>
      <c r="I303">
        <f>_xll.ciqfunctions.udf.CIQ(A303, "IQ_MARKETCAP", F303)</f>
        <v>8.3065099999999994</v>
      </c>
      <c r="J303">
        <f>_xll.ciqfunctions.udf.CIQ(A303, "IQ_PRICE_VOL_HIST_6MTH", F303)</f>
        <v>110.1532</v>
      </c>
      <c r="K303">
        <f>_xll.ciqfunctions.udf.CIQ(A303, "IQ_LASTSALEPRICE", WORKDAY(F303,-1))</f>
        <v>19.844999999999999</v>
      </c>
      <c r="L303">
        <f>_xll.ciqfunctions.udf.CIQ(A303, "IQ_LASTSALEPRICE", F303)</f>
        <v>15.755000000000001</v>
      </c>
      <c r="M303">
        <f>_xll.ciqfunctions.udf.CIQ(A303, "IQ_LASTSALEPRICE", WORKDAY(F303,5))</f>
        <v>13</v>
      </c>
      <c r="N303">
        <f t="shared" si="8"/>
        <v>-0.2307943110257907</v>
      </c>
      <c r="O303">
        <f t="shared" si="9"/>
        <v>-0.42300272877349199</v>
      </c>
      <c r="P303">
        <f>LN(_xll.ciqfunctions.udf.CIQ("XBI", "IQ_LASTSALEPRICE", WORKDAY(F303,-1))/_xll.ciqfunctions.udf.CIQ("XBI", "IQ_LASTSALEPRICE", WORKDAY(F303,1)))</f>
        <v>-1.8978750100702237E-2</v>
      </c>
      <c r="Q303">
        <f>LN(_xll.ciqfunctions.udf.CIQ("XBI", "IQ_LASTSALEPRICE", WORKDAY(F303,-1))/_xll.ciqfunctions.udf.CIQ("XBI", "IQ_LASTSALEPRICE", WORKDAY(F303,5)))</f>
        <v>-9.4443816310672071E-2</v>
      </c>
      <c r="R303">
        <f>_xll.ciqfunctions.udf.CIQ(A303, "IQ_SHORT_INTEREST_PERCENT", F303)</f>
        <v>0.68933999999999995</v>
      </c>
      <c r="S303">
        <f>_xll.ciqfunctions.udf.CIQ(A303, "IQ_BETA_1YR_RSQ", F303)</f>
        <v>1.1999999999999999E-3</v>
      </c>
      <c r="T303">
        <f>_xll.ciqfunctions.udf.CIQ(A303, "IQ_VALUE_TRADED", F303)</f>
        <v>6.5030000000000001</v>
      </c>
    </row>
    <row r="304" spans="1:20" x14ac:dyDescent="0.3">
      <c r="A304" t="s">
        <v>1000</v>
      </c>
      <c r="B304">
        <v>3.22</v>
      </c>
      <c r="C304" t="s">
        <v>1001</v>
      </c>
      <c r="D304" t="s">
        <v>1002</v>
      </c>
      <c r="E304" t="s">
        <v>76</v>
      </c>
      <c r="F304" s="1">
        <v>45343</v>
      </c>
      <c r="G304" t="s">
        <v>1003</v>
      </c>
      <c r="H304">
        <v>23</v>
      </c>
      <c r="I304">
        <f>_xll.ciqfunctions.udf.CIQ(A304, "IQ_MARKETCAP", F304)</f>
        <v>59.887349999999998</v>
      </c>
      <c r="J304">
        <f>_xll.ciqfunctions.udf.CIQ(A304, "IQ_PRICE_VOL_HIST_6MTH", F304)</f>
        <v>103.9678</v>
      </c>
      <c r="K304">
        <f>_xll.ciqfunctions.udf.CIQ(A304, "IQ_LASTSALEPRICE", WORKDAY(F304,-1))</f>
        <v>3.27</v>
      </c>
      <c r="L304">
        <f>_xll.ciqfunctions.udf.CIQ(A304, "IQ_LASTSALEPRICE", F304)</f>
        <v>3.22</v>
      </c>
      <c r="M304">
        <f>_xll.ciqfunctions.udf.CIQ(A304, "IQ_LASTSALEPRICE", WORKDAY(F304,5))</f>
        <v>2.92</v>
      </c>
      <c r="N304">
        <f t="shared" si="8"/>
        <v>-1.5408625352845068E-2</v>
      </c>
      <c r="O304">
        <f t="shared" si="9"/>
        <v>-0.11320636862897163</v>
      </c>
      <c r="P304">
        <f>LN(_xll.ciqfunctions.udf.CIQ("XBI", "IQ_LASTSALEPRICE", WORKDAY(F304,-1))/_xll.ciqfunctions.udf.CIQ("XBI", "IQ_LASTSALEPRICE", WORKDAY(F304,1)))</f>
        <v>-1.8978750100702237E-2</v>
      </c>
      <c r="Q304">
        <f>LN(_xll.ciqfunctions.udf.CIQ("XBI", "IQ_LASTSALEPRICE", WORKDAY(F304,-1))/_xll.ciqfunctions.udf.CIQ("XBI", "IQ_LASTSALEPRICE", WORKDAY(F304,5)))</f>
        <v>-9.4443816310672071E-2</v>
      </c>
      <c r="R304">
        <f>_xll.ciqfunctions.udf.CIQ(A304, "IQ_SHORT_INTEREST_PERCENT", F304)</f>
        <v>0.86317999999999995</v>
      </c>
      <c r="S304">
        <f>_xll.ciqfunctions.udf.CIQ(A304, "IQ_BETA_1YR_RSQ", F304)</f>
        <v>2.1770000000000001E-2</v>
      </c>
      <c r="T304">
        <f>_xll.ciqfunctions.udf.CIQ(A304, "IQ_VALUE_TRADED", F304)</f>
        <v>0.16829</v>
      </c>
    </row>
    <row r="305" spans="1:20" x14ac:dyDescent="0.3">
      <c r="A305" t="s">
        <v>1004</v>
      </c>
      <c r="B305">
        <v>1.25</v>
      </c>
      <c r="C305" t="s">
        <v>1005</v>
      </c>
      <c r="D305" t="s">
        <v>758</v>
      </c>
      <c r="E305" t="s">
        <v>197</v>
      </c>
      <c r="F305" s="1">
        <v>45343</v>
      </c>
      <c r="G305" t="s">
        <v>1006</v>
      </c>
      <c r="H305">
        <v>23</v>
      </c>
      <c r="I305">
        <f>_xll.ciqfunctions.udf.CIQ(A305, "IQ_MARKETCAP", F305)</f>
        <v>17.082550000000001</v>
      </c>
      <c r="J305">
        <f>_xll.ciqfunctions.udf.CIQ(A305, "IQ_PRICE_VOL_HIST_6MTH", F305)</f>
        <v>126.47369999999999</v>
      </c>
      <c r="K305">
        <f>_xll.ciqfunctions.udf.CIQ(A305, "IQ_LASTSALEPRICE", WORKDAY(F305,-1))</f>
        <v>1.37</v>
      </c>
      <c r="L305">
        <f>_xll.ciqfunctions.udf.CIQ(A305, "IQ_LASTSALEPRICE", F305)</f>
        <v>1.25</v>
      </c>
      <c r="M305">
        <f>_xll.ciqfunctions.udf.CIQ(A305, "IQ_LASTSALEPRICE", WORKDAY(F305,5))</f>
        <v>1.8</v>
      </c>
      <c r="N305">
        <f t="shared" si="8"/>
        <v>-9.1667188525823923E-2</v>
      </c>
      <c r="O305">
        <f t="shared" si="9"/>
        <v>0.2729759250620854</v>
      </c>
      <c r="P305">
        <f>LN(_xll.ciqfunctions.udf.CIQ("XBI", "IQ_LASTSALEPRICE", WORKDAY(F305,-1))/_xll.ciqfunctions.udf.CIQ("XBI", "IQ_LASTSALEPRICE", WORKDAY(F305,1)))</f>
        <v>-1.8978750100702237E-2</v>
      </c>
      <c r="Q305">
        <f>LN(_xll.ciqfunctions.udf.CIQ("XBI", "IQ_LASTSALEPRICE", WORKDAY(F305,-1))/_xll.ciqfunctions.udf.CIQ("XBI", "IQ_LASTSALEPRICE", WORKDAY(F305,5)))</f>
        <v>-9.4443816310672071E-2</v>
      </c>
      <c r="R305">
        <f>_xll.ciqfunctions.udf.CIQ(A305, "IQ_SHORT_INTEREST_PERCENT", F305)</f>
        <v>0.96672999999999998</v>
      </c>
      <c r="S305">
        <f>_xll.ciqfunctions.udf.CIQ(A305, "IQ_BETA_1YR_RSQ", F305)</f>
        <v>5.7680000000000002E-2</v>
      </c>
      <c r="T305">
        <f>_xll.ciqfunctions.udf.CIQ(A305, "IQ_VALUE_TRADED", F305)</f>
        <v>2.831</v>
      </c>
    </row>
    <row r="306" spans="1:20" x14ac:dyDescent="0.3">
      <c r="A306" t="s">
        <v>1007</v>
      </c>
      <c r="B306">
        <v>1.1200000000000001</v>
      </c>
      <c r="C306" t="s">
        <v>1008</v>
      </c>
      <c r="D306" t="s">
        <v>104</v>
      </c>
      <c r="E306" t="s">
        <v>89</v>
      </c>
      <c r="F306" s="1">
        <v>45344</v>
      </c>
      <c r="G306" t="s">
        <v>1009</v>
      </c>
      <c r="H306">
        <v>6</v>
      </c>
      <c r="I306">
        <f>_xll.ciqfunctions.udf.CIQ(A306, "IQ_MARKETCAP", F306)</f>
        <v>16.650369999999999</v>
      </c>
      <c r="J306">
        <f>_xll.ciqfunctions.udf.CIQ(A306, "IQ_PRICE_VOL_HIST_6MTH", F306)</f>
        <v>170.072</v>
      </c>
      <c r="K306">
        <f>_xll.ciqfunctions.udf.CIQ(A306, "IQ_LASTSALEPRICE", WORKDAY(F306,-1))</f>
        <v>2.85</v>
      </c>
      <c r="L306">
        <f>_xll.ciqfunctions.udf.CIQ(A306, "IQ_LASTSALEPRICE", F306)</f>
        <v>5.6</v>
      </c>
      <c r="M306">
        <f>_xll.ciqfunctions.udf.CIQ(A306, "IQ_LASTSALEPRICE", WORKDAY(F306,5))</f>
        <v>4.1500000000000004</v>
      </c>
      <c r="N306">
        <f t="shared" si="8"/>
        <v>0.67544760346054433</v>
      </c>
      <c r="O306">
        <f t="shared" si="9"/>
        <v>0.37578933996204783</v>
      </c>
      <c r="P306">
        <f>LN(_xll.ciqfunctions.udf.CIQ("XBI", "IQ_LASTSALEPRICE", WORKDAY(F306,-1))/_xll.ciqfunctions.udf.CIQ("XBI", "IQ_LASTSALEPRICE", WORKDAY(F306,1)))</f>
        <v>-2.4357576372988445E-2</v>
      </c>
      <c r="Q306">
        <f>LN(_xll.ciqfunctions.udf.CIQ("XBI", "IQ_LASTSALEPRICE", WORKDAY(F306,-1))/_xll.ciqfunctions.udf.CIQ("XBI", "IQ_LASTSALEPRICE", WORKDAY(F306,5)))</f>
        <v>-6.2359767848284897E-2</v>
      </c>
      <c r="R306">
        <f>_xll.ciqfunctions.udf.CIQ(A306, "IQ_SHORT_INTEREST_PERCENT", F306)</f>
        <v>0.14477000000000001</v>
      </c>
      <c r="S306">
        <f>_xll.ciqfunctions.udf.CIQ(A306, "IQ_BETA_1YR_RSQ", F306)</f>
        <v>9.7999999999999997E-3</v>
      </c>
      <c r="T306">
        <f>_xll.ciqfunctions.udf.CIQ(A306, "IQ_VALUE_TRADED", F306)</f>
        <v>171.73254</v>
      </c>
    </row>
    <row r="307" spans="1:20" x14ac:dyDescent="0.3">
      <c r="A307" t="s">
        <v>1010</v>
      </c>
      <c r="B307">
        <v>2.7</v>
      </c>
      <c r="C307" t="s">
        <v>1011</v>
      </c>
      <c r="D307" t="s">
        <v>1012</v>
      </c>
      <c r="E307" t="s">
        <v>22</v>
      </c>
      <c r="F307" s="1">
        <v>45344</v>
      </c>
      <c r="G307" t="s">
        <v>1013</v>
      </c>
      <c r="H307">
        <v>59</v>
      </c>
      <c r="I307">
        <f>_xll.ciqfunctions.udf.CIQ(A307, "IQ_MARKETCAP", F307)</f>
        <v>0</v>
      </c>
      <c r="J307">
        <f>_xll.ciqfunctions.udf.CIQ(A307, "IQ_PRICE_VOL_HIST_6MTH", F307)</f>
        <v>0</v>
      </c>
      <c r="K307">
        <f>_xll.ciqfunctions.udf.CIQ(A307, "IQ_LASTSALEPRICE", WORKDAY(F307,-1))</f>
        <v>0</v>
      </c>
      <c r="L307">
        <f>_xll.ciqfunctions.udf.CIQ(A307, "IQ_LASTSALEPRICE", F307)</f>
        <v>0</v>
      </c>
      <c r="M307">
        <f>_xll.ciqfunctions.udf.CIQ(A307, "IQ_LASTSALEPRICE", WORKDAY(F307,5))</f>
        <v>0</v>
      </c>
      <c r="N307" t="e">
        <f t="shared" si="8"/>
        <v>#DIV/0!</v>
      </c>
      <c r="O307" t="e">
        <f t="shared" si="9"/>
        <v>#DIV/0!</v>
      </c>
      <c r="P307">
        <f>LN(_xll.ciqfunctions.udf.CIQ("XBI", "IQ_LASTSALEPRICE", WORKDAY(F307,-1))/_xll.ciqfunctions.udf.CIQ("XBI", "IQ_LASTSALEPRICE", WORKDAY(F307,1)))</f>
        <v>-2.4357576372988445E-2</v>
      </c>
      <c r="Q307">
        <f>LN(_xll.ciqfunctions.udf.CIQ("XBI", "IQ_LASTSALEPRICE", WORKDAY(F307,-1))/_xll.ciqfunctions.udf.CIQ("XBI", "IQ_LASTSALEPRICE", WORKDAY(F307,5)))</f>
        <v>-6.2359767848284897E-2</v>
      </c>
      <c r="R307">
        <f>_xll.ciqfunctions.udf.CIQ(A307, "IQ_SHORT_INTEREST_PERCENT", F307)</f>
        <v>0</v>
      </c>
      <c r="S307">
        <f>_xll.ciqfunctions.udf.CIQ(A307, "IQ_BETA_1YR_RSQ", F307)</f>
        <v>0</v>
      </c>
      <c r="T307">
        <f>_xll.ciqfunctions.udf.CIQ(A307, "IQ_VALUE_TRADED", F307)</f>
        <v>0</v>
      </c>
    </row>
    <row r="308" spans="1:20" x14ac:dyDescent="0.3">
      <c r="A308" t="s">
        <v>1014</v>
      </c>
      <c r="B308">
        <v>31.54</v>
      </c>
      <c r="C308" t="s">
        <v>1015</v>
      </c>
      <c r="D308" t="s">
        <v>1016</v>
      </c>
      <c r="E308" t="s">
        <v>124</v>
      </c>
      <c r="F308" s="1">
        <v>45344</v>
      </c>
      <c r="G308" t="s">
        <v>1017</v>
      </c>
      <c r="H308">
        <v>42</v>
      </c>
      <c r="I308">
        <f>_xll.ciqfunctions.udf.CIQ(A308, "IQ_MARKETCAP", F308)</f>
        <v>1044.1194599999999</v>
      </c>
      <c r="J308">
        <f>_xll.ciqfunctions.udf.CIQ(A308, "IQ_PRICE_VOL_HIST_6MTH", F308)</f>
        <v>59.218400000000003</v>
      </c>
      <c r="K308">
        <f>_xll.ciqfunctions.udf.CIQ(A308, "IQ_LASTSALEPRICE", WORKDAY(F308,-1))</f>
        <v>30.13</v>
      </c>
      <c r="L308">
        <f>_xll.ciqfunctions.udf.CIQ(A308, "IQ_LASTSALEPRICE", F308)</f>
        <v>31.54</v>
      </c>
      <c r="M308">
        <f>_xll.ciqfunctions.udf.CIQ(A308, "IQ_LASTSALEPRICE", WORKDAY(F308,5))</f>
        <v>38.22</v>
      </c>
      <c r="N308">
        <f t="shared" si="8"/>
        <v>4.5735228392682362E-2</v>
      </c>
      <c r="O308">
        <f t="shared" si="9"/>
        <v>0.23783758566991708</v>
      </c>
      <c r="P308">
        <f>LN(_xll.ciqfunctions.udf.CIQ("XBI", "IQ_LASTSALEPRICE", WORKDAY(F308,-1))/_xll.ciqfunctions.udf.CIQ("XBI", "IQ_LASTSALEPRICE", WORKDAY(F308,1)))</f>
        <v>-2.4357576372988445E-2</v>
      </c>
      <c r="Q308">
        <f>LN(_xll.ciqfunctions.udf.CIQ("XBI", "IQ_LASTSALEPRICE", WORKDAY(F308,-1))/_xll.ciqfunctions.udf.CIQ("XBI", "IQ_LASTSALEPRICE", WORKDAY(F308,5)))</f>
        <v>-6.2359767848284897E-2</v>
      </c>
      <c r="R308">
        <f>_xll.ciqfunctions.udf.CIQ(A308, "IQ_SHORT_INTEREST_PERCENT", F308)</f>
        <v>16.403780000000001</v>
      </c>
      <c r="S308">
        <f>_xll.ciqfunctions.udf.CIQ(A308, "IQ_BETA_1YR_RSQ", F308)</f>
        <v>5.6270000000000001E-2</v>
      </c>
      <c r="T308">
        <f>_xll.ciqfunctions.udf.CIQ(A308, "IQ_VALUE_TRADED", F308)</f>
        <v>26.205670000000001</v>
      </c>
    </row>
    <row r="309" spans="1:20" x14ac:dyDescent="0.3">
      <c r="A309" t="s">
        <v>29</v>
      </c>
      <c r="B309">
        <v>10.67</v>
      </c>
      <c r="C309" t="s">
        <v>1018</v>
      </c>
      <c r="D309" t="s">
        <v>1019</v>
      </c>
      <c r="E309" t="s">
        <v>89</v>
      </c>
      <c r="F309" s="1">
        <v>45344</v>
      </c>
      <c r="G309" t="s">
        <v>1020</v>
      </c>
      <c r="H309">
        <v>3</v>
      </c>
      <c r="I309">
        <f>_xll.ciqfunctions.udf.CIQ(A309, "IQ_MARKETCAP", F309)</f>
        <v>5.3048200000000003</v>
      </c>
      <c r="J309">
        <f>_xll.ciqfunctions.udf.CIQ(A309, "IQ_PRICE_VOL_HIST_6MTH", F309)</f>
        <v>169.26089999999999</v>
      </c>
      <c r="K309">
        <f>_xll.ciqfunctions.udf.CIQ(A309, "IQ_LASTSALEPRICE", WORKDAY(F309,-1))</f>
        <v>11.205030000000001</v>
      </c>
      <c r="L309">
        <f>_xll.ciqfunctions.udf.CIQ(A309, "IQ_LASTSALEPRICE", F309)</f>
        <v>10.66503</v>
      </c>
      <c r="M309">
        <f>_xll.ciqfunctions.udf.CIQ(A309, "IQ_LASTSALEPRICE", WORKDAY(F309,5))</f>
        <v>11.37753</v>
      </c>
      <c r="N309">
        <f t="shared" si="8"/>
        <v>-4.9392619766598152E-2</v>
      </c>
      <c r="O309">
        <f t="shared" si="9"/>
        <v>1.5277573062830629E-2</v>
      </c>
      <c r="P309">
        <f>LN(_xll.ciqfunctions.udf.CIQ("XBI", "IQ_LASTSALEPRICE", WORKDAY(F309,-1))/_xll.ciqfunctions.udf.CIQ("XBI", "IQ_LASTSALEPRICE", WORKDAY(F309,1)))</f>
        <v>-2.4357576372988445E-2</v>
      </c>
      <c r="Q309">
        <f>LN(_xll.ciqfunctions.udf.CIQ("XBI", "IQ_LASTSALEPRICE", WORKDAY(F309,-1))/_xll.ciqfunctions.udf.CIQ("XBI", "IQ_LASTSALEPRICE", WORKDAY(F309,5)))</f>
        <v>-6.2359767848284897E-2</v>
      </c>
      <c r="R309">
        <f>_xll.ciqfunctions.udf.CIQ(A309, "IQ_SHORT_INTEREST_PERCENT", F309)</f>
        <v>1.81549</v>
      </c>
      <c r="S309">
        <f>_xll.ciqfunctions.udf.CIQ(A309, "IQ_BETA_1YR_RSQ", F309)</f>
        <v>2.3900000000000002E-3</v>
      </c>
      <c r="T309">
        <f>_xll.ciqfunctions.udf.CIQ(A309, "IQ_VALUE_TRADED", F309)</f>
        <v>0.29388999999999998</v>
      </c>
    </row>
    <row r="310" spans="1:20" x14ac:dyDescent="0.3">
      <c r="A310" t="s">
        <v>1021</v>
      </c>
      <c r="B310">
        <v>27.78</v>
      </c>
      <c r="C310" t="s">
        <v>1022</v>
      </c>
      <c r="D310" t="s">
        <v>1023</v>
      </c>
      <c r="E310" t="s">
        <v>76</v>
      </c>
      <c r="F310" s="1">
        <v>45344</v>
      </c>
      <c r="G310" t="s">
        <v>1024</v>
      </c>
      <c r="H310">
        <v>54</v>
      </c>
      <c r="I310">
        <f>_xll.ciqfunctions.udf.CIQ(A310, "IQ_MARKETCAP", F310)</f>
        <v>1447.57899</v>
      </c>
      <c r="J310">
        <f>_xll.ciqfunctions.udf.CIQ(A310, "IQ_PRICE_VOL_HIST_6MTH", F310)</f>
        <v>75.608500000000006</v>
      </c>
      <c r="K310">
        <f>_xll.ciqfunctions.udf.CIQ(A310, "IQ_LASTSALEPRICE", WORKDAY(F310,-1))</f>
        <v>27.81</v>
      </c>
      <c r="L310">
        <f>_xll.ciqfunctions.udf.CIQ(A310, "IQ_LASTSALEPRICE", F310)</f>
        <v>27.78</v>
      </c>
      <c r="M310">
        <f>_xll.ciqfunctions.udf.CIQ(A310, "IQ_LASTSALEPRICE", WORKDAY(F310,5))</f>
        <v>22.94</v>
      </c>
      <c r="N310">
        <f t="shared" si="8"/>
        <v>-1.0793309196756831E-3</v>
      </c>
      <c r="O310">
        <f t="shared" si="9"/>
        <v>-0.19251355654464877</v>
      </c>
      <c r="P310">
        <f>LN(_xll.ciqfunctions.udf.CIQ("XBI", "IQ_LASTSALEPRICE", WORKDAY(F310,-1))/_xll.ciqfunctions.udf.CIQ("XBI", "IQ_LASTSALEPRICE", WORKDAY(F310,1)))</f>
        <v>-2.4357576372988445E-2</v>
      </c>
      <c r="Q310">
        <f>LN(_xll.ciqfunctions.udf.CIQ("XBI", "IQ_LASTSALEPRICE", WORKDAY(F310,-1))/_xll.ciqfunctions.udf.CIQ("XBI", "IQ_LASTSALEPRICE", WORKDAY(F310,5)))</f>
        <v>-6.2359767848284897E-2</v>
      </c>
      <c r="R310">
        <f>_xll.ciqfunctions.udf.CIQ(A310, "IQ_SHORT_INTEREST_PERCENT", F310)</f>
        <v>0.40738999999999997</v>
      </c>
      <c r="S310">
        <f>_xll.ciqfunctions.udf.CIQ(A310, "IQ_BETA_1YR_RSQ", F310)</f>
        <v>0.14888999999999999</v>
      </c>
      <c r="T310">
        <f>_xll.ciqfunctions.udf.CIQ(A310, "IQ_VALUE_TRADED", F310)</f>
        <v>2.28979</v>
      </c>
    </row>
    <row r="311" spans="1:20" x14ac:dyDescent="0.3">
      <c r="A311" t="s">
        <v>1025</v>
      </c>
      <c r="B311">
        <v>6.74</v>
      </c>
      <c r="C311" t="s">
        <v>1026</v>
      </c>
      <c r="D311" t="s">
        <v>594</v>
      </c>
      <c r="E311" t="s">
        <v>36</v>
      </c>
      <c r="F311" s="1">
        <v>45344</v>
      </c>
      <c r="G311" t="s">
        <v>1027</v>
      </c>
      <c r="H311">
        <v>31</v>
      </c>
      <c r="I311">
        <f>_xll.ciqfunctions.udf.CIQ(A311, "IQ_MARKETCAP", F311)</f>
        <v>187.13093000000001</v>
      </c>
      <c r="J311">
        <f>_xll.ciqfunctions.udf.CIQ(A311, "IQ_PRICE_VOL_HIST_6MTH", F311)</f>
        <v>73.983099999999993</v>
      </c>
      <c r="K311">
        <f>_xll.ciqfunctions.udf.CIQ(A311, "IQ_LASTSALEPRICE", WORKDAY(F311,-1))</f>
        <v>6.66</v>
      </c>
      <c r="L311">
        <f>_xll.ciqfunctions.udf.CIQ(A311, "IQ_LASTSALEPRICE", F311)</f>
        <v>6.74</v>
      </c>
      <c r="M311">
        <f>_xll.ciqfunctions.udf.CIQ(A311, "IQ_LASTSALEPRICE", WORKDAY(F311,5))</f>
        <v>8.5299999999999994</v>
      </c>
      <c r="N311">
        <f t="shared" si="8"/>
        <v>1.1940440371917849E-2</v>
      </c>
      <c r="O311">
        <f t="shared" si="9"/>
        <v>0.24746987695128994</v>
      </c>
      <c r="P311">
        <f>LN(_xll.ciqfunctions.udf.CIQ("XBI", "IQ_LASTSALEPRICE", WORKDAY(F311,-1))/_xll.ciqfunctions.udf.CIQ("XBI", "IQ_LASTSALEPRICE", WORKDAY(F311,1)))</f>
        <v>-2.4357576372988445E-2</v>
      </c>
      <c r="Q311">
        <f>LN(_xll.ciqfunctions.udf.CIQ("XBI", "IQ_LASTSALEPRICE", WORKDAY(F311,-1))/_xll.ciqfunctions.udf.CIQ("XBI", "IQ_LASTSALEPRICE", WORKDAY(F311,5)))</f>
        <v>-6.2359767848284897E-2</v>
      </c>
      <c r="R311">
        <f>_xll.ciqfunctions.udf.CIQ(A311, "IQ_SHORT_INTEREST_PERCENT", F311)</f>
        <v>6.6645200000000004</v>
      </c>
      <c r="S311">
        <f>_xll.ciqfunctions.udf.CIQ(A311, "IQ_BETA_1YR_RSQ", F311)</f>
        <v>8.5919999999999996E-2</v>
      </c>
      <c r="T311">
        <f>_xll.ciqfunctions.udf.CIQ(A311, "IQ_VALUE_TRADED", F311)</f>
        <v>0.94735000000000003</v>
      </c>
    </row>
    <row r="312" spans="1:20" x14ac:dyDescent="0.3">
      <c r="A312" t="s">
        <v>1028</v>
      </c>
      <c r="B312">
        <v>0.36</v>
      </c>
      <c r="C312" t="s">
        <v>1029</v>
      </c>
      <c r="D312" t="s">
        <v>1030</v>
      </c>
      <c r="E312" t="s">
        <v>17</v>
      </c>
      <c r="F312" s="1">
        <v>45344</v>
      </c>
      <c r="G312" t="s">
        <v>1031</v>
      </c>
      <c r="H312">
        <v>154</v>
      </c>
      <c r="I312">
        <f>_xll.ciqfunctions.udf.CIQ(A312, "IQ_MARKETCAP", F312)</f>
        <v>47.550910000000002</v>
      </c>
      <c r="J312">
        <f>_xll.ciqfunctions.udf.CIQ(A312, "IQ_PRICE_VOL_HIST_6MTH", F312)</f>
        <v>0</v>
      </c>
      <c r="K312">
        <f>_xll.ciqfunctions.udf.CIQ(A312, "IQ_LASTSALEPRICE", WORKDAY(F312,-1))</f>
        <v>0</v>
      </c>
      <c r="L312">
        <f>_xll.ciqfunctions.udf.CIQ(A312, "IQ_LASTSALEPRICE", F312)</f>
        <v>0</v>
      </c>
      <c r="M312">
        <f>_xll.ciqfunctions.udf.CIQ(A312, "IQ_LASTSALEPRICE", WORKDAY(F312,5))</f>
        <v>0</v>
      </c>
      <c r="N312" t="e">
        <f t="shared" si="8"/>
        <v>#DIV/0!</v>
      </c>
      <c r="O312" t="e">
        <f t="shared" si="9"/>
        <v>#DIV/0!</v>
      </c>
      <c r="P312">
        <f>LN(_xll.ciqfunctions.udf.CIQ("XBI", "IQ_LASTSALEPRICE", WORKDAY(F312,-1))/_xll.ciqfunctions.udf.CIQ("XBI", "IQ_LASTSALEPRICE", WORKDAY(F312,1)))</f>
        <v>-2.4357576372988445E-2</v>
      </c>
      <c r="Q312">
        <f>LN(_xll.ciqfunctions.udf.CIQ("XBI", "IQ_LASTSALEPRICE", WORKDAY(F312,-1))/_xll.ciqfunctions.udf.CIQ("XBI", "IQ_LASTSALEPRICE", WORKDAY(F312,5)))</f>
        <v>-6.2359767848284897E-2</v>
      </c>
      <c r="R312">
        <f>_xll.ciqfunctions.udf.CIQ(A312, "IQ_SHORT_INTEREST_PERCENT", F312)</f>
        <v>0</v>
      </c>
      <c r="S312">
        <f>_xll.ciqfunctions.udf.CIQ(A312, "IQ_BETA_1YR_RSQ", F312)</f>
        <v>0</v>
      </c>
      <c r="T312">
        <f>_xll.ciqfunctions.udf.CIQ(A312, "IQ_VALUE_TRADED", F312)</f>
        <v>0</v>
      </c>
    </row>
    <row r="313" spans="1:20" x14ac:dyDescent="0.3">
      <c r="A313" t="s">
        <v>1032</v>
      </c>
      <c r="B313">
        <v>5.77</v>
      </c>
      <c r="C313" t="s">
        <v>1033</v>
      </c>
      <c r="D313" t="s">
        <v>188</v>
      </c>
      <c r="E313" t="s">
        <v>76</v>
      </c>
      <c r="F313" s="1">
        <v>45344</v>
      </c>
      <c r="G313" t="s">
        <v>1034</v>
      </c>
      <c r="H313">
        <v>71</v>
      </c>
      <c r="I313">
        <f>_xll.ciqfunctions.udf.CIQ(A313, "IQ_MARKETCAP", F313)</f>
        <v>340.58539000000002</v>
      </c>
      <c r="J313">
        <f>_xll.ciqfunctions.udf.CIQ(A313, "IQ_PRICE_VOL_HIST_6MTH", F313)</f>
        <v>256.68209999999999</v>
      </c>
      <c r="K313">
        <f>_xll.ciqfunctions.udf.CIQ(A313, "IQ_LASTSALEPRICE", WORKDAY(F313,-1))</f>
        <v>5.04</v>
      </c>
      <c r="L313">
        <f>_xll.ciqfunctions.udf.CIQ(A313, "IQ_LASTSALEPRICE", F313)</f>
        <v>5.77</v>
      </c>
      <c r="M313">
        <f>_xll.ciqfunctions.udf.CIQ(A313, "IQ_LASTSALEPRICE", WORKDAY(F313,5))</f>
        <v>7.08</v>
      </c>
      <c r="N313">
        <f t="shared" si="8"/>
        <v>0.13526599843673087</v>
      </c>
      <c r="O313">
        <f t="shared" si="9"/>
        <v>0.33986782562235107</v>
      </c>
      <c r="P313">
        <f>LN(_xll.ciqfunctions.udf.CIQ("XBI", "IQ_LASTSALEPRICE", WORKDAY(F313,-1))/_xll.ciqfunctions.udf.CIQ("XBI", "IQ_LASTSALEPRICE", WORKDAY(F313,1)))</f>
        <v>-2.4357576372988445E-2</v>
      </c>
      <c r="Q313">
        <f>LN(_xll.ciqfunctions.udf.CIQ("XBI", "IQ_LASTSALEPRICE", WORKDAY(F313,-1))/_xll.ciqfunctions.udf.CIQ("XBI", "IQ_LASTSALEPRICE", WORKDAY(F313,5)))</f>
        <v>-6.2359767848284897E-2</v>
      </c>
      <c r="R313">
        <f>_xll.ciqfunctions.udf.CIQ(A313, "IQ_SHORT_INTEREST_PERCENT", F313)</f>
        <v>8.2329899999999991</v>
      </c>
      <c r="S313">
        <f>_xll.ciqfunctions.udf.CIQ(A313, "IQ_BETA_1YR_RSQ", F313)</f>
        <v>1.49E-2</v>
      </c>
      <c r="T313">
        <f>_xll.ciqfunctions.udf.CIQ(A313, "IQ_VALUE_TRADED", F313)</f>
        <v>81.754959999999997</v>
      </c>
    </row>
    <row r="314" spans="1:20" x14ac:dyDescent="0.3">
      <c r="A314" t="s">
        <v>385</v>
      </c>
      <c r="B314">
        <v>981.2</v>
      </c>
      <c r="C314" t="s">
        <v>1035</v>
      </c>
      <c r="D314" t="s">
        <v>140</v>
      </c>
      <c r="E314" t="s">
        <v>1036</v>
      </c>
      <c r="F314" s="1">
        <v>45345</v>
      </c>
      <c r="G314" t="s">
        <v>1037</v>
      </c>
      <c r="H314">
        <v>105</v>
      </c>
      <c r="I314">
        <f>_xll.ciqfunctions.udf.CIQ(A314, "IQ_MARKETCAP", F314)</f>
        <v>105441.61236</v>
      </c>
      <c r="J314">
        <f>_xll.ciqfunctions.udf.CIQ(A314, "IQ_PRICE_VOL_HIST_6MTH", F314)</f>
        <v>16.847000000000001</v>
      </c>
      <c r="K314">
        <f>_xll.ciqfunctions.udf.CIQ(A314, "IQ_LASTSALEPRICE", WORKDAY(F314,-1))</f>
        <v>964.89</v>
      </c>
      <c r="L314">
        <f>_xll.ciqfunctions.udf.CIQ(A314, "IQ_LASTSALEPRICE", F314)</f>
        <v>981.2</v>
      </c>
      <c r="M314">
        <f>_xll.ciqfunctions.udf.CIQ(A314, "IQ_LASTSALEPRICE", WORKDAY(F314,5))</f>
        <v>982.82</v>
      </c>
      <c r="N314">
        <f t="shared" si="8"/>
        <v>1.6762207179966546E-2</v>
      </c>
      <c r="O314">
        <f t="shared" si="9"/>
        <v>1.8411885255947572E-2</v>
      </c>
      <c r="P314">
        <f>LN(_xll.ciqfunctions.udf.CIQ("XBI", "IQ_LASTSALEPRICE", WORKDAY(F314,-1))/_xll.ciqfunctions.udf.CIQ("XBI", "IQ_LASTSALEPRICE", WORKDAY(F314,1)))</f>
        <v>-3.3320749302146825E-2</v>
      </c>
      <c r="Q314">
        <f>LN(_xll.ciqfunctions.udf.CIQ("XBI", "IQ_LASTSALEPRICE", WORKDAY(F314,-1))/_xll.ciqfunctions.udf.CIQ("XBI", "IQ_LASTSALEPRICE", WORKDAY(F314,5)))</f>
        <v>-7.5465066209969844E-2</v>
      </c>
      <c r="R314">
        <f>_xll.ciqfunctions.udf.CIQ(A314, "IQ_SHORT_INTEREST_PERCENT", F314)</f>
        <v>1.16344</v>
      </c>
      <c r="S314">
        <f>_xll.ciqfunctions.udf.CIQ(A314, "IQ_BETA_1YR_RSQ", F314)</f>
        <v>0.13894999999999999</v>
      </c>
      <c r="T314">
        <f>_xll.ciqfunctions.udf.CIQ(A314, "IQ_VALUE_TRADED", F314)</f>
        <v>431.35613000000001</v>
      </c>
    </row>
    <row r="315" spans="1:20" x14ac:dyDescent="0.3">
      <c r="A315" t="s">
        <v>749</v>
      </c>
      <c r="B315">
        <v>1.49</v>
      </c>
      <c r="C315" t="s">
        <v>1038</v>
      </c>
      <c r="D315" t="s">
        <v>218</v>
      </c>
      <c r="E315" t="s">
        <v>89</v>
      </c>
      <c r="F315" s="1">
        <v>45345</v>
      </c>
      <c r="G315" t="s">
        <v>1039</v>
      </c>
      <c r="I315">
        <f>_xll.ciqfunctions.udf.CIQ(A315, "IQ_MARKETCAP", F315)</f>
        <v>3.90306</v>
      </c>
      <c r="J315">
        <f>_xll.ciqfunctions.udf.CIQ(A315, "IQ_PRICE_VOL_HIST_6MTH", F315)</f>
        <v>167.28290000000001</v>
      </c>
      <c r="K315">
        <f>_xll.ciqfunctions.udf.CIQ(A315, "IQ_LASTSALEPRICE", WORKDAY(F315,-1))</f>
        <v>385</v>
      </c>
      <c r="L315">
        <f>_xll.ciqfunctions.udf.CIQ(A315, "IQ_LASTSALEPRICE", F315)</f>
        <v>372.5</v>
      </c>
      <c r="M315">
        <f>_xll.ciqfunctions.udf.CIQ(A315, "IQ_LASTSALEPRICE", WORKDAY(F315,5))</f>
        <v>340</v>
      </c>
      <c r="N315">
        <f t="shared" si="8"/>
        <v>-3.3006296468169972E-2</v>
      </c>
      <c r="O315">
        <f t="shared" si="9"/>
        <v>-0.12429771667757719</v>
      </c>
      <c r="P315">
        <f>LN(_xll.ciqfunctions.udf.CIQ("XBI", "IQ_LASTSALEPRICE", WORKDAY(F315,-1))/_xll.ciqfunctions.udf.CIQ("XBI", "IQ_LASTSALEPRICE", WORKDAY(F315,1)))</f>
        <v>-3.3320749302146825E-2</v>
      </c>
      <c r="Q315">
        <f>LN(_xll.ciqfunctions.udf.CIQ("XBI", "IQ_LASTSALEPRICE", WORKDAY(F315,-1))/_xll.ciqfunctions.udf.CIQ("XBI", "IQ_LASTSALEPRICE", WORKDAY(F315,5)))</f>
        <v>-7.5465066209969844E-2</v>
      </c>
      <c r="R315">
        <f>_xll.ciqfunctions.udf.CIQ(A315, "IQ_SHORT_INTEREST_PERCENT", F315)</f>
        <v>1.78874</v>
      </c>
      <c r="S315">
        <f>_xll.ciqfunctions.udf.CIQ(A315, "IQ_BETA_1YR_RSQ", F315)</f>
        <v>0</v>
      </c>
      <c r="T315">
        <f>_xll.ciqfunctions.udf.CIQ(A315, "IQ_VALUE_TRADED", F315)</f>
        <v>6.1574299999999997</v>
      </c>
    </row>
    <row r="316" spans="1:20" x14ac:dyDescent="0.3">
      <c r="A316" t="s">
        <v>1040</v>
      </c>
      <c r="B316">
        <v>7.44</v>
      </c>
      <c r="C316" t="s">
        <v>1041</v>
      </c>
      <c r="D316" t="s">
        <v>1042</v>
      </c>
      <c r="E316" t="s">
        <v>46</v>
      </c>
      <c r="F316" s="1">
        <v>45345</v>
      </c>
      <c r="G316" t="s">
        <v>1043</v>
      </c>
      <c r="H316">
        <v>139</v>
      </c>
      <c r="I316">
        <f>_xll.ciqfunctions.udf.CIQ(A316, "IQ_MARKETCAP", F316)</f>
        <v>772.58631000000003</v>
      </c>
      <c r="J316">
        <f>_xll.ciqfunctions.udf.CIQ(A316, "IQ_PRICE_VOL_HIST_6MTH", F316)</f>
        <v>147.52969999999999</v>
      </c>
      <c r="K316">
        <f>_xll.ciqfunctions.udf.CIQ(A316, "IQ_LASTSALEPRICE", WORKDAY(F316,-1))</f>
        <v>8.9499999999999993</v>
      </c>
      <c r="L316">
        <f>_xll.ciqfunctions.udf.CIQ(A316, "IQ_LASTSALEPRICE", F316)</f>
        <v>7.44</v>
      </c>
      <c r="M316">
        <f>_xll.ciqfunctions.udf.CIQ(A316, "IQ_LASTSALEPRICE", WORKDAY(F316,5))</f>
        <v>7.23</v>
      </c>
      <c r="N316">
        <f t="shared" si="8"/>
        <v>-0.18478268344176335</v>
      </c>
      <c r="O316">
        <f t="shared" si="9"/>
        <v>-0.21341449611609056</v>
      </c>
      <c r="P316">
        <f>LN(_xll.ciqfunctions.udf.CIQ("XBI", "IQ_LASTSALEPRICE", WORKDAY(F316,-1))/_xll.ciqfunctions.udf.CIQ("XBI", "IQ_LASTSALEPRICE", WORKDAY(F316,1)))</f>
        <v>-3.3320749302146825E-2</v>
      </c>
      <c r="Q316">
        <f>LN(_xll.ciqfunctions.udf.CIQ("XBI", "IQ_LASTSALEPRICE", WORKDAY(F316,-1))/_xll.ciqfunctions.udf.CIQ("XBI", "IQ_LASTSALEPRICE", WORKDAY(F316,5)))</f>
        <v>-7.5465066209969844E-2</v>
      </c>
      <c r="R316">
        <f>_xll.ciqfunctions.udf.CIQ(A316, "IQ_SHORT_INTEREST_PERCENT", F316)</f>
        <v>4.8522800000000004</v>
      </c>
      <c r="S316">
        <f>_xll.ciqfunctions.udf.CIQ(A316, "IQ_BETA_1YR_RSQ", F316)</f>
        <v>1.532E-2</v>
      </c>
      <c r="T316">
        <f>_xll.ciqfunctions.udf.CIQ(A316, "IQ_VALUE_TRADED", F316)</f>
        <v>38.359310000000001</v>
      </c>
    </row>
    <row r="317" spans="1:20" x14ac:dyDescent="0.3">
      <c r="A317" t="s">
        <v>304</v>
      </c>
      <c r="B317">
        <v>1.88</v>
      </c>
      <c r="C317" t="s">
        <v>305</v>
      </c>
      <c r="D317" t="s">
        <v>306</v>
      </c>
      <c r="E317" t="s">
        <v>17</v>
      </c>
      <c r="F317" s="1">
        <v>45345</v>
      </c>
      <c r="G317" t="s">
        <v>1044</v>
      </c>
      <c r="H317">
        <v>5</v>
      </c>
      <c r="I317">
        <f>_xll.ciqfunctions.udf.CIQ(A317, "IQ_MARKETCAP", F317)</f>
        <v>5.9587899999999996</v>
      </c>
      <c r="J317">
        <f>_xll.ciqfunctions.udf.CIQ(A317, "IQ_PRICE_VOL_HIST_6MTH", F317)</f>
        <v>195.53790000000001</v>
      </c>
      <c r="K317">
        <f>_xll.ciqfunctions.udf.CIQ(A317, "IQ_LASTSALEPRICE", WORKDAY(F317,-1))</f>
        <v>1.86</v>
      </c>
      <c r="L317">
        <f>_xll.ciqfunctions.udf.CIQ(A317, "IQ_LASTSALEPRICE", F317)</f>
        <v>1.88</v>
      </c>
      <c r="M317">
        <f>_xll.ciqfunctions.udf.CIQ(A317, "IQ_LASTSALEPRICE", WORKDAY(F317,5))</f>
        <v>1.59</v>
      </c>
      <c r="N317">
        <f t="shared" si="8"/>
        <v>1.069528911674795E-2</v>
      </c>
      <c r="O317">
        <f t="shared" si="9"/>
        <v>-0.1568424714929697</v>
      </c>
      <c r="P317">
        <f>LN(_xll.ciqfunctions.udf.CIQ("XBI", "IQ_LASTSALEPRICE", WORKDAY(F317,-1))/_xll.ciqfunctions.udf.CIQ("XBI", "IQ_LASTSALEPRICE", WORKDAY(F317,1)))</f>
        <v>-3.3320749302146825E-2</v>
      </c>
      <c r="Q317">
        <f>LN(_xll.ciqfunctions.udf.CIQ("XBI", "IQ_LASTSALEPRICE", WORKDAY(F317,-1))/_xll.ciqfunctions.udf.CIQ("XBI", "IQ_LASTSALEPRICE", WORKDAY(F317,5)))</f>
        <v>-7.5465066209969844E-2</v>
      </c>
      <c r="R317">
        <f>_xll.ciqfunctions.udf.CIQ(A317, "IQ_SHORT_INTEREST_PERCENT", F317)</f>
        <v>4.6180099999999999</v>
      </c>
      <c r="S317">
        <f>_xll.ciqfunctions.udf.CIQ(A317, "IQ_BETA_1YR_RSQ", F317)</f>
        <v>4.6999999999999999E-4</v>
      </c>
      <c r="T317">
        <f>_xll.ciqfunctions.udf.CIQ(A317, "IQ_VALUE_TRADED", F317)</f>
        <v>6.65083</v>
      </c>
    </row>
    <row r="318" spans="1:20" x14ac:dyDescent="0.3">
      <c r="A318" t="s">
        <v>749</v>
      </c>
      <c r="B318">
        <v>1.49</v>
      </c>
      <c r="C318" t="s">
        <v>1045</v>
      </c>
      <c r="D318" t="s">
        <v>1046</v>
      </c>
      <c r="E318" t="s">
        <v>22</v>
      </c>
      <c r="F318" s="1">
        <v>45345</v>
      </c>
      <c r="G318" t="s">
        <v>1047</v>
      </c>
      <c r="I318">
        <f>_xll.ciqfunctions.udf.CIQ(A318, "IQ_MARKETCAP", F318)</f>
        <v>3.90306</v>
      </c>
      <c r="J318">
        <f>_xll.ciqfunctions.udf.CIQ(A318, "IQ_PRICE_VOL_HIST_6MTH", F318)</f>
        <v>167.28290000000001</v>
      </c>
      <c r="K318">
        <f>_xll.ciqfunctions.udf.CIQ(A318, "IQ_LASTSALEPRICE", WORKDAY(F318,-1))</f>
        <v>385</v>
      </c>
      <c r="L318">
        <f>_xll.ciqfunctions.udf.CIQ(A318, "IQ_LASTSALEPRICE", F318)</f>
        <v>372.5</v>
      </c>
      <c r="M318">
        <f>_xll.ciqfunctions.udf.CIQ(A318, "IQ_LASTSALEPRICE", WORKDAY(F318,5))</f>
        <v>340</v>
      </c>
      <c r="N318">
        <f t="shared" si="8"/>
        <v>-3.3006296468169972E-2</v>
      </c>
      <c r="O318">
        <f t="shared" si="9"/>
        <v>-0.12429771667757719</v>
      </c>
      <c r="P318">
        <f>LN(_xll.ciqfunctions.udf.CIQ("XBI", "IQ_LASTSALEPRICE", WORKDAY(F318,-1))/_xll.ciqfunctions.udf.CIQ("XBI", "IQ_LASTSALEPRICE", WORKDAY(F318,1)))</f>
        <v>-3.3320749302146825E-2</v>
      </c>
      <c r="Q318">
        <f>LN(_xll.ciqfunctions.udf.CIQ("XBI", "IQ_LASTSALEPRICE", WORKDAY(F318,-1))/_xll.ciqfunctions.udf.CIQ("XBI", "IQ_LASTSALEPRICE", WORKDAY(F318,5)))</f>
        <v>-7.5465066209969844E-2</v>
      </c>
      <c r="R318">
        <f>_xll.ciqfunctions.udf.CIQ(A318, "IQ_SHORT_INTEREST_PERCENT", F318)</f>
        <v>1.78874</v>
      </c>
      <c r="S318">
        <f>_xll.ciqfunctions.udf.CIQ(A318, "IQ_BETA_1YR_RSQ", F318)</f>
        <v>0</v>
      </c>
      <c r="T318">
        <f>_xll.ciqfunctions.udf.CIQ(A318, "IQ_VALUE_TRADED", F318)</f>
        <v>6.1574299999999997</v>
      </c>
    </row>
    <row r="319" spans="1:20" x14ac:dyDescent="0.3">
      <c r="A319" t="s">
        <v>52</v>
      </c>
      <c r="B319">
        <v>12.89</v>
      </c>
      <c r="C319" t="s">
        <v>437</v>
      </c>
      <c r="D319" t="s">
        <v>438</v>
      </c>
      <c r="E319" t="s">
        <v>160</v>
      </c>
      <c r="F319" s="1">
        <v>45345</v>
      </c>
      <c r="G319" t="s">
        <v>1048</v>
      </c>
      <c r="I319">
        <f>_xll.ciqfunctions.udf.CIQ(A319, "IQ_MARKETCAP", F319)</f>
        <v>14449.592000000001</v>
      </c>
      <c r="J319">
        <f>_xll.ciqfunctions.udf.CIQ(A319, "IQ_PRICE_VOL_HIST_6MTH", F319)</f>
        <v>35.284700000000001</v>
      </c>
      <c r="K319">
        <f>_xll.ciqfunctions.udf.CIQ(A319, "IQ_LASTSALEPRICE", WORKDAY(F319,-1))</f>
        <v>13.05</v>
      </c>
      <c r="L319">
        <f>_xll.ciqfunctions.udf.CIQ(A319, "IQ_LASTSALEPRICE", F319)</f>
        <v>12.89</v>
      </c>
      <c r="M319">
        <f>_xll.ciqfunctions.udf.CIQ(A319, "IQ_LASTSALEPRICE", WORKDAY(F319,5))</f>
        <v>13.5</v>
      </c>
      <c r="N319">
        <f t="shared" si="8"/>
        <v>-1.2336316817606434E-2</v>
      </c>
      <c r="O319">
        <f t="shared" si="9"/>
        <v>3.39015516756812E-2</v>
      </c>
      <c r="P319">
        <f>LN(_xll.ciqfunctions.udf.CIQ("XBI", "IQ_LASTSALEPRICE", WORKDAY(F319,-1))/_xll.ciqfunctions.udf.CIQ("XBI", "IQ_LASTSALEPRICE", WORKDAY(F319,1)))</f>
        <v>-3.3320749302146825E-2</v>
      </c>
      <c r="Q319">
        <f>LN(_xll.ciqfunctions.udf.CIQ("XBI", "IQ_LASTSALEPRICE", WORKDAY(F319,-1))/_xll.ciqfunctions.udf.CIQ("XBI", "IQ_LASTSALEPRICE", WORKDAY(F319,5)))</f>
        <v>-7.5465066209969844E-2</v>
      </c>
      <c r="R319">
        <f>_xll.ciqfunctions.udf.CIQ(A319, "IQ_SHORT_INTEREST_PERCENT", F319)</f>
        <v>1.6339699999999999</v>
      </c>
      <c r="S319">
        <f>_xll.ciqfunctions.udf.CIQ(A319, "IQ_BETA_1YR_RSQ", F319)</f>
        <v>3.9260000000000003E-2</v>
      </c>
      <c r="T319">
        <f>_xll.ciqfunctions.udf.CIQ(A319, "IQ_VALUE_TRADED", F319)</f>
        <v>161.91235</v>
      </c>
    </row>
    <row r="320" spans="1:20" x14ac:dyDescent="0.3">
      <c r="A320" t="s">
        <v>56</v>
      </c>
      <c r="B320">
        <v>16.03</v>
      </c>
      <c r="C320" t="s">
        <v>437</v>
      </c>
      <c r="D320" t="s">
        <v>438</v>
      </c>
      <c r="E320" t="s">
        <v>160</v>
      </c>
      <c r="F320" s="1">
        <v>45345</v>
      </c>
      <c r="G320" t="s">
        <v>1048</v>
      </c>
      <c r="H320">
        <v>301</v>
      </c>
      <c r="I320">
        <f>_xll.ciqfunctions.udf.CIQ(A320, "IQ_MARKETCAP", F320)</f>
        <v>4256.4414399999996</v>
      </c>
      <c r="J320">
        <f>_xll.ciqfunctions.udf.CIQ(A320, "IQ_PRICE_VOL_HIST_6MTH", F320)</f>
        <v>39.7087</v>
      </c>
      <c r="K320">
        <f>_xll.ciqfunctions.udf.CIQ(A320, "IQ_LASTSALEPRICE", WORKDAY(F320,-1))</f>
        <v>15.57</v>
      </c>
      <c r="L320">
        <f>_xll.ciqfunctions.udf.CIQ(A320, "IQ_LASTSALEPRICE", F320)</f>
        <v>16.03</v>
      </c>
      <c r="M320">
        <f>_xll.ciqfunctions.udf.CIQ(A320, "IQ_LASTSALEPRICE", WORKDAY(F320,5))</f>
        <v>15.76</v>
      </c>
      <c r="N320">
        <f t="shared" si="8"/>
        <v>2.9115980775554742E-2</v>
      </c>
      <c r="O320">
        <f t="shared" si="9"/>
        <v>1.2129098583826069E-2</v>
      </c>
      <c r="P320">
        <f>LN(_xll.ciqfunctions.udf.CIQ("XBI", "IQ_LASTSALEPRICE", WORKDAY(F320,-1))/_xll.ciqfunctions.udf.CIQ("XBI", "IQ_LASTSALEPRICE", WORKDAY(F320,1)))</f>
        <v>-3.3320749302146825E-2</v>
      </c>
      <c r="Q320">
        <f>LN(_xll.ciqfunctions.udf.CIQ("XBI", "IQ_LASTSALEPRICE", WORKDAY(F320,-1))/_xll.ciqfunctions.udf.CIQ("XBI", "IQ_LASTSALEPRICE", WORKDAY(F320,5)))</f>
        <v>-7.5465066209969844E-2</v>
      </c>
      <c r="R320">
        <f>_xll.ciqfunctions.udf.CIQ(A320, "IQ_SHORT_INTEREST_PERCENT", F320)</f>
        <v>4.0620000000000003E-2</v>
      </c>
      <c r="S320">
        <f>_xll.ciqfunctions.udf.CIQ(A320, "IQ_BETA_1YR_RSQ", F320)</f>
        <v>2.1850000000000001E-2</v>
      </c>
      <c r="T320">
        <f>_xll.ciqfunctions.udf.CIQ(A320, "IQ_VALUE_TRADED", F320)</f>
        <v>11.48311</v>
      </c>
    </row>
    <row r="321" spans="1:20" x14ac:dyDescent="0.3">
      <c r="A321" t="s">
        <v>418</v>
      </c>
      <c r="B321">
        <v>37.75</v>
      </c>
      <c r="C321" t="s">
        <v>1049</v>
      </c>
      <c r="D321" t="s">
        <v>1050</v>
      </c>
      <c r="E321" t="s">
        <v>76</v>
      </c>
      <c r="F321" s="1">
        <v>45346</v>
      </c>
      <c r="G321" t="s">
        <v>1051</v>
      </c>
      <c r="H321">
        <v>66</v>
      </c>
      <c r="I321">
        <f>_xll.ciqfunctions.udf.CIQ(A321, "IQ_MARKETCAP", F321)</f>
        <v>2064.51719</v>
      </c>
      <c r="J321">
        <f>_xll.ciqfunctions.udf.CIQ(A321, "IQ_PRICE_VOL_HIST_6MTH", F321)</f>
        <v>49.0959</v>
      </c>
      <c r="K321">
        <f>_xll.ciqfunctions.udf.CIQ(A321, "IQ_LASTSALEPRICE", WORKDAY(F321,-1))</f>
        <v>37.75</v>
      </c>
      <c r="L321">
        <f>_xll.ciqfunctions.udf.CIQ(A321, "IQ_LASTSALEPRICE", F321)</f>
        <v>37.75</v>
      </c>
      <c r="M321">
        <f>_xll.ciqfunctions.udf.CIQ(A321, "IQ_LASTSALEPRICE", WORKDAY(F321,5))</f>
        <v>51.88</v>
      </c>
      <c r="N321">
        <f t="shared" si="8"/>
        <v>0</v>
      </c>
      <c r="O321">
        <f t="shared" si="9"/>
        <v>0.31794788375320954</v>
      </c>
      <c r="P321">
        <f>LN(_xll.ciqfunctions.udf.CIQ("XBI", "IQ_LASTSALEPRICE", WORKDAY(F321,-1))/_xll.ciqfunctions.udf.CIQ("XBI", "IQ_LASTSALEPRICE", WORKDAY(F321,1)))</f>
        <v>-2.6968160442772508E-2</v>
      </c>
      <c r="Q321">
        <f>LN(_xll.ciqfunctions.udf.CIQ("XBI", "IQ_LASTSALEPRICE", WORKDAY(F321,-1))/_xll.ciqfunctions.udf.CIQ("XBI", "IQ_LASTSALEPRICE", WORKDAY(F321,5)))</f>
        <v>-6.9112477350595669E-2</v>
      </c>
      <c r="R321">
        <f>_xll.ciqfunctions.udf.CIQ(A321, "IQ_SHORT_INTEREST_PERCENT", F321)</f>
        <v>12.270440000000001</v>
      </c>
      <c r="S321">
        <f>_xll.ciqfunctions.udf.CIQ(A321, "IQ_BETA_1YR_RSQ", F321)</f>
        <v>0.13569000000000001</v>
      </c>
      <c r="T321">
        <f>_xll.ciqfunctions.udf.CIQ(A321, "IQ_VALUE_TRADED", F321)</f>
        <v>0</v>
      </c>
    </row>
    <row r="322" spans="1:20" x14ac:dyDescent="0.3">
      <c r="A322" t="s">
        <v>836</v>
      </c>
      <c r="B322">
        <v>13.69</v>
      </c>
      <c r="C322" t="s">
        <v>837</v>
      </c>
      <c r="D322" t="s">
        <v>464</v>
      </c>
      <c r="E322" t="s">
        <v>36</v>
      </c>
      <c r="F322" s="1">
        <v>45347</v>
      </c>
      <c r="G322" t="s">
        <v>1052</v>
      </c>
      <c r="H322">
        <v>50</v>
      </c>
      <c r="I322">
        <f>_xll.ciqfunctions.udf.CIQ(A322, "IQ_MARKETCAP", F322)</f>
        <v>523.01376000000005</v>
      </c>
      <c r="J322">
        <f>_xll.ciqfunctions.udf.CIQ(A322, "IQ_PRICE_VOL_HIST_6MTH", F322)</f>
        <v>61.182200000000002</v>
      </c>
      <c r="K322">
        <f>_xll.ciqfunctions.udf.CIQ(A322, "IQ_LASTSALEPRICE", WORKDAY(F322,-1))</f>
        <v>12.58</v>
      </c>
      <c r="L322">
        <f>_xll.ciqfunctions.udf.CIQ(A322, "IQ_LASTSALEPRICE", F322)</f>
        <v>12.58</v>
      </c>
      <c r="M322">
        <f>_xll.ciqfunctions.udf.CIQ(A322, "IQ_LASTSALEPRICE", WORKDAY(F322,5))</f>
        <v>14.14</v>
      </c>
      <c r="N322">
        <f t="shared" si="8"/>
        <v>0</v>
      </c>
      <c r="O322">
        <f t="shared" si="9"/>
        <v>0.11689940919613227</v>
      </c>
      <c r="P322">
        <f>LN(_xll.ciqfunctions.udf.CIQ("XBI", "IQ_LASTSALEPRICE", WORKDAY(F322,-1))/_xll.ciqfunctions.udf.CIQ("XBI", "IQ_LASTSALEPRICE", WORKDAY(F322,1)))</f>
        <v>-2.6968160442772508E-2</v>
      </c>
      <c r="Q322">
        <f>LN(_xll.ciqfunctions.udf.CIQ("XBI", "IQ_LASTSALEPRICE", WORKDAY(F322,-1))/_xll.ciqfunctions.udf.CIQ("XBI", "IQ_LASTSALEPRICE", WORKDAY(F322,5)))</f>
        <v>-6.9112477350595669E-2</v>
      </c>
      <c r="R322">
        <f>_xll.ciqfunctions.udf.CIQ(A322, "IQ_SHORT_INTEREST_PERCENT", F322)</f>
        <v>5.9494300000000004</v>
      </c>
      <c r="S322">
        <f>_xll.ciqfunctions.udf.CIQ(A322, "IQ_BETA_1YR_RSQ", F322)</f>
        <v>0.12173</v>
      </c>
      <c r="T322">
        <f>_xll.ciqfunctions.udf.CIQ(A322, "IQ_VALUE_TRADED", F322)</f>
        <v>0</v>
      </c>
    </row>
    <row r="323" spans="1:20" x14ac:dyDescent="0.3">
      <c r="A323" t="s">
        <v>146</v>
      </c>
      <c r="B323">
        <v>41.99</v>
      </c>
      <c r="C323" t="s">
        <v>1053</v>
      </c>
      <c r="D323" t="s">
        <v>1054</v>
      </c>
      <c r="E323" t="s">
        <v>36</v>
      </c>
      <c r="F323" s="1">
        <v>45348</v>
      </c>
      <c r="G323" t="s">
        <v>1055</v>
      </c>
      <c r="I323">
        <f>_xll.ciqfunctions.udf.CIQ(A323, "IQ_MARKETCAP", F323)</f>
        <v>67953.201979999998</v>
      </c>
      <c r="J323">
        <f>_xll.ciqfunctions.udf.CIQ(A323, "IQ_PRICE_VOL_HIST_6MTH", F323)</f>
        <v>18.0534</v>
      </c>
      <c r="K323">
        <f>_xll.ciqfunctions.udf.CIQ(A323, "IQ_LASTSALEPRICE", WORKDAY(F323,-1))</f>
        <v>16.724</v>
      </c>
      <c r="L323">
        <f>_xll.ciqfunctions.udf.CIQ(A323, "IQ_LASTSALEPRICE", F323)</f>
        <v>16.745999999999999</v>
      </c>
      <c r="M323">
        <f>_xll.ciqfunctions.udf.CIQ(A323, "IQ_LASTSALEPRICE", WORKDAY(F323,5))</f>
        <v>16.678000000000001</v>
      </c>
      <c r="N323">
        <f t="shared" ref="N323:N386" si="10">LN(L323/K323)</f>
        <v>1.3146102879213885E-3</v>
      </c>
      <c r="O323">
        <f t="shared" ref="O323:O386" si="11">LN(M323/K323)</f>
        <v>-2.7543278295249773E-3</v>
      </c>
      <c r="P323">
        <f>LN(_xll.ciqfunctions.udf.CIQ("XBI", "IQ_LASTSALEPRICE", WORKDAY(F323,-1))/_xll.ciqfunctions.udf.CIQ("XBI", "IQ_LASTSALEPRICE", WORKDAY(F323,1)))</f>
        <v>-8.2418612425183099E-2</v>
      </c>
      <c r="Q323">
        <f>LN(_xll.ciqfunctions.udf.CIQ("XBI", "IQ_LASTSALEPRICE", WORKDAY(F323,-1))/_xll.ciqfunctions.udf.CIQ("XBI", "IQ_LASTSALEPRICE", WORKDAY(F323,5)))</f>
        <v>-6.1201825992054079E-2</v>
      </c>
      <c r="R323">
        <f>_xll.ciqfunctions.udf.CIQ(A323, "IQ_SHORT_INTEREST_PERCENT", F323)</f>
        <v>0</v>
      </c>
      <c r="S323">
        <f>_xll.ciqfunctions.udf.CIQ(A323, "IQ_BETA_1YR_RSQ", F323)</f>
        <v>9.3999999999999997E-4</v>
      </c>
      <c r="T323">
        <f>_xll.ciqfunctions.udf.CIQ(A323, "IQ_VALUE_TRADED", F323)</f>
        <v>118.72581</v>
      </c>
    </row>
    <row r="324" spans="1:20" x14ac:dyDescent="0.3">
      <c r="A324" t="s">
        <v>341</v>
      </c>
      <c r="B324">
        <v>1.46</v>
      </c>
      <c r="C324" t="s">
        <v>1056</v>
      </c>
      <c r="D324" t="s">
        <v>1057</v>
      </c>
      <c r="E324" t="s">
        <v>89</v>
      </c>
      <c r="F324" s="1">
        <v>45348</v>
      </c>
      <c r="G324" t="s">
        <v>1058</v>
      </c>
      <c r="H324">
        <v>90</v>
      </c>
      <c r="I324">
        <f>_xll.ciqfunctions.udf.CIQ(A324, "IQ_MARKETCAP", F324)</f>
        <v>127.71545</v>
      </c>
      <c r="J324">
        <f>_xll.ciqfunctions.udf.CIQ(A324, "IQ_PRICE_VOL_HIST_6MTH", F324)</f>
        <v>0</v>
      </c>
      <c r="K324">
        <f>_xll.ciqfunctions.udf.CIQ(A324, "IQ_LASTSALEPRICE", WORKDAY(F324,-1))</f>
        <v>0</v>
      </c>
      <c r="L324">
        <f>_xll.ciqfunctions.udf.CIQ(A324, "IQ_LASTSALEPRICE", F324)</f>
        <v>0</v>
      </c>
      <c r="M324">
        <f>_xll.ciqfunctions.udf.CIQ(A324, "IQ_LASTSALEPRICE", WORKDAY(F324,5))</f>
        <v>0</v>
      </c>
      <c r="N324" t="e">
        <f t="shared" si="10"/>
        <v>#DIV/0!</v>
      </c>
      <c r="O324" t="e">
        <f t="shared" si="11"/>
        <v>#DIV/0!</v>
      </c>
      <c r="P324">
        <f>LN(_xll.ciqfunctions.udf.CIQ("XBI", "IQ_LASTSALEPRICE", WORKDAY(F324,-1))/_xll.ciqfunctions.udf.CIQ("XBI", "IQ_LASTSALEPRICE", WORKDAY(F324,1)))</f>
        <v>-8.2418612425183099E-2</v>
      </c>
      <c r="Q324">
        <f>LN(_xll.ciqfunctions.udf.CIQ("XBI", "IQ_LASTSALEPRICE", WORKDAY(F324,-1))/_xll.ciqfunctions.udf.CIQ("XBI", "IQ_LASTSALEPRICE", WORKDAY(F324,5)))</f>
        <v>-6.1201825992054079E-2</v>
      </c>
      <c r="R324">
        <f>_xll.ciqfunctions.udf.CIQ(A324, "IQ_SHORT_INTEREST_PERCENT", F324)</f>
        <v>0</v>
      </c>
      <c r="S324">
        <f>_xll.ciqfunctions.udf.CIQ(A324, "IQ_BETA_1YR_RSQ", F324)</f>
        <v>0</v>
      </c>
      <c r="T324">
        <f>_xll.ciqfunctions.udf.CIQ(A324, "IQ_VALUE_TRADED", F324)</f>
        <v>0</v>
      </c>
    </row>
    <row r="325" spans="1:20" x14ac:dyDescent="0.3">
      <c r="A325" t="s">
        <v>833</v>
      </c>
      <c r="B325">
        <v>157</v>
      </c>
      <c r="C325" t="s">
        <v>1059</v>
      </c>
      <c r="D325" t="s">
        <v>676</v>
      </c>
      <c r="E325" t="s">
        <v>22</v>
      </c>
      <c r="F325" s="1">
        <v>45348</v>
      </c>
      <c r="G325" t="s">
        <v>1060</v>
      </c>
      <c r="H325">
        <v>28</v>
      </c>
      <c r="I325">
        <f>_xll.ciqfunctions.udf.CIQ(A325, "IQ_MARKETCAP", F325)</f>
        <v>4441.9407099999999</v>
      </c>
      <c r="J325">
        <f>_xll.ciqfunctions.udf.CIQ(A325, "IQ_PRICE_VOL_HIST_6MTH", F325)</f>
        <v>68.498099999999994</v>
      </c>
      <c r="K325">
        <f>_xll.ciqfunctions.udf.CIQ(A325, "IQ_LASTSALEPRICE", WORKDAY(F325,-1))</f>
        <v>111.33</v>
      </c>
      <c r="L325">
        <f>_xll.ciqfunctions.udf.CIQ(A325, "IQ_LASTSALEPRICE", F325)</f>
        <v>157</v>
      </c>
      <c r="M325">
        <f>_xll.ciqfunctions.udf.CIQ(A325, "IQ_LASTSALEPRICE", WORKDAY(F325,5))</f>
        <v>159.94999999999999</v>
      </c>
      <c r="N325">
        <f t="shared" si="10"/>
        <v>0.34374704160769215</v>
      </c>
      <c r="O325">
        <f t="shared" si="11"/>
        <v>0.3623625026549111</v>
      </c>
      <c r="P325">
        <f>LN(_xll.ciqfunctions.udf.CIQ("XBI", "IQ_LASTSALEPRICE", WORKDAY(F325,-1))/_xll.ciqfunctions.udf.CIQ("XBI", "IQ_LASTSALEPRICE", WORKDAY(F325,1)))</f>
        <v>-8.2418612425183099E-2</v>
      </c>
      <c r="Q325">
        <f>LN(_xll.ciqfunctions.udf.CIQ("XBI", "IQ_LASTSALEPRICE", WORKDAY(F325,-1))/_xll.ciqfunctions.udf.CIQ("XBI", "IQ_LASTSALEPRICE", WORKDAY(F325,5)))</f>
        <v>-6.1201825992054079E-2</v>
      </c>
      <c r="R325">
        <f>_xll.ciqfunctions.udf.CIQ(A325, "IQ_SHORT_INTEREST_PERCENT", F325)</f>
        <v>7.17239</v>
      </c>
      <c r="S325">
        <f>_xll.ciqfunctions.udf.CIQ(A325, "IQ_BETA_1YR_RSQ", F325)</f>
        <v>5.1040000000000002E-2</v>
      </c>
      <c r="T325">
        <f>_xll.ciqfunctions.udf.CIQ(A325, "IQ_VALUE_TRADED", F325)</f>
        <v>351.24511000000001</v>
      </c>
    </row>
    <row r="326" spans="1:20" x14ac:dyDescent="0.3">
      <c r="A326" t="s">
        <v>1061</v>
      </c>
      <c r="B326">
        <v>5.69</v>
      </c>
      <c r="C326" t="s">
        <v>1062</v>
      </c>
      <c r="D326" t="s">
        <v>1063</v>
      </c>
      <c r="E326" t="s">
        <v>89</v>
      </c>
      <c r="F326" s="1">
        <v>45348</v>
      </c>
      <c r="G326" t="s">
        <v>1064</v>
      </c>
      <c r="H326">
        <v>162</v>
      </c>
      <c r="I326">
        <f>_xll.ciqfunctions.udf.CIQ(A326, "IQ_MARKETCAP", F326)</f>
        <v>438.12948</v>
      </c>
      <c r="J326">
        <f>_xll.ciqfunctions.udf.CIQ(A326, "IQ_PRICE_VOL_HIST_6MTH", F326)</f>
        <v>100.17619999999999</v>
      </c>
      <c r="K326">
        <f>_xll.ciqfunctions.udf.CIQ(A326, "IQ_LASTSALEPRICE", WORKDAY(F326,-1))</f>
        <v>5.22</v>
      </c>
      <c r="L326">
        <f>_xll.ciqfunctions.udf.CIQ(A326, "IQ_LASTSALEPRICE", F326)</f>
        <v>5.69</v>
      </c>
      <c r="M326">
        <f>_xll.ciqfunctions.udf.CIQ(A326, "IQ_LASTSALEPRICE", WORKDAY(F326,5))</f>
        <v>6.61</v>
      </c>
      <c r="N326">
        <f t="shared" si="10"/>
        <v>8.6212846243692284E-2</v>
      </c>
      <c r="O326">
        <f t="shared" si="11"/>
        <v>0.23608625196904759</v>
      </c>
      <c r="P326">
        <f>LN(_xll.ciqfunctions.udf.CIQ("XBI", "IQ_LASTSALEPRICE", WORKDAY(F326,-1))/_xll.ciqfunctions.udf.CIQ("XBI", "IQ_LASTSALEPRICE", WORKDAY(F326,1)))</f>
        <v>-8.2418612425183099E-2</v>
      </c>
      <c r="Q326">
        <f>LN(_xll.ciqfunctions.udf.CIQ("XBI", "IQ_LASTSALEPRICE", WORKDAY(F326,-1))/_xll.ciqfunctions.udf.CIQ("XBI", "IQ_LASTSALEPRICE", WORKDAY(F326,5)))</f>
        <v>-6.1201825992054079E-2</v>
      </c>
      <c r="R326">
        <f>_xll.ciqfunctions.udf.CIQ(A326, "IQ_SHORT_INTEREST_PERCENT", F326)</f>
        <v>3.4782500000000001</v>
      </c>
      <c r="S326">
        <f>_xll.ciqfunctions.udf.CIQ(A326, "IQ_BETA_1YR_RSQ", F326)</f>
        <v>9.0209999999999999E-2</v>
      </c>
      <c r="T326">
        <f>_xll.ciqfunctions.udf.CIQ(A326, "IQ_VALUE_TRADED", F326)</f>
        <v>2.8338199999999998</v>
      </c>
    </row>
    <row r="327" spans="1:20" x14ac:dyDescent="0.3">
      <c r="A327" t="s">
        <v>361</v>
      </c>
      <c r="B327">
        <v>160.26</v>
      </c>
      <c r="C327" t="s">
        <v>1065</v>
      </c>
      <c r="D327" t="s">
        <v>1066</v>
      </c>
      <c r="E327" t="s">
        <v>160</v>
      </c>
      <c r="F327" s="1">
        <v>45348</v>
      </c>
      <c r="G327" t="s">
        <v>1067</v>
      </c>
      <c r="H327">
        <v>106</v>
      </c>
      <c r="I327">
        <f>_xll.ciqfunctions.udf.CIQ(A327, "IQ_MARKETCAP", F327)</f>
        <v>16759.660660000001</v>
      </c>
      <c r="J327">
        <f>_xll.ciqfunctions.udf.CIQ(A327, "IQ_PRICE_VOL_HIST_6MTH", F327)</f>
        <v>0</v>
      </c>
      <c r="K327">
        <f>_xll.ciqfunctions.udf.CIQ(A327, "IQ_LASTSALEPRICE", WORKDAY(F327,-1))</f>
        <v>0</v>
      </c>
      <c r="L327">
        <f>_xll.ciqfunctions.udf.CIQ(A327, "IQ_LASTSALEPRICE", F327)</f>
        <v>0</v>
      </c>
      <c r="M327">
        <f>_xll.ciqfunctions.udf.CIQ(A327, "IQ_LASTSALEPRICE", WORKDAY(F327,5))</f>
        <v>0</v>
      </c>
      <c r="N327" t="e">
        <f t="shared" si="10"/>
        <v>#DIV/0!</v>
      </c>
      <c r="O327" t="e">
        <f t="shared" si="11"/>
        <v>#DIV/0!</v>
      </c>
      <c r="P327">
        <f>LN(_xll.ciqfunctions.udf.CIQ("XBI", "IQ_LASTSALEPRICE", WORKDAY(F327,-1))/_xll.ciqfunctions.udf.CIQ("XBI", "IQ_LASTSALEPRICE", WORKDAY(F327,1)))</f>
        <v>-8.2418612425183099E-2</v>
      </c>
      <c r="Q327">
        <f>LN(_xll.ciqfunctions.udf.CIQ("XBI", "IQ_LASTSALEPRICE", WORKDAY(F327,-1))/_xll.ciqfunctions.udf.CIQ("XBI", "IQ_LASTSALEPRICE", WORKDAY(F327,5)))</f>
        <v>-6.1201825992054079E-2</v>
      </c>
      <c r="R327">
        <f>_xll.ciqfunctions.udf.CIQ(A327, "IQ_SHORT_INTEREST_PERCENT", F327)</f>
        <v>0</v>
      </c>
      <c r="S327">
        <f>_xll.ciqfunctions.udf.CIQ(A327, "IQ_BETA_1YR_RSQ", F327)</f>
        <v>0</v>
      </c>
      <c r="T327">
        <f>_xll.ciqfunctions.udf.CIQ(A327, "IQ_VALUE_TRADED", F327)</f>
        <v>0</v>
      </c>
    </row>
    <row r="328" spans="1:20" x14ac:dyDescent="0.3">
      <c r="A328" t="s">
        <v>365</v>
      </c>
      <c r="B328" t="s">
        <v>43</v>
      </c>
      <c r="C328" t="s">
        <v>1065</v>
      </c>
      <c r="D328" t="s">
        <v>1066</v>
      </c>
      <c r="E328" t="s">
        <v>160</v>
      </c>
      <c r="F328" s="1">
        <v>45348</v>
      </c>
      <c r="G328" t="s">
        <v>1067</v>
      </c>
      <c r="H328">
        <v>110</v>
      </c>
      <c r="I328">
        <f>_xll.ciqfunctions.udf.CIQ(A328, "IQ_MARKETCAP", F328)</f>
        <v>16759.660660000001</v>
      </c>
      <c r="J328">
        <f>_xll.ciqfunctions.udf.CIQ(A328, "IQ_PRICE_VOL_HIST_6MTH", F328)</f>
        <v>47.010399999999997</v>
      </c>
      <c r="K328">
        <f>_xll.ciqfunctions.udf.CIQ(A328, "IQ_LASTSALEPRICE", WORKDAY(F328,-1))</f>
        <v>155.1</v>
      </c>
      <c r="L328">
        <f>_xll.ciqfunctions.udf.CIQ(A328, "IQ_LASTSALEPRICE", F328)</f>
        <v>160.26</v>
      </c>
      <c r="M328">
        <f>_xll.ciqfunctions.udf.CIQ(A328, "IQ_LASTSALEPRICE", WORKDAY(F328,5))</f>
        <v>167.86</v>
      </c>
      <c r="N328">
        <f t="shared" si="10"/>
        <v>3.272742616743135E-2</v>
      </c>
      <c r="O328">
        <f t="shared" si="11"/>
        <v>7.9060228472188465E-2</v>
      </c>
      <c r="P328">
        <f>LN(_xll.ciqfunctions.udf.CIQ("XBI", "IQ_LASTSALEPRICE", WORKDAY(F328,-1))/_xll.ciqfunctions.udf.CIQ("XBI", "IQ_LASTSALEPRICE", WORKDAY(F328,1)))</f>
        <v>-8.2418612425183099E-2</v>
      </c>
      <c r="Q328">
        <f>LN(_xll.ciqfunctions.udf.CIQ("XBI", "IQ_LASTSALEPRICE", WORKDAY(F328,-1))/_xll.ciqfunctions.udf.CIQ("XBI", "IQ_LASTSALEPRICE", WORKDAY(F328,5)))</f>
        <v>-6.1201825992054079E-2</v>
      </c>
      <c r="R328">
        <f>_xll.ciqfunctions.udf.CIQ(A328, "IQ_SHORT_INTEREST_PERCENT", F328)</f>
        <v>1.9860100000000001</v>
      </c>
      <c r="S328">
        <f>_xll.ciqfunctions.udf.CIQ(A328, "IQ_BETA_1YR_RSQ", F328)</f>
        <v>0.16306000000000001</v>
      </c>
      <c r="T328">
        <f>_xll.ciqfunctions.udf.CIQ(A328, "IQ_VALUE_TRADED", F328)</f>
        <v>92.805930000000004</v>
      </c>
    </row>
    <row r="329" spans="1:20" x14ac:dyDescent="0.3">
      <c r="A329" t="s">
        <v>1068</v>
      </c>
      <c r="B329">
        <v>6.79</v>
      </c>
      <c r="C329" t="s">
        <v>1069</v>
      </c>
      <c r="D329" t="s">
        <v>168</v>
      </c>
      <c r="E329" t="s">
        <v>22</v>
      </c>
      <c r="F329" s="1">
        <v>45348</v>
      </c>
      <c r="G329" t="s">
        <v>1070</v>
      </c>
      <c r="H329">
        <v>56</v>
      </c>
      <c r="I329">
        <f>_xll.ciqfunctions.udf.CIQ(A329, "IQ_MARKETCAP", F329)</f>
        <v>324.72958</v>
      </c>
      <c r="J329">
        <f>_xll.ciqfunctions.udf.CIQ(A329, "IQ_PRICE_VOL_HIST_6MTH", F329)</f>
        <v>102.1748</v>
      </c>
      <c r="K329">
        <f>_xll.ciqfunctions.udf.CIQ(A329, "IQ_LASTSALEPRICE", WORKDAY(F329,-1))</f>
        <v>6.76</v>
      </c>
      <c r="L329">
        <f>_xll.ciqfunctions.udf.CIQ(A329, "IQ_LASTSALEPRICE", F329)</f>
        <v>6.79</v>
      </c>
      <c r="M329">
        <f>_xll.ciqfunctions.udf.CIQ(A329, "IQ_LASTSALEPRICE", WORKDAY(F329,5))</f>
        <v>7.12</v>
      </c>
      <c r="N329">
        <f t="shared" si="10"/>
        <v>4.4280515157320037E-3</v>
      </c>
      <c r="O329">
        <f t="shared" si="11"/>
        <v>5.1884835369011721E-2</v>
      </c>
      <c r="P329">
        <f>LN(_xll.ciqfunctions.udf.CIQ("XBI", "IQ_LASTSALEPRICE", WORKDAY(F329,-1))/_xll.ciqfunctions.udf.CIQ("XBI", "IQ_LASTSALEPRICE", WORKDAY(F329,1)))</f>
        <v>-8.2418612425183099E-2</v>
      </c>
      <c r="Q329">
        <f>LN(_xll.ciqfunctions.udf.CIQ("XBI", "IQ_LASTSALEPRICE", WORKDAY(F329,-1))/_xll.ciqfunctions.udf.CIQ("XBI", "IQ_LASTSALEPRICE", WORKDAY(F329,5)))</f>
        <v>-6.1201825992054079E-2</v>
      </c>
      <c r="R329">
        <f>_xll.ciqfunctions.udf.CIQ(A329, "IQ_SHORT_INTEREST_PERCENT", F329)</f>
        <v>0.50934999999999997</v>
      </c>
      <c r="S329">
        <f>_xll.ciqfunctions.udf.CIQ(A329, "IQ_BETA_1YR_RSQ", F329)</f>
        <v>1.6000000000000001E-4</v>
      </c>
      <c r="T329">
        <f>_xll.ciqfunctions.udf.CIQ(A329, "IQ_VALUE_TRADED", F329)</f>
        <v>0.84006999999999998</v>
      </c>
    </row>
    <row r="330" spans="1:20" x14ac:dyDescent="0.3">
      <c r="A330" t="s">
        <v>1071</v>
      </c>
      <c r="B330">
        <v>0.27</v>
      </c>
      <c r="C330" t="s">
        <v>1072</v>
      </c>
      <c r="D330" t="s">
        <v>1073</v>
      </c>
      <c r="E330" t="s">
        <v>36</v>
      </c>
      <c r="F330" s="1">
        <v>45348</v>
      </c>
      <c r="G330" t="s">
        <v>1074</v>
      </c>
      <c r="H330">
        <v>5</v>
      </c>
      <c r="I330">
        <f>_xll.ciqfunctions.udf.CIQ(A330, "IQ_MARKETCAP", F330)</f>
        <v>58.44415</v>
      </c>
      <c r="J330">
        <f>_xll.ciqfunctions.udf.CIQ(A330, "IQ_PRICE_VOL_HIST_6MTH", F330)</f>
        <v>267.54450000000003</v>
      </c>
      <c r="K330">
        <f>_xll.ciqfunctions.udf.CIQ(A330, "IQ_LASTSALEPRICE", WORKDAY(F330,-1))</f>
        <v>11.97</v>
      </c>
      <c r="L330">
        <f>_xll.ciqfunctions.udf.CIQ(A330, "IQ_LASTSALEPRICE", F330)</f>
        <v>13.45</v>
      </c>
      <c r="M330">
        <f>_xll.ciqfunctions.udf.CIQ(A330, "IQ_LASTSALEPRICE", WORKDAY(F330,5))</f>
        <v>13.455</v>
      </c>
      <c r="N330">
        <f t="shared" si="10"/>
        <v>0.11657558647796613</v>
      </c>
      <c r="O330">
        <f t="shared" si="11"/>
        <v>0.11694726460898727</v>
      </c>
      <c r="P330">
        <f>LN(_xll.ciqfunctions.udf.CIQ("XBI", "IQ_LASTSALEPRICE", WORKDAY(F330,-1))/_xll.ciqfunctions.udf.CIQ("XBI", "IQ_LASTSALEPRICE", WORKDAY(F330,1)))</f>
        <v>-8.2418612425183099E-2</v>
      </c>
      <c r="Q330">
        <f>LN(_xll.ciqfunctions.udf.CIQ("XBI", "IQ_LASTSALEPRICE", WORKDAY(F330,-1))/_xll.ciqfunctions.udf.CIQ("XBI", "IQ_LASTSALEPRICE", WORKDAY(F330,5)))</f>
        <v>-6.1201825992054079E-2</v>
      </c>
      <c r="R330">
        <f>_xll.ciqfunctions.udf.CIQ(A330, "IQ_SHORT_INTEREST_PERCENT", F330)</f>
        <v>0.65451000000000004</v>
      </c>
      <c r="S330">
        <f>_xll.ciqfunctions.udf.CIQ(A330, "IQ_BETA_1YR_RSQ", F330)</f>
        <v>1.933E-2</v>
      </c>
      <c r="T330">
        <f>_xll.ciqfunctions.udf.CIQ(A330, "IQ_VALUE_TRADED", F330)</f>
        <v>0.64075000000000004</v>
      </c>
    </row>
    <row r="331" spans="1:20" x14ac:dyDescent="0.3">
      <c r="A331" t="s">
        <v>1075</v>
      </c>
      <c r="B331">
        <v>15.1</v>
      </c>
      <c r="C331" t="s">
        <v>1076</v>
      </c>
      <c r="D331" t="s">
        <v>1077</v>
      </c>
      <c r="E331" t="s">
        <v>22</v>
      </c>
      <c r="F331" s="1">
        <v>45348</v>
      </c>
      <c r="G331" t="s">
        <v>1078</v>
      </c>
      <c r="H331">
        <v>60</v>
      </c>
      <c r="I331">
        <f>_xll.ciqfunctions.udf.CIQ(A331, "IQ_MARKETCAP", F331)</f>
        <v>696.88655000000006</v>
      </c>
      <c r="J331">
        <f>_xll.ciqfunctions.udf.CIQ(A331, "IQ_PRICE_VOL_HIST_6MTH", F331)</f>
        <v>87.601399999999998</v>
      </c>
      <c r="K331">
        <f>_xll.ciqfunctions.udf.CIQ(A331, "IQ_LASTSALEPRICE", WORKDAY(F331,-1))</f>
        <v>15.69</v>
      </c>
      <c r="L331">
        <f>_xll.ciqfunctions.udf.CIQ(A331, "IQ_LASTSALEPRICE", F331)</f>
        <v>15.1</v>
      </c>
      <c r="M331">
        <f>_xll.ciqfunctions.udf.CIQ(A331, "IQ_LASTSALEPRICE", WORKDAY(F331,5))</f>
        <v>42.61</v>
      </c>
      <c r="N331">
        <f t="shared" si="10"/>
        <v>-3.8328822924062582E-2</v>
      </c>
      <c r="O331">
        <f t="shared" si="11"/>
        <v>0.99906540076687944</v>
      </c>
      <c r="P331">
        <f>LN(_xll.ciqfunctions.udf.CIQ("XBI", "IQ_LASTSALEPRICE", WORKDAY(F331,-1))/_xll.ciqfunctions.udf.CIQ("XBI", "IQ_LASTSALEPRICE", WORKDAY(F331,1)))</f>
        <v>-8.2418612425183099E-2</v>
      </c>
      <c r="Q331">
        <f>LN(_xll.ciqfunctions.udf.CIQ("XBI", "IQ_LASTSALEPRICE", WORKDAY(F331,-1))/_xll.ciqfunctions.udf.CIQ("XBI", "IQ_LASTSALEPRICE", WORKDAY(F331,5)))</f>
        <v>-6.1201825992054079E-2</v>
      </c>
      <c r="R331">
        <f>_xll.ciqfunctions.udf.CIQ(A331, "IQ_SHORT_INTEREST_PERCENT", F331)</f>
        <v>5.3010200000000003</v>
      </c>
      <c r="S331">
        <f>_xll.ciqfunctions.udf.CIQ(A331, "IQ_BETA_1YR_RSQ", F331)</f>
        <v>0.17205000000000001</v>
      </c>
      <c r="T331">
        <f>_xll.ciqfunctions.udf.CIQ(A331, "IQ_VALUE_TRADED", F331)</f>
        <v>11.501749999999999</v>
      </c>
    </row>
    <row r="332" spans="1:20" x14ac:dyDescent="0.3">
      <c r="A332" t="s">
        <v>1075</v>
      </c>
      <c r="B332">
        <v>15.1</v>
      </c>
      <c r="C332" t="s">
        <v>1079</v>
      </c>
      <c r="D332" t="s">
        <v>1080</v>
      </c>
      <c r="E332" t="s">
        <v>22</v>
      </c>
      <c r="F332" s="1">
        <v>45348</v>
      </c>
      <c r="G332" t="s">
        <v>1081</v>
      </c>
      <c r="H332">
        <v>60</v>
      </c>
      <c r="I332">
        <f>_xll.ciqfunctions.udf.CIQ(A332, "IQ_MARKETCAP", F332)</f>
        <v>696.88655000000006</v>
      </c>
      <c r="J332">
        <f>_xll.ciqfunctions.udf.CIQ(A332, "IQ_PRICE_VOL_HIST_6MTH", F332)</f>
        <v>87.601399999999998</v>
      </c>
      <c r="K332">
        <f>_xll.ciqfunctions.udf.CIQ(A332, "IQ_LASTSALEPRICE", WORKDAY(F332,-1))</f>
        <v>15.69</v>
      </c>
      <c r="L332">
        <f>_xll.ciqfunctions.udf.CIQ(A332, "IQ_LASTSALEPRICE", F332)</f>
        <v>15.1</v>
      </c>
      <c r="M332">
        <f>_xll.ciqfunctions.udf.CIQ(A332, "IQ_LASTSALEPRICE", WORKDAY(F332,5))</f>
        <v>42.61</v>
      </c>
      <c r="N332">
        <f t="shared" si="10"/>
        <v>-3.8328822924062582E-2</v>
      </c>
      <c r="O332">
        <f t="shared" si="11"/>
        <v>0.99906540076687944</v>
      </c>
      <c r="P332">
        <f>LN(_xll.ciqfunctions.udf.CIQ("XBI", "IQ_LASTSALEPRICE", WORKDAY(F332,-1))/_xll.ciqfunctions.udf.CIQ("XBI", "IQ_LASTSALEPRICE", WORKDAY(F332,1)))</f>
        <v>-8.2418612425183099E-2</v>
      </c>
      <c r="Q332">
        <f>LN(_xll.ciqfunctions.udf.CIQ("XBI", "IQ_LASTSALEPRICE", WORKDAY(F332,-1))/_xll.ciqfunctions.udf.CIQ("XBI", "IQ_LASTSALEPRICE", WORKDAY(F332,5)))</f>
        <v>-6.1201825992054079E-2</v>
      </c>
      <c r="R332">
        <f>_xll.ciqfunctions.udf.CIQ(A332, "IQ_SHORT_INTEREST_PERCENT", F332)</f>
        <v>5.3010200000000003</v>
      </c>
      <c r="S332">
        <f>_xll.ciqfunctions.udf.CIQ(A332, "IQ_BETA_1YR_RSQ", F332)</f>
        <v>0.17205000000000001</v>
      </c>
      <c r="T332">
        <f>_xll.ciqfunctions.udf.CIQ(A332, "IQ_VALUE_TRADED", F332)</f>
        <v>11.501749999999999</v>
      </c>
    </row>
    <row r="333" spans="1:20" x14ac:dyDescent="0.3">
      <c r="A333" t="s">
        <v>478</v>
      </c>
      <c r="B333">
        <v>71.36</v>
      </c>
      <c r="C333" t="s">
        <v>1082</v>
      </c>
      <c r="D333" t="s">
        <v>994</v>
      </c>
      <c r="E333" t="s">
        <v>160</v>
      </c>
      <c r="F333" s="1">
        <v>45348</v>
      </c>
      <c r="G333" t="s">
        <v>1083</v>
      </c>
      <c r="I333">
        <f>_xll.ciqfunctions.udf.CIQ(A333, "IQ_MARKETCAP", F333)</f>
        <v>90879.258239999996</v>
      </c>
      <c r="J333">
        <f>_xll.ciqfunctions.udf.CIQ(A333, "IQ_PRICE_VOL_HIST_6MTH", F333)</f>
        <v>25.345700000000001</v>
      </c>
      <c r="K333">
        <f>_xll.ciqfunctions.udf.CIQ(A333, "IQ_LASTSALEPRICE", WORKDAY(F333,-1))</f>
        <v>73.55</v>
      </c>
      <c r="L333">
        <f>_xll.ciqfunctions.udf.CIQ(A333, "IQ_LASTSALEPRICE", F333)</f>
        <v>72.95</v>
      </c>
      <c r="M333">
        <f>_xll.ciqfunctions.udf.CIQ(A333, "IQ_LASTSALEPRICE", WORKDAY(F333,5))</f>
        <v>72.25</v>
      </c>
      <c r="N333">
        <f t="shared" si="10"/>
        <v>-8.1911720786517657E-3</v>
      </c>
      <c r="O333">
        <f t="shared" si="11"/>
        <v>-1.7833120054904956E-2</v>
      </c>
      <c r="P333">
        <f>LN(_xll.ciqfunctions.udf.CIQ("XBI", "IQ_LASTSALEPRICE", WORKDAY(F333,-1))/_xll.ciqfunctions.udf.CIQ("XBI", "IQ_LASTSALEPRICE", WORKDAY(F333,1)))</f>
        <v>-8.2418612425183099E-2</v>
      </c>
      <c r="Q333">
        <f>LN(_xll.ciqfunctions.udf.CIQ("XBI", "IQ_LASTSALEPRICE", WORKDAY(F333,-1))/_xll.ciqfunctions.udf.CIQ("XBI", "IQ_LASTSALEPRICE", WORKDAY(F333,5)))</f>
        <v>-6.1201825992054079E-2</v>
      </c>
      <c r="R333">
        <f>_xll.ciqfunctions.udf.CIQ(A333, "IQ_SHORT_INTEREST_PERCENT", F333)</f>
        <v>1.2572300000000001</v>
      </c>
      <c r="S333">
        <f>_xll.ciqfunctions.udf.CIQ(A333, "IQ_BETA_1YR_RSQ", F333)</f>
        <v>8.1869999999999998E-2</v>
      </c>
      <c r="T333">
        <f>_xll.ciqfunctions.udf.CIQ(A333, "IQ_VALUE_TRADED", F333)</f>
        <v>377.73050000000001</v>
      </c>
    </row>
    <row r="334" spans="1:20" x14ac:dyDescent="0.3">
      <c r="A334" t="s">
        <v>1084</v>
      </c>
      <c r="B334">
        <v>2.8</v>
      </c>
      <c r="C334" t="s">
        <v>1085</v>
      </c>
      <c r="D334" t="s">
        <v>1086</v>
      </c>
      <c r="E334" t="s">
        <v>281</v>
      </c>
      <c r="F334" s="1">
        <v>45349</v>
      </c>
      <c r="G334" t="s">
        <v>1087</v>
      </c>
      <c r="H334">
        <v>6</v>
      </c>
      <c r="I334">
        <f>_xll.ciqfunctions.udf.CIQ(A334, "IQ_MARKETCAP", F334)</f>
        <v>19.58154</v>
      </c>
      <c r="J334">
        <f>_xll.ciqfunctions.udf.CIQ(A334, "IQ_PRICE_VOL_HIST_6MTH", F334)</f>
        <v>164.81469999999999</v>
      </c>
      <c r="K334">
        <f>_xll.ciqfunctions.udf.CIQ(A334, "IQ_LASTSALEPRICE", WORKDAY(F334,-1))</f>
        <v>6.8</v>
      </c>
      <c r="L334">
        <f>_xll.ciqfunctions.udf.CIQ(A334, "IQ_LASTSALEPRICE", F334)</f>
        <v>2.8</v>
      </c>
      <c r="M334">
        <f>_xll.ciqfunctions.udf.CIQ(A334, "IQ_LASTSALEPRICE", WORKDAY(F334,5))</f>
        <v>2.6</v>
      </c>
      <c r="N334">
        <f t="shared" si="10"/>
        <v>-0.88730319500090282</v>
      </c>
      <c r="O334">
        <f t="shared" si="11"/>
        <v>-0.9614111671546246</v>
      </c>
      <c r="P334">
        <f>LN(_xll.ciqfunctions.udf.CIQ("XBI", "IQ_LASTSALEPRICE", WORKDAY(F334,-1))/_xll.ciqfunctions.udf.CIQ("XBI", "IQ_LASTSALEPRICE", WORKDAY(F334,1)))</f>
        <v>-4.2144316907823033E-2</v>
      </c>
      <c r="Q334">
        <f>LN(_xll.ciqfunctions.udf.CIQ("XBI", "IQ_LASTSALEPRICE", WORKDAY(F334,-1))/_xll.ciqfunctions.udf.CIQ("XBI", "IQ_LASTSALEPRICE", WORKDAY(F334,5)))</f>
        <v>-2.1545548881284116E-2</v>
      </c>
      <c r="R334">
        <f>_xll.ciqfunctions.udf.CIQ(A334, "IQ_SHORT_INTEREST_PERCENT", F334)</f>
        <v>0.33861999999999998</v>
      </c>
      <c r="S334">
        <f>_xll.ciqfunctions.udf.CIQ(A334, "IQ_BETA_1YR_RSQ", F334)</f>
        <v>3.9940000000000003E-2</v>
      </c>
      <c r="T334">
        <f>_xll.ciqfunctions.udf.CIQ(A334, "IQ_VALUE_TRADED", F334)</f>
        <v>5.4499700000000004</v>
      </c>
    </row>
    <row r="335" spans="1:20" x14ac:dyDescent="0.3">
      <c r="A335" t="s">
        <v>1088</v>
      </c>
      <c r="B335">
        <v>85.05</v>
      </c>
      <c r="C335" t="s">
        <v>1089</v>
      </c>
      <c r="D335" t="s">
        <v>183</v>
      </c>
      <c r="E335" t="s">
        <v>76</v>
      </c>
      <c r="F335" s="1">
        <v>45349</v>
      </c>
      <c r="G335" t="s">
        <v>1090</v>
      </c>
      <c r="H335">
        <v>113</v>
      </c>
      <c r="I335">
        <f>_xll.ciqfunctions.udf.CIQ(A335, "IQ_MARKETCAP", F335)</f>
        <v>8667.8402999999998</v>
      </c>
      <c r="J335">
        <f>_xll.ciqfunctions.udf.CIQ(A335, "IQ_PRICE_VOL_HIST_6MTH", F335)</f>
        <v>133.7011</v>
      </c>
      <c r="K335">
        <f>_xll.ciqfunctions.udf.CIQ(A335, "IQ_LASTSALEPRICE", WORKDAY(F335,-1))</f>
        <v>38.479999999999997</v>
      </c>
      <c r="L335">
        <f>_xll.ciqfunctions.udf.CIQ(A335, "IQ_LASTSALEPRICE", F335)</f>
        <v>85.05</v>
      </c>
      <c r="M335">
        <f>_xll.ciqfunctions.udf.CIQ(A335, "IQ_LASTSALEPRICE", WORKDAY(F335,5))</f>
        <v>87.9</v>
      </c>
      <c r="N335">
        <f t="shared" si="10"/>
        <v>0.79310069304436503</v>
      </c>
      <c r="O335">
        <f t="shared" si="11"/>
        <v>0.82606117889362574</v>
      </c>
      <c r="P335">
        <f>LN(_xll.ciqfunctions.udf.CIQ("XBI", "IQ_LASTSALEPRICE", WORKDAY(F335,-1))/_xll.ciqfunctions.udf.CIQ("XBI", "IQ_LASTSALEPRICE", WORKDAY(F335,1)))</f>
        <v>-4.2144316907823033E-2</v>
      </c>
      <c r="Q335">
        <f>LN(_xll.ciqfunctions.udf.CIQ("XBI", "IQ_LASTSALEPRICE", WORKDAY(F335,-1))/_xll.ciqfunctions.udf.CIQ("XBI", "IQ_LASTSALEPRICE", WORKDAY(F335,5)))</f>
        <v>-2.1545548881284116E-2</v>
      </c>
      <c r="R335">
        <f>_xll.ciqfunctions.udf.CIQ(A335, "IQ_SHORT_INTEREST_PERCENT", F335)</f>
        <v>11.79401</v>
      </c>
      <c r="S335">
        <f>_xll.ciqfunctions.udf.CIQ(A335, "IQ_BETA_1YR_RSQ", F335)</f>
        <v>0.13228999999999999</v>
      </c>
      <c r="T335">
        <f>_xll.ciqfunctions.udf.CIQ(A335, "IQ_VALUE_TRADED", F335)</f>
        <v>5020.8134600000003</v>
      </c>
    </row>
    <row r="336" spans="1:20" x14ac:dyDescent="0.3">
      <c r="A336" t="s">
        <v>1014</v>
      </c>
      <c r="B336">
        <v>39.22</v>
      </c>
      <c r="C336" t="s">
        <v>1091</v>
      </c>
      <c r="D336" t="s">
        <v>1092</v>
      </c>
      <c r="E336" t="s">
        <v>124</v>
      </c>
      <c r="F336" s="1">
        <v>45349</v>
      </c>
      <c r="G336" t="s">
        <v>1093</v>
      </c>
      <c r="H336">
        <v>42</v>
      </c>
      <c r="I336">
        <f>_xll.ciqfunctions.udf.CIQ(A336, "IQ_MARKETCAP", F336)</f>
        <v>1342.0647100000001</v>
      </c>
      <c r="J336">
        <f>_xll.ciqfunctions.udf.CIQ(A336, "IQ_PRICE_VOL_HIST_6MTH", F336)</f>
        <v>63.9681</v>
      </c>
      <c r="K336">
        <f>_xll.ciqfunctions.udf.CIQ(A336, "IQ_LASTSALEPRICE", WORKDAY(F336,-1))</f>
        <v>33.159999999999997</v>
      </c>
      <c r="L336">
        <f>_xll.ciqfunctions.udf.CIQ(A336, "IQ_LASTSALEPRICE", F336)</f>
        <v>39.22</v>
      </c>
      <c r="M336">
        <f>_xll.ciqfunctions.udf.CIQ(A336, "IQ_LASTSALEPRICE", WORKDAY(F336,5))</f>
        <v>35.770000000000003</v>
      </c>
      <c r="N336">
        <f t="shared" si="10"/>
        <v>0.167842490501106</v>
      </c>
      <c r="O336">
        <f t="shared" si="11"/>
        <v>7.5765223003832316E-2</v>
      </c>
      <c r="P336">
        <f>LN(_xll.ciqfunctions.udf.CIQ("XBI", "IQ_LASTSALEPRICE", WORKDAY(F336,-1))/_xll.ciqfunctions.udf.CIQ("XBI", "IQ_LASTSALEPRICE", WORKDAY(F336,1)))</f>
        <v>-4.2144316907823033E-2</v>
      </c>
      <c r="Q336">
        <f>LN(_xll.ciqfunctions.udf.CIQ("XBI", "IQ_LASTSALEPRICE", WORKDAY(F336,-1))/_xll.ciqfunctions.udf.CIQ("XBI", "IQ_LASTSALEPRICE", WORKDAY(F336,5)))</f>
        <v>-2.1545548881284116E-2</v>
      </c>
      <c r="R336">
        <f>_xll.ciqfunctions.udf.CIQ(A336, "IQ_SHORT_INTEREST_PERCENT", F336)</f>
        <v>16.548559999999998</v>
      </c>
      <c r="S336">
        <f>_xll.ciqfunctions.udf.CIQ(A336, "IQ_BETA_1YR_RSQ", F336)</f>
        <v>5.3220000000000003E-2</v>
      </c>
      <c r="T336">
        <f>_xll.ciqfunctions.udf.CIQ(A336, "IQ_VALUE_TRADED", F336)</f>
        <v>98.800910000000002</v>
      </c>
    </row>
    <row r="337" spans="1:20" x14ac:dyDescent="0.3">
      <c r="A337" t="s">
        <v>374</v>
      </c>
      <c r="B337">
        <v>3.13</v>
      </c>
      <c r="C337" t="s">
        <v>375</v>
      </c>
      <c r="D337" t="s">
        <v>376</v>
      </c>
      <c r="E337" t="s">
        <v>197</v>
      </c>
      <c r="F337" s="1">
        <v>45349</v>
      </c>
      <c r="G337" t="s">
        <v>1094</v>
      </c>
      <c r="H337">
        <v>1</v>
      </c>
      <c r="I337">
        <f>_xll.ciqfunctions.udf.CIQ(A337, "IQ_MARKETCAP", F337)</f>
        <v>43.093719999999998</v>
      </c>
      <c r="J337">
        <f>_xll.ciqfunctions.udf.CIQ(A337, "IQ_PRICE_VOL_HIST_6MTH", F337)</f>
        <v>132.286</v>
      </c>
      <c r="K337">
        <f>_xll.ciqfunctions.udf.CIQ(A337, "IQ_LASTSALEPRICE", WORKDAY(F337,-1))</f>
        <v>65</v>
      </c>
      <c r="L337">
        <f>_xll.ciqfunctions.udf.CIQ(A337, "IQ_LASTSALEPRICE", F337)</f>
        <v>62.6</v>
      </c>
      <c r="M337">
        <f>_xll.ciqfunctions.udf.CIQ(A337, "IQ_LASTSALEPRICE", WORKDAY(F337,5))</f>
        <v>59.8</v>
      </c>
      <c r="N337">
        <f t="shared" si="10"/>
        <v>-3.7621991789584294E-2</v>
      </c>
      <c r="O337">
        <f t="shared" si="11"/>
        <v>-8.3381608939051138E-2</v>
      </c>
      <c r="P337">
        <f>LN(_xll.ciqfunctions.udf.CIQ("XBI", "IQ_LASTSALEPRICE", WORKDAY(F337,-1))/_xll.ciqfunctions.udf.CIQ("XBI", "IQ_LASTSALEPRICE", WORKDAY(F337,1)))</f>
        <v>-4.2144316907823033E-2</v>
      </c>
      <c r="Q337">
        <f>LN(_xll.ciqfunctions.udf.CIQ("XBI", "IQ_LASTSALEPRICE", WORKDAY(F337,-1))/_xll.ciqfunctions.udf.CIQ("XBI", "IQ_LASTSALEPRICE", WORKDAY(F337,5)))</f>
        <v>-2.1545548881284116E-2</v>
      </c>
      <c r="R337">
        <f>_xll.ciqfunctions.udf.CIQ(A337, "IQ_SHORT_INTEREST_PERCENT", F337)</f>
        <v>2.1895099999999998</v>
      </c>
      <c r="S337">
        <f>_xll.ciqfunctions.udf.CIQ(A337, "IQ_BETA_1YR_RSQ", F337)</f>
        <v>1.7440000000000001E-2</v>
      </c>
      <c r="T337">
        <f>_xll.ciqfunctions.udf.CIQ(A337, "IQ_VALUE_TRADED", F337)</f>
        <v>0.56528</v>
      </c>
    </row>
    <row r="338" spans="1:20" x14ac:dyDescent="0.3">
      <c r="A338" t="s">
        <v>1095</v>
      </c>
      <c r="B338">
        <v>46.35</v>
      </c>
      <c r="C338" t="s">
        <v>1096</v>
      </c>
      <c r="D338" t="s">
        <v>1097</v>
      </c>
      <c r="E338" t="s">
        <v>36</v>
      </c>
      <c r="F338" s="1">
        <v>45349</v>
      </c>
      <c r="G338" t="s">
        <v>1098</v>
      </c>
      <c r="H338">
        <v>76</v>
      </c>
      <c r="I338">
        <f>_xll.ciqfunctions.udf.CIQ(A338, "IQ_MARKETCAP", F338)</f>
        <v>3081.4643900000001</v>
      </c>
      <c r="J338">
        <f>_xll.ciqfunctions.udf.CIQ(A338, "IQ_PRICE_VOL_HIST_6MTH", F338)</f>
        <v>0</v>
      </c>
      <c r="K338">
        <f>_xll.ciqfunctions.udf.CIQ(A338, "IQ_LASTSALEPRICE", WORKDAY(F338,-1))</f>
        <v>46.01</v>
      </c>
      <c r="L338">
        <f>_xll.ciqfunctions.udf.CIQ(A338, "IQ_LASTSALEPRICE", F338)</f>
        <v>46.35</v>
      </c>
      <c r="M338">
        <f>_xll.ciqfunctions.udf.CIQ(A338, "IQ_LASTSALEPRICE", WORKDAY(F338,5))</f>
        <v>41.49</v>
      </c>
      <c r="N338">
        <f t="shared" si="10"/>
        <v>7.3625278444869628E-3</v>
      </c>
      <c r="O338">
        <f t="shared" si="11"/>
        <v>-0.10340632982260066</v>
      </c>
      <c r="P338">
        <f>LN(_xll.ciqfunctions.udf.CIQ("XBI", "IQ_LASTSALEPRICE", WORKDAY(F338,-1))/_xll.ciqfunctions.udf.CIQ("XBI", "IQ_LASTSALEPRICE", WORKDAY(F338,1)))</f>
        <v>-4.2144316907823033E-2</v>
      </c>
      <c r="Q338">
        <f>LN(_xll.ciqfunctions.udf.CIQ("XBI", "IQ_LASTSALEPRICE", WORKDAY(F338,-1))/_xll.ciqfunctions.udf.CIQ("XBI", "IQ_LASTSALEPRICE", WORKDAY(F338,5)))</f>
        <v>-2.1545548881284116E-2</v>
      </c>
      <c r="R338">
        <f>_xll.ciqfunctions.udf.CIQ(A338, "IQ_SHORT_INTEREST_PERCENT", F338)</f>
        <v>1.4649099999999999</v>
      </c>
      <c r="S338">
        <f>_xll.ciqfunctions.udf.CIQ(A338, "IQ_BETA_1YR_RSQ", F338)</f>
        <v>0.37121999999999999</v>
      </c>
      <c r="T338">
        <f>_xll.ciqfunctions.udf.CIQ(A338, "IQ_VALUE_TRADED", F338)</f>
        <v>10.562889999999999</v>
      </c>
    </row>
    <row r="339" spans="1:20" x14ac:dyDescent="0.3">
      <c r="A339" t="s">
        <v>1099</v>
      </c>
      <c r="B339">
        <v>0.67</v>
      </c>
      <c r="C339" t="s">
        <v>1100</v>
      </c>
      <c r="D339" t="s">
        <v>1101</v>
      </c>
      <c r="E339" t="s">
        <v>22</v>
      </c>
      <c r="F339" s="1">
        <v>45349</v>
      </c>
      <c r="G339" t="s">
        <v>1102</v>
      </c>
      <c r="H339">
        <v>2</v>
      </c>
      <c r="I339">
        <f>_xll.ciqfunctions.udf.CIQ(A339, "IQ_MARKETCAP", F339)</f>
        <v>70.633080000000007</v>
      </c>
      <c r="J339">
        <f>_xll.ciqfunctions.udf.CIQ(A339, "IQ_PRICE_VOL_HIST_6MTH", F339)</f>
        <v>74.503299999999996</v>
      </c>
      <c r="K339">
        <f>_xll.ciqfunctions.udf.CIQ(A339, "IQ_LASTSALEPRICE", WORKDAY(F339,-1))</f>
        <v>0.27300000000000002</v>
      </c>
      <c r="L339">
        <f>_xll.ciqfunctions.udf.CIQ(A339, "IQ_LASTSALEPRICE", F339)</f>
        <v>0.27300000000000002</v>
      </c>
      <c r="M339">
        <f>_xll.ciqfunctions.udf.CIQ(A339, "IQ_LASTSALEPRICE", WORKDAY(F339,5))</f>
        <v>0.29299999999999998</v>
      </c>
      <c r="N339">
        <f t="shared" si="10"/>
        <v>0</v>
      </c>
      <c r="O339">
        <f t="shared" si="11"/>
        <v>7.0700813832107537E-2</v>
      </c>
      <c r="P339">
        <f>LN(_xll.ciqfunctions.udf.CIQ("XBI", "IQ_LASTSALEPRICE", WORKDAY(F339,-1))/_xll.ciqfunctions.udf.CIQ("XBI", "IQ_LASTSALEPRICE", WORKDAY(F339,1)))</f>
        <v>-4.2144316907823033E-2</v>
      </c>
      <c r="Q339">
        <f>LN(_xll.ciqfunctions.udf.CIQ("XBI", "IQ_LASTSALEPRICE", WORKDAY(F339,-1))/_xll.ciqfunctions.udf.CIQ("XBI", "IQ_LASTSALEPRICE", WORKDAY(F339,5)))</f>
        <v>-2.1545548881284116E-2</v>
      </c>
      <c r="R339">
        <f>_xll.ciqfunctions.udf.CIQ(A339, "IQ_SHORT_INTEREST_PERCENT", F339)</f>
        <v>0</v>
      </c>
      <c r="S339">
        <f>_xll.ciqfunctions.udf.CIQ(A339, "IQ_BETA_1YR_RSQ", F339)</f>
        <v>6.7110000000000003E-2</v>
      </c>
      <c r="T339">
        <f>_xll.ciqfunctions.udf.CIQ(A339, "IQ_VALUE_TRADED", F339)</f>
        <v>0</v>
      </c>
    </row>
    <row r="340" spans="1:20" x14ac:dyDescent="0.3">
      <c r="A340" t="s">
        <v>688</v>
      </c>
      <c r="B340">
        <v>4.63</v>
      </c>
      <c r="C340" t="s">
        <v>689</v>
      </c>
      <c r="D340" t="s">
        <v>690</v>
      </c>
      <c r="E340" t="s">
        <v>22</v>
      </c>
      <c r="F340" s="1">
        <v>45349</v>
      </c>
      <c r="G340" t="s">
        <v>1103</v>
      </c>
      <c r="H340">
        <v>35</v>
      </c>
      <c r="I340">
        <f>_xll.ciqfunctions.udf.CIQ(A340, "IQ_MARKETCAP", F340)</f>
        <v>75.003069999999994</v>
      </c>
      <c r="J340">
        <f>_xll.ciqfunctions.udf.CIQ(A340, "IQ_PRICE_VOL_HIST_6MTH", F340)</f>
        <v>75.251099999999994</v>
      </c>
      <c r="K340">
        <f>_xll.ciqfunctions.udf.CIQ(A340, "IQ_LASTSALEPRICE", WORKDAY(F340,-1))</f>
        <v>4.5</v>
      </c>
      <c r="L340">
        <f>_xll.ciqfunctions.udf.CIQ(A340, "IQ_LASTSALEPRICE", F340)</f>
        <v>4.63</v>
      </c>
      <c r="M340">
        <f>_xll.ciqfunctions.udf.CIQ(A340, "IQ_LASTSALEPRICE", WORKDAY(F340,5))</f>
        <v>4.66</v>
      </c>
      <c r="N340">
        <f t="shared" si="10"/>
        <v>2.8479471321868705E-2</v>
      </c>
      <c r="O340">
        <f t="shared" si="11"/>
        <v>3.4938051361280441E-2</v>
      </c>
      <c r="P340">
        <f>LN(_xll.ciqfunctions.udf.CIQ("XBI", "IQ_LASTSALEPRICE", WORKDAY(F340,-1))/_xll.ciqfunctions.udf.CIQ("XBI", "IQ_LASTSALEPRICE", WORKDAY(F340,1)))</f>
        <v>-4.2144316907823033E-2</v>
      </c>
      <c r="Q340">
        <f>LN(_xll.ciqfunctions.udf.CIQ("XBI", "IQ_LASTSALEPRICE", WORKDAY(F340,-1))/_xll.ciqfunctions.udf.CIQ("XBI", "IQ_LASTSALEPRICE", WORKDAY(F340,5)))</f>
        <v>-2.1545548881284116E-2</v>
      </c>
      <c r="R340">
        <f>_xll.ciqfunctions.udf.CIQ(A340, "IQ_SHORT_INTEREST_PERCENT", F340)</f>
        <v>0.84936</v>
      </c>
      <c r="S340">
        <f>_xll.ciqfunctions.udf.CIQ(A340, "IQ_BETA_1YR_RSQ", F340)</f>
        <v>1.89E-3</v>
      </c>
      <c r="T340">
        <f>_xll.ciqfunctions.udf.CIQ(A340, "IQ_VALUE_TRADED", F340)</f>
        <v>0.48479</v>
      </c>
    </row>
    <row r="341" spans="1:20" x14ac:dyDescent="0.3">
      <c r="A341" t="s">
        <v>1104</v>
      </c>
      <c r="B341">
        <v>2.4500000000000002</v>
      </c>
      <c r="C341" t="s">
        <v>1105</v>
      </c>
      <c r="D341" t="s">
        <v>293</v>
      </c>
      <c r="E341" t="s">
        <v>36</v>
      </c>
      <c r="F341" s="1">
        <v>45350</v>
      </c>
      <c r="G341" t="s">
        <v>1106</v>
      </c>
      <c r="H341">
        <v>46</v>
      </c>
      <c r="I341">
        <f>_xll.ciqfunctions.udf.CIQ(A341, "IQ_MARKETCAP", F341)</f>
        <v>70.689030000000002</v>
      </c>
      <c r="J341">
        <f>_xll.ciqfunctions.udf.CIQ(A341, "IQ_PRICE_VOL_HIST_6MTH", F341)</f>
        <v>69.718699999999998</v>
      </c>
      <c r="K341">
        <f>_xll.ciqfunctions.udf.CIQ(A341, "IQ_LASTSALEPRICE", WORKDAY(F341,-1))</f>
        <v>5.8999999999999997E-2</v>
      </c>
      <c r="L341">
        <f>_xll.ciqfunctions.udf.CIQ(A341, "IQ_LASTSALEPRICE", F341)</f>
        <v>0.06</v>
      </c>
      <c r="M341">
        <f>_xll.ciqfunctions.udf.CIQ(A341, "IQ_LASTSALEPRICE", WORKDAY(F341,5))</f>
        <v>6.6000000000000003E-2</v>
      </c>
      <c r="N341">
        <f t="shared" si="10"/>
        <v>1.6807118316381191E-2</v>
      </c>
      <c r="O341">
        <f t="shared" si="11"/>
        <v>0.11211729812070621</v>
      </c>
      <c r="P341">
        <f>LN(_xll.ciqfunctions.udf.CIQ("XBI", "IQ_LASTSALEPRICE", WORKDAY(F341,-1))/_xll.ciqfunctions.udf.CIQ("XBI", "IQ_LASTSALEPRICE", WORKDAY(F341,1)))</f>
        <v>4.4416420949886612E-2</v>
      </c>
      <c r="Q341">
        <f>LN(_xll.ciqfunctions.udf.CIQ("XBI", "IQ_LASTSALEPRICE", WORKDAY(F341,-1))/_xll.ciqfunctions.udf.CIQ("XBI", "IQ_LASTSALEPRICE", WORKDAY(F341,5)))</f>
        <v>2.7290989824145455E-2</v>
      </c>
      <c r="R341">
        <f>_xll.ciqfunctions.udf.CIQ(A341, "IQ_SHORT_INTEREST_PERCENT", F341)</f>
        <v>0</v>
      </c>
      <c r="S341">
        <f>_xll.ciqfunctions.udf.CIQ(A341, "IQ_BETA_1YR_RSQ", F341)</f>
        <v>2.3600000000000001E-3</v>
      </c>
      <c r="T341">
        <f>_xll.ciqfunctions.udf.CIQ(A341, "IQ_VALUE_TRADED", F341)</f>
        <v>4.342E-2</v>
      </c>
    </row>
    <row r="342" spans="1:20" x14ac:dyDescent="0.3">
      <c r="A342" t="s">
        <v>406</v>
      </c>
      <c r="B342">
        <v>6.27</v>
      </c>
      <c r="C342" t="s">
        <v>1107</v>
      </c>
      <c r="D342" t="s">
        <v>239</v>
      </c>
      <c r="E342" t="s">
        <v>76</v>
      </c>
      <c r="F342" s="1">
        <v>45350</v>
      </c>
      <c r="G342" t="s">
        <v>1108</v>
      </c>
      <c r="H342">
        <v>347</v>
      </c>
      <c r="I342">
        <f>_xll.ciqfunctions.udf.CIQ(A342, "IQ_MARKETCAP", F342)</f>
        <v>99.524420000000006</v>
      </c>
      <c r="J342">
        <f>_xll.ciqfunctions.udf.CIQ(A342, "IQ_PRICE_VOL_HIST_6MTH", F342)</f>
        <v>183.29669999999999</v>
      </c>
      <c r="K342">
        <f>_xll.ciqfunctions.udf.CIQ(A342, "IQ_LASTSALEPRICE", WORKDAY(F342,-1))</f>
        <v>4.22</v>
      </c>
      <c r="L342">
        <f>_xll.ciqfunctions.udf.CIQ(A342, "IQ_LASTSALEPRICE", F342)</f>
        <v>6.27</v>
      </c>
      <c r="M342">
        <f>_xll.ciqfunctions.udf.CIQ(A342, "IQ_LASTSALEPRICE", WORKDAY(F342,5))</f>
        <v>4.2300000000000004</v>
      </c>
      <c r="N342">
        <f t="shared" si="10"/>
        <v>0.39594122659690889</v>
      </c>
      <c r="O342">
        <f t="shared" si="11"/>
        <v>2.3668650102662441E-3</v>
      </c>
      <c r="P342">
        <f>LN(_xll.ciqfunctions.udf.CIQ("XBI", "IQ_LASTSALEPRICE", WORKDAY(F342,-1))/_xll.ciqfunctions.udf.CIQ("XBI", "IQ_LASTSALEPRICE", WORKDAY(F342,1)))</f>
        <v>4.4416420949886612E-2</v>
      </c>
      <c r="Q342">
        <f>LN(_xll.ciqfunctions.udf.CIQ("XBI", "IQ_LASTSALEPRICE", WORKDAY(F342,-1))/_xll.ciqfunctions.udf.CIQ("XBI", "IQ_LASTSALEPRICE", WORKDAY(F342,5)))</f>
        <v>2.7290989824145455E-2</v>
      </c>
      <c r="R342">
        <f>_xll.ciqfunctions.udf.CIQ(A342, "IQ_SHORT_INTEREST_PERCENT", F342)</f>
        <v>0.61248000000000002</v>
      </c>
      <c r="S342">
        <f>_xll.ciqfunctions.udf.CIQ(A342, "IQ_BETA_1YR_RSQ", F342)</f>
        <v>1.455E-2</v>
      </c>
      <c r="T342">
        <f>_xll.ciqfunctions.udf.CIQ(A342, "IQ_VALUE_TRADED", F342)</f>
        <v>89.15146</v>
      </c>
    </row>
    <row r="343" spans="1:20" x14ac:dyDescent="0.3">
      <c r="A343" t="s">
        <v>1109</v>
      </c>
      <c r="B343">
        <v>1.74</v>
      </c>
      <c r="C343" t="s">
        <v>1110</v>
      </c>
      <c r="D343" t="s">
        <v>243</v>
      </c>
      <c r="E343" t="s">
        <v>89</v>
      </c>
      <c r="F343" s="1">
        <v>45350</v>
      </c>
      <c r="G343" t="s">
        <v>1111</v>
      </c>
      <c r="H343">
        <v>138</v>
      </c>
      <c r="I343">
        <f>_xll.ciqfunctions.udf.CIQ(A343, "IQ_MARKETCAP", F343)</f>
        <v>221.77226999999999</v>
      </c>
      <c r="J343">
        <f>_xll.ciqfunctions.udf.CIQ(A343, "IQ_PRICE_VOL_HIST_6MTH", F343)</f>
        <v>73.630499999999998</v>
      </c>
      <c r="K343">
        <f>_xll.ciqfunctions.udf.CIQ(A343, "IQ_LASTSALEPRICE", WORKDAY(F343,-1))</f>
        <v>1.76</v>
      </c>
      <c r="L343">
        <f>_xll.ciqfunctions.udf.CIQ(A343, "IQ_LASTSALEPRICE", F343)</f>
        <v>1.74</v>
      </c>
      <c r="M343">
        <f>_xll.ciqfunctions.udf.CIQ(A343, "IQ_LASTSALEPRICE", WORKDAY(F343,5))</f>
        <v>1.96</v>
      </c>
      <c r="N343">
        <f t="shared" si="10"/>
        <v>-1.1428695823622744E-2</v>
      </c>
      <c r="O343">
        <f t="shared" si="11"/>
        <v>0.10763066419236536</v>
      </c>
      <c r="P343">
        <f>LN(_xll.ciqfunctions.udf.CIQ("XBI", "IQ_LASTSALEPRICE", WORKDAY(F343,-1))/_xll.ciqfunctions.udf.CIQ("XBI", "IQ_LASTSALEPRICE", WORKDAY(F343,1)))</f>
        <v>4.4416420949886612E-2</v>
      </c>
      <c r="Q343">
        <f>LN(_xll.ciqfunctions.udf.CIQ("XBI", "IQ_LASTSALEPRICE", WORKDAY(F343,-1))/_xll.ciqfunctions.udf.CIQ("XBI", "IQ_LASTSALEPRICE", WORKDAY(F343,5)))</f>
        <v>2.7290989824145455E-2</v>
      </c>
      <c r="R343">
        <f>_xll.ciqfunctions.udf.CIQ(A343, "IQ_SHORT_INTEREST_PERCENT", F343)</f>
        <v>1.54758</v>
      </c>
      <c r="S343">
        <f>_xll.ciqfunctions.udf.CIQ(A343, "IQ_BETA_1YR_RSQ", F343)</f>
        <v>4.5940000000000002E-2</v>
      </c>
      <c r="T343">
        <f>_xll.ciqfunctions.udf.CIQ(A343, "IQ_VALUE_TRADED", F343)</f>
        <v>0.28337000000000001</v>
      </c>
    </row>
    <row r="344" spans="1:20" x14ac:dyDescent="0.3">
      <c r="A344" t="s">
        <v>902</v>
      </c>
      <c r="B344">
        <v>1.62</v>
      </c>
      <c r="C344" t="s">
        <v>1112</v>
      </c>
      <c r="D344" t="s">
        <v>1113</v>
      </c>
      <c r="E344" t="s">
        <v>89</v>
      </c>
      <c r="F344" s="1">
        <v>45350</v>
      </c>
      <c r="G344" t="s">
        <v>1114</v>
      </c>
      <c r="H344">
        <v>9</v>
      </c>
      <c r="I344">
        <f>_xll.ciqfunctions.udf.CIQ(A344, "IQ_MARKETCAP", F344)</f>
        <v>4.6753200000000001</v>
      </c>
      <c r="J344">
        <f>_xll.ciqfunctions.udf.CIQ(A344, "IQ_PRICE_VOL_HIST_6MTH", F344)</f>
        <v>66.286100000000005</v>
      </c>
      <c r="K344">
        <f>_xll.ciqfunctions.udf.CIQ(A344, "IQ_LASTSALEPRICE", WORKDAY(F344,-1))</f>
        <v>1.55</v>
      </c>
      <c r="L344">
        <f>_xll.ciqfunctions.udf.CIQ(A344, "IQ_LASTSALEPRICE", F344)</f>
        <v>1.62</v>
      </c>
      <c r="M344">
        <f>_xll.ciqfunctions.udf.CIQ(A344, "IQ_LASTSALEPRICE", WORKDAY(F344,5))</f>
        <v>1.5299</v>
      </c>
      <c r="N344">
        <f t="shared" si="10"/>
        <v>4.4171218313137459E-2</v>
      </c>
      <c r="O344">
        <f t="shared" si="11"/>
        <v>-1.3052557139959058E-2</v>
      </c>
      <c r="P344">
        <f>LN(_xll.ciqfunctions.udf.CIQ("XBI", "IQ_LASTSALEPRICE", WORKDAY(F344,-1))/_xll.ciqfunctions.udf.CIQ("XBI", "IQ_LASTSALEPRICE", WORKDAY(F344,1)))</f>
        <v>4.4416420949886612E-2</v>
      </c>
      <c r="Q344">
        <f>LN(_xll.ciqfunctions.udf.CIQ("XBI", "IQ_LASTSALEPRICE", WORKDAY(F344,-1))/_xll.ciqfunctions.udf.CIQ("XBI", "IQ_LASTSALEPRICE", WORKDAY(F344,5)))</f>
        <v>2.7290989824145455E-2</v>
      </c>
      <c r="R344">
        <f>_xll.ciqfunctions.udf.CIQ(A344, "IQ_SHORT_INTEREST_PERCENT", F344)</f>
        <v>2.23434</v>
      </c>
      <c r="S344">
        <f>_xll.ciqfunctions.udf.CIQ(A344, "IQ_BETA_1YR_RSQ", F344)</f>
        <v>0.13750999999999999</v>
      </c>
      <c r="T344">
        <f>_xll.ciqfunctions.udf.CIQ(A344, "IQ_VALUE_TRADED", F344)</f>
        <v>3.0177700000000001</v>
      </c>
    </row>
    <row r="345" spans="1:20" x14ac:dyDescent="0.3">
      <c r="A345" t="s">
        <v>707</v>
      </c>
      <c r="B345">
        <v>15.21</v>
      </c>
      <c r="C345" t="s">
        <v>1115</v>
      </c>
      <c r="D345" t="s">
        <v>1116</v>
      </c>
      <c r="E345" t="s">
        <v>76</v>
      </c>
      <c r="F345" s="1">
        <v>45350</v>
      </c>
      <c r="G345" t="s">
        <v>1117</v>
      </c>
      <c r="H345">
        <v>174</v>
      </c>
      <c r="I345">
        <f>_xll.ciqfunctions.udf.CIQ(A345, "IQ_MARKETCAP", F345)</f>
        <v>2082.32107</v>
      </c>
      <c r="J345">
        <f>_xll.ciqfunctions.udf.CIQ(A345, "IQ_PRICE_VOL_HIST_6MTH", F345)</f>
        <v>51.674799999999998</v>
      </c>
      <c r="K345">
        <f>_xll.ciqfunctions.udf.CIQ(A345, "IQ_LASTSALEPRICE", WORKDAY(F345,-1))</f>
        <v>2.4849999999999999</v>
      </c>
      <c r="L345">
        <f>_xll.ciqfunctions.udf.CIQ(A345, "IQ_LASTSALEPRICE", F345)</f>
        <v>2.44</v>
      </c>
      <c r="M345">
        <f>_xll.ciqfunctions.udf.CIQ(A345, "IQ_LASTSALEPRICE", WORKDAY(F345,5))</f>
        <v>2.37</v>
      </c>
      <c r="N345">
        <f t="shared" si="10"/>
        <v>-1.8274620243481556E-2</v>
      </c>
      <c r="O345">
        <f t="shared" si="11"/>
        <v>-4.7382704401552081E-2</v>
      </c>
      <c r="P345">
        <f>LN(_xll.ciqfunctions.udf.CIQ("XBI", "IQ_LASTSALEPRICE", WORKDAY(F345,-1))/_xll.ciqfunctions.udf.CIQ("XBI", "IQ_LASTSALEPRICE", WORKDAY(F345,1)))</f>
        <v>4.4416420949886612E-2</v>
      </c>
      <c r="Q345">
        <f>LN(_xll.ciqfunctions.udf.CIQ("XBI", "IQ_LASTSALEPRICE", WORKDAY(F345,-1))/_xll.ciqfunctions.udf.CIQ("XBI", "IQ_LASTSALEPRICE", WORKDAY(F345,5)))</f>
        <v>2.7290989824145455E-2</v>
      </c>
      <c r="R345">
        <f>_xll.ciqfunctions.udf.CIQ(A345, "IQ_SHORT_INTEREST_PERCENT", F345)</f>
        <v>0</v>
      </c>
      <c r="S345">
        <f>_xll.ciqfunctions.udf.CIQ(A345, "IQ_BETA_1YR_RSQ", F345)</f>
        <v>0.11973</v>
      </c>
      <c r="T345">
        <f>_xll.ciqfunctions.udf.CIQ(A345, "IQ_VALUE_TRADED", F345)</f>
        <v>0.13211000000000001</v>
      </c>
    </row>
    <row r="346" spans="1:20" x14ac:dyDescent="0.3">
      <c r="A346" t="s">
        <v>1118</v>
      </c>
      <c r="B346">
        <v>0.84</v>
      </c>
      <c r="C346" t="s">
        <v>1119</v>
      </c>
      <c r="D346" t="s">
        <v>1120</v>
      </c>
      <c r="E346" t="s">
        <v>22</v>
      </c>
      <c r="F346" s="1">
        <v>45350</v>
      </c>
      <c r="G346" t="s">
        <v>1121</v>
      </c>
      <c r="H346">
        <v>1</v>
      </c>
      <c r="I346">
        <f>_xll.ciqfunctions.udf.CIQ(A346, "IQ_MARKETCAP", F346)</f>
        <v>20.997060000000001</v>
      </c>
      <c r="J346">
        <f>_xll.ciqfunctions.udf.CIQ(A346, "IQ_PRICE_VOL_HIST_6MTH", F346)</f>
        <v>92.583600000000004</v>
      </c>
      <c r="K346">
        <f>_xll.ciqfunctions.udf.CIQ(A346, "IQ_LASTSALEPRICE", WORKDAY(F346,-1))</f>
        <v>15.4</v>
      </c>
      <c r="L346">
        <f>_xll.ciqfunctions.udf.CIQ(A346, "IQ_LASTSALEPRICE", F346)</f>
        <v>16.8</v>
      </c>
      <c r="M346">
        <f>_xll.ciqfunctions.udf.CIQ(A346, "IQ_LASTSALEPRICE", WORKDAY(F346,5))</f>
        <v>18.641999999999999</v>
      </c>
      <c r="N346">
        <f t="shared" si="10"/>
        <v>8.7011376989629699E-2</v>
      </c>
      <c r="O346">
        <f t="shared" si="11"/>
        <v>0.19104959021938189</v>
      </c>
      <c r="P346">
        <f>LN(_xll.ciqfunctions.udf.CIQ("XBI", "IQ_LASTSALEPRICE", WORKDAY(F346,-1))/_xll.ciqfunctions.udf.CIQ("XBI", "IQ_LASTSALEPRICE", WORKDAY(F346,1)))</f>
        <v>4.4416420949886612E-2</v>
      </c>
      <c r="Q346">
        <f>LN(_xll.ciqfunctions.udf.CIQ("XBI", "IQ_LASTSALEPRICE", WORKDAY(F346,-1))/_xll.ciqfunctions.udf.CIQ("XBI", "IQ_LASTSALEPRICE", WORKDAY(F346,5)))</f>
        <v>2.7290989824145455E-2</v>
      </c>
      <c r="R346">
        <f>_xll.ciqfunctions.udf.CIQ(A346, "IQ_SHORT_INTEREST_PERCENT", F346)</f>
        <v>0.57242000000000004</v>
      </c>
      <c r="S346">
        <f>_xll.ciqfunctions.udf.CIQ(A346, "IQ_BETA_1YR_RSQ", F346)</f>
        <v>0.15126000000000001</v>
      </c>
      <c r="T346">
        <f>_xll.ciqfunctions.udf.CIQ(A346, "IQ_VALUE_TRADED", F346)</f>
        <v>0.15640999999999999</v>
      </c>
    </row>
    <row r="347" spans="1:20" x14ac:dyDescent="0.3">
      <c r="A347" t="s">
        <v>385</v>
      </c>
      <c r="B347">
        <v>987.61</v>
      </c>
      <c r="C347" t="s">
        <v>1119</v>
      </c>
      <c r="D347" t="s">
        <v>1120</v>
      </c>
      <c r="E347" t="s">
        <v>22</v>
      </c>
      <c r="F347" s="1">
        <v>45350</v>
      </c>
      <c r="G347" t="s">
        <v>1121</v>
      </c>
      <c r="H347">
        <v>105</v>
      </c>
      <c r="I347">
        <f>_xll.ciqfunctions.udf.CIQ(A347, "IQ_MARKETCAP", F347)</f>
        <v>106130.44310999999</v>
      </c>
      <c r="J347">
        <f>_xll.ciqfunctions.udf.CIQ(A347, "IQ_PRICE_VOL_HIST_6MTH", F347)</f>
        <v>16.810700000000001</v>
      </c>
      <c r="K347">
        <f>_xll.ciqfunctions.udf.CIQ(A347, "IQ_LASTSALEPRICE", WORKDAY(F347,-1))</f>
        <v>993.35</v>
      </c>
      <c r="L347">
        <f>_xll.ciqfunctions.udf.CIQ(A347, "IQ_LASTSALEPRICE", F347)</f>
        <v>987.61</v>
      </c>
      <c r="M347">
        <f>_xll.ciqfunctions.udf.CIQ(A347, "IQ_LASTSALEPRICE", WORKDAY(F347,5))</f>
        <v>972.1</v>
      </c>
      <c r="N347">
        <f t="shared" si="10"/>
        <v>-5.7951862374055942E-3</v>
      </c>
      <c r="O347">
        <f t="shared" si="11"/>
        <v>-2.1624389387049248E-2</v>
      </c>
      <c r="P347">
        <f>LN(_xll.ciqfunctions.udf.CIQ("XBI", "IQ_LASTSALEPRICE", WORKDAY(F347,-1))/_xll.ciqfunctions.udf.CIQ("XBI", "IQ_LASTSALEPRICE", WORKDAY(F347,1)))</f>
        <v>4.4416420949886612E-2</v>
      </c>
      <c r="Q347">
        <f>LN(_xll.ciqfunctions.udf.CIQ("XBI", "IQ_LASTSALEPRICE", WORKDAY(F347,-1))/_xll.ciqfunctions.udf.CIQ("XBI", "IQ_LASTSALEPRICE", WORKDAY(F347,5)))</f>
        <v>2.7290989824145455E-2</v>
      </c>
      <c r="R347">
        <f>_xll.ciqfunctions.udf.CIQ(A347, "IQ_SHORT_INTEREST_PERCENT", F347)</f>
        <v>1.2752699999999999</v>
      </c>
      <c r="S347">
        <f>_xll.ciqfunctions.udf.CIQ(A347, "IQ_BETA_1YR_RSQ", F347)</f>
        <v>0.13894999999999999</v>
      </c>
      <c r="T347">
        <f>_xll.ciqfunctions.udf.CIQ(A347, "IQ_VALUE_TRADED", F347)</f>
        <v>479.97154999999998</v>
      </c>
    </row>
    <row r="348" spans="1:20" x14ac:dyDescent="0.3">
      <c r="A348" t="s">
        <v>1122</v>
      </c>
      <c r="B348">
        <v>3.74</v>
      </c>
      <c r="C348" t="s">
        <v>1123</v>
      </c>
      <c r="D348" t="s">
        <v>1124</v>
      </c>
      <c r="E348" t="s">
        <v>89</v>
      </c>
      <c r="F348" s="1">
        <v>45350</v>
      </c>
      <c r="G348" t="s">
        <v>1125</v>
      </c>
      <c r="H348">
        <v>59</v>
      </c>
      <c r="I348">
        <f>_xll.ciqfunctions.udf.CIQ(A348, "IQ_MARKETCAP", F348)</f>
        <v>190.83372</v>
      </c>
      <c r="J348">
        <f>_xll.ciqfunctions.udf.CIQ(A348, "IQ_PRICE_VOL_HIST_6MTH", F348)</f>
        <v>192.7424</v>
      </c>
      <c r="K348">
        <f>_xll.ciqfunctions.udf.CIQ(A348, "IQ_LASTSALEPRICE", WORKDAY(F348,-1))</f>
        <v>1.01</v>
      </c>
      <c r="L348">
        <f>_xll.ciqfunctions.udf.CIQ(A348, "IQ_LASTSALEPRICE", F348)</f>
        <v>3.74</v>
      </c>
      <c r="M348">
        <f>_xll.ciqfunctions.udf.CIQ(A348, "IQ_LASTSALEPRICE", WORKDAY(F348,5))</f>
        <v>2.21</v>
      </c>
      <c r="N348">
        <f t="shared" si="10"/>
        <v>1.3091352805732726</v>
      </c>
      <c r="O348">
        <f t="shared" si="11"/>
        <v>0.78304218467649345</v>
      </c>
      <c r="P348">
        <f>LN(_xll.ciqfunctions.udf.CIQ("XBI", "IQ_LASTSALEPRICE", WORKDAY(F348,-1))/_xll.ciqfunctions.udf.CIQ("XBI", "IQ_LASTSALEPRICE", WORKDAY(F348,1)))</f>
        <v>4.4416420949886612E-2</v>
      </c>
      <c r="Q348">
        <f>LN(_xll.ciqfunctions.udf.CIQ("XBI", "IQ_LASTSALEPRICE", WORKDAY(F348,-1))/_xll.ciqfunctions.udf.CIQ("XBI", "IQ_LASTSALEPRICE", WORKDAY(F348,5)))</f>
        <v>2.7290989824145455E-2</v>
      </c>
      <c r="R348">
        <f>_xll.ciqfunctions.udf.CIQ(A348, "IQ_SHORT_INTEREST_PERCENT", F348)</f>
        <v>0.36249999999999999</v>
      </c>
      <c r="S348">
        <f>_xll.ciqfunctions.udf.CIQ(A348, "IQ_BETA_1YR_RSQ", F348)</f>
        <v>5.6999999999999998E-4</v>
      </c>
      <c r="T348">
        <f>_xll.ciqfunctions.udf.CIQ(A348, "IQ_VALUE_TRADED", F348)</f>
        <v>556.55457999999999</v>
      </c>
    </row>
    <row r="349" spans="1:20" x14ac:dyDescent="0.3">
      <c r="A349" t="s">
        <v>271</v>
      </c>
      <c r="B349">
        <v>4.37</v>
      </c>
      <c r="C349" t="s">
        <v>1126</v>
      </c>
      <c r="D349" t="s">
        <v>1127</v>
      </c>
      <c r="E349" t="s">
        <v>76</v>
      </c>
      <c r="F349" s="1">
        <v>45350</v>
      </c>
      <c r="G349" t="s">
        <v>1128</v>
      </c>
      <c r="H349">
        <v>79</v>
      </c>
      <c r="I349">
        <f>_xll.ciqfunctions.udf.CIQ(A349, "IQ_MARKETCAP", F349)</f>
        <v>367.79906</v>
      </c>
      <c r="J349">
        <f>_xll.ciqfunctions.udf.CIQ(A349, "IQ_PRICE_VOL_HIST_6MTH", F349)</f>
        <v>47.731400000000001</v>
      </c>
      <c r="K349">
        <f>_xll.ciqfunctions.udf.CIQ(A349, "IQ_LASTSALEPRICE", WORKDAY(F349,-1))</f>
        <v>4.5599999999999996</v>
      </c>
      <c r="L349">
        <f>_xll.ciqfunctions.udf.CIQ(A349, "IQ_LASTSALEPRICE", F349)</f>
        <v>4.37</v>
      </c>
      <c r="M349">
        <f>_xll.ciqfunctions.udf.CIQ(A349, "IQ_LASTSALEPRICE", WORKDAY(F349,5))</f>
        <v>4.03</v>
      </c>
      <c r="N349">
        <f t="shared" si="10"/>
        <v>-4.2559614418795771E-2</v>
      </c>
      <c r="O349">
        <f t="shared" si="11"/>
        <v>-0.12355624756770293</v>
      </c>
      <c r="P349">
        <f>LN(_xll.ciqfunctions.udf.CIQ("XBI", "IQ_LASTSALEPRICE", WORKDAY(F349,-1))/_xll.ciqfunctions.udf.CIQ("XBI", "IQ_LASTSALEPRICE", WORKDAY(F349,1)))</f>
        <v>4.4416420949886612E-2</v>
      </c>
      <c r="Q349">
        <f>LN(_xll.ciqfunctions.udf.CIQ("XBI", "IQ_LASTSALEPRICE", WORKDAY(F349,-1))/_xll.ciqfunctions.udf.CIQ("XBI", "IQ_LASTSALEPRICE", WORKDAY(F349,5)))</f>
        <v>2.7290989824145455E-2</v>
      </c>
      <c r="R349">
        <f>_xll.ciqfunctions.udf.CIQ(A349, "IQ_SHORT_INTEREST_PERCENT", F349)</f>
        <v>1.9271499999999999</v>
      </c>
      <c r="S349">
        <f>_xll.ciqfunctions.udf.CIQ(A349, "IQ_BETA_1YR_RSQ", F349)</f>
        <v>3.6769999999999997E-2</v>
      </c>
      <c r="T349">
        <f>_xll.ciqfunctions.udf.CIQ(A349, "IQ_VALUE_TRADED", F349)</f>
        <v>3.66716</v>
      </c>
    </row>
    <row r="350" spans="1:20" x14ac:dyDescent="0.3">
      <c r="A350" t="s">
        <v>1129</v>
      </c>
      <c r="B350">
        <v>1.32</v>
      </c>
      <c r="C350" t="s">
        <v>1130</v>
      </c>
      <c r="D350" t="s">
        <v>1131</v>
      </c>
      <c r="E350" t="s">
        <v>76</v>
      </c>
      <c r="F350" s="1">
        <v>45350</v>
      </c>
      <c r="G350" t="s">
        <v>1132</v>
      </c>
      <c r="H350">
        <v>3</v>
      </c>
      <c r="I350">
        <f>_xll.ciqfunctions.udf.CIQ(A350, "IQ_MARKETCAP", F350)</f>
        <v>342.27559000000002</v>
      </c>
      <c r="J350">
        <f>_xll.ciqfunctions.udf.CIQ(A350, "IQ_PRICE_VOL_HIST_6MTH", F350)</f>
        <v>78.980999999999995</v>
      </c>
      <c r="K350">
        <f>_xll.ciqfunctions.udf.CIQ(A350, "IQ_LASTSALEPRICE", WORKDAY(F350,-1))</f>
        <v>0.29899999999999999</v>
      </c>
      <c r="L350">
        <f>_xll.ciqfunctions.udf.CIQ(A350, "IQ_LASTSALEPRICE", F350)</f>
        <v>0.315</v>
      </c>
      <c r="M350">
        <f>_xll.ciqfunctions.udf.CIQ(A350, "IQ_LASTSALEPRICE", WORKDAY(F350,5))</f>
        <v>0.318</v>
      </c>
      <c r="N350">
        <f t="shared" si="10"/>
        <v>5.2129065434946602E-2</v>
      </c>
      <c r="O350">
        <f t="shared" si="11"/>
        <v>6.160780938949037E-2</v>
      </c>
      <c r="P350">
        <f>LN(_xll.ciqfunctions.udf.CIQ("XBI", "IQ_LASTSALEPRICE", WORKDAY(F350,-1))/_xll.ciqfunctions.udf.CIQ("XBI", "IQ_LASTSALEPRICE", WORKDAY(F350,1)))</f>
        <v>4.4416420949886612E-2</v>
      </c>
      <c r="Q350">
        <f>LN(_xll.ciqfunctions.udf.CIQ("XBI", "IQ_LASTSALEPRICE", WORKDAY(F350,-1))/_xll.ciqfunctions.udf.CIQ("XBI", "IQ_LASTSALEPRICE", WORKDAY(F350,5)))</f>
        <v>2.7290989824145455E-2</v>
      </c>
      <c r="R350">
        <f>_xll.ciqfunctions.udf.CIQ(A350, "IQ_SHORT_INTEREST_PERCENT", F350)</f>
        <v>0</v>
      </c>
      <c r="S350">
        <f>_xll.ciqfunctions.udf.CIQ(A350, "IQ_BETA_1YR_RSQ", F350)</f>
        <v>6.7799999999999996E-3</v>
      </c>
      <c r="T350">
        <f>_xll.ciqfunctions.udf.CIQ(A350, "IQ_VALUE_TRADED", F350)</f>
        <v>0.48021999999999998</v>
      </c>
    </row>
    <row r="351" spans="1:20" x14ac:dyDescent="0.3">
      <c r="A351" t="s">
        <v>382</v>
      </c>
      <c r="B351" t="s">
        <v>43</v>
      </c>
      <c r="C351" t="s">
        <v>383</v>
      </c>
      <c r="D351" t="s">
        <v>104</v>
      </c>
      <c r="E351" t="s">
        <v>17</v>
      </c>
      <c r="F351" s="1">
        <v>45351</v>
      </c>
      <c r="G351" t="s">
        <v>1133</v>
      </c>
      <c r="H351">
        <v>13</v>
      </c>
      <c r="I351" t="str">
        <f>_xll.ciqfunctions.udf.CIQ(A351, "IQ_MARKETCAP", F351)</f>
        <v>(Invalid Identifier)</v>
      </c>
      <c r="J351" t="str">
        <f>_xll.ciqfunctions.udf.CIQ(A351, "IQ_PRICE_VOL_HIST_6MTH", F351)</f>
        <v>(Invalid Identifier)</v>
      </c>
      <c r="K351" t="str">
        <f>_xll.ciqfunctions.udf.CIQ(A351, "IQ_LASTSALEPRICE", WORKDAY(F351,-1))</f>
        <v>(Invalid Identifier)</v>
      </c>
      <c r="L351" t="str">
        <f>_xll.ciqfunctions.udf.CIQ(A351, "IQ_LASTSALEPRICE", F351)</f>
        <v>(Invalid Identifier)</v>
      </c>
      <c r="M351" t="str">
        <f>_xll.ciqfunctions.udf.CIQ(A351, "IQ_LASTSALEPRICE", WORKDAY(F351,5))</f>
        <v>(Invalid Identifier)</v>
      </c>
      <c r="N351" t="e">
        <f t="shared" si="10"/>
        <v>#VALUE!</v>
      </c>
      <c r="O351" t="e">
        <f t="shared" si="11"/>
        <v>#VALUE!</v>
      </c>
      <c r="P351">
        <f>LN(_xll.ciqfunctions.udf.CIQ("XBI", "IQ_LASTSALEPRICE", WORKDAY(F351,-1))/_xll.ciqfunctions.udf.CIQ("XBI", "IQ_LASTSALEPRICE", WORKDAY(F351,1)))</f>
        <v>0</v>
      </c>
      <c r="Q351">
        <f>LN(_xll.ciqfunctions.udf.CIQ("XBI", "IQ_LASTSALEPRICE", WORKDAY(F351,-1))/_xll.ciqfunctions.udf.CIQ("XBI", "IQ_LASTSALEPRICE", WORKDAY(F351,5)))</f>
        <v>2.7357936256748681E-2</v>
      </c>
      <c r="R351" t="str">
        <f>_xll.ciqfunctions.udf.CIQ(A351, "IQ_SHORT_INTEREST_PERCENT", F351)</f>
        <v>(Invalid Identifier)</v>
      </c>
      <c r="S351" t="str">
        <f>_xll.ciqfunctions.udf.CIQ(A351, "IQ_BETA_1YR_RSQ", F351)</f>
        <v>(Invalid Identifier)</v>
      </c>
      <c r="T351" t="str">
        <f>_xll.ciqfunctions.udf.CIQ(A351, "IQ_VALUE_TRADED", F351)</f>
        <v>(Invalid Identifier)</v>
      </c>
    </row>
    <row r="352" spans="1:20" x14ac:dyDescent="0.3">
      <c r="A352" t="s">
        <v>1134</v>
      </c>
      <c r="B352">
        <v>1.47</v>
      </c>
      <c r="C352" t="s">
        <v>1135</v>
      </c>
      <c r="D352" t="s">
        <v>1136</v>
      </c>
      <c r="E352" t="s">
        <v>76</v>
      </c>
      <c r="F352" s="1">
        <v>45351</v>
      </c>
      <c r="G352" t="s">
        <v>1137</v>
      </c>
      <c r="H352">
        <v>98</v>
      </c>
      <c r="I352">
        <f>_xll.ciqfunctions.udf.CIQ(A352, "IQ_MARKETCAP", F352)</f>
        <v>131.74601000000001</v>
      </c>
      <c r="J352">
        <f>_xll.ciqfunctions.udf.CIQ(A352, "IQ_PRICE_VOL_HIST_6MTH", F352)</f>
        <v>78.456100000000006</v>
      </c>
      <c r="K352">
        <f>_xll.ciqfunctions.udf.CIQ(A352, "IQ_LASTSALEPRICE", WORKDAY(F352,-1))</f>
        <v>1.4</v>
      </c>
      <c r="L352">
        <f>_xll.ciqfunctions.udf.CIQ(A352, "IQ_LASTSALEPRICE", F352)</f>
        <v>1.4650000000000001</v>
      </c>
      <c r="M352">
        <f>_xll.ciqfunctions.udf.CIQ(A352, "IQ_LASTSALEPRICE", WORKDAY(F352,5))</f>
        <v>1.46</v>
      </c>
      <c r="N352">
        <f t="shared" si="10"/>
        <v>4.5383005847817751E-2</v>
      </c>
      <c r="O352">
        <f t="shared" si="11"/>
        <v>4.1964199099032207E-2</v>
      </c>
      <c r="P352">
        <f>LN(_xll.ciqfunctions.udf.CIQ("XBI", "IQ_LASTSALEPRICE", WORKDAY(F352,-1))/_xll.ciqfunctions.udf.CIQ("XBI", "IQ_LASTSALEPRICE", WORKDAY(F352,1)))</f>
        <v>0</v>
      </c>
      <c r="Q352">
        <f>LN(_xll.ciqfunctions.udf.CIQ("XBI", "IQ_LASTSALEPRICE", WORKDAY(F352,-1))/_xll.ciqfunctions.udf.CIQ("XBI", "IQ_LASTSALEPRICE", WORKDAY(F352,5)))</f>
        <v>2.7357936256748681E-2</v>
      </c>
      <c r="R352">
        <f>_xll.ciqfunctions.udf.CIQ(A352, "IQ_SHORT_INTEREST_PERCENT", F352)</f>
        <v>2.80674</v>
      </c>
      <c r="S352">
        <f>_xll.ciqfunctions.udf.CIQ(A352, "IQ_BETA_1YR_RSQ", F352)</f>
        <v>0.13566</v>
      </c>
      <c r="T352">
        <f>_xll.ciqfunctions.udf.CIQ(A352, "IQ_VALUE_TRADED", F352)</f>
        <v>0.96431999999999995</v>
      </c>
    </row>
    <row r="353" spans="1:20" x14ac:dyDescent="0.3">
      <c r="A353" t="s">
        <v>1134</v>
      </c>
      <c r="B353">
        <v>1.47</v>
      </c>
      <c r="C353" t="s">
        <v>1138</v>
      </c>
      <c r="D353" t="s">
        <v>273</v>
      </c>
      <c r="E353" t="s">
        <v>76</v>
      </c>
      <c r="F353" s="1">
        <v>45351</v>
      </c>
      <c r="G353" t="s">
        <v>1139</v>
      </c>
      <c r="H353">
        <v>98</v>
      </c>
      <c r="I353">
        <f>_xll.ciqfunctions.udf.CIQ(A353, "IQ_MARKETCAP", F353)</f>
        <v>131.74601000000001</v>
      </c>
      <c r="J353">
        <f>_xll.ciqfunctions.udf.CIQ(A353, "IQ_PRICE_VOL_HIST_6MTH", F353)</f>
        <v>78.456100000000006</v>
      </c>
      <c r="K353">
        <f>_xll.ciqfunctions.udf.CIQ(A353, "IQ_LASTSALEPRICE", WORKDAY(F353,-1))</f>
        <v>1.4</v>
      </c>
      <c r="L353">
        <f>_xll.ciqfunctions.udf.CIQ(A353, "IQ_LASTSALEPRICE", F353)</f>
        <v>1.4650000000000001</v>
      </c>
      <c r="M353">
        <f>_xll.ciqfunctions.udf.CIQ(A353, "IQ_LASTSALEPRICE", WORKDAY(F353,5))</f>
        <v>1.46</v>
      </c>
      <c r="N353">
        <f t="shared" si="10"/>
        <v>4.5383005847817751E-2</v>
      </c>
      <c r="O353">
        <f t="shared" si="11"/>
        <v>4.1964199099032207E-2</v>
      </c>
      <c r="P353">
        <f>LN(_xll.ciqfunctions.udf.CIQ("XBI", "IQ_LASTSALEPRICE", WORKDAY(F353,-1))/_xll.ciqfunctions.udf.CIQ("XBI", "IQ_LASTSALEPRICE", WORKDAY(F353,1)))</f>
        <v>0</v>
      </c>
      <c r="Q353">
        <f>LN(_xll.ciqfunctions.udf.CIQ("XBI", "IQ_LASTSALEPRICE", WORKDAY(F353,-1))/_xll.ciqfunctions.udf.CIQ("XBI", "IQ_LASTSALEPRICE", WORKDAY(F353,5)))</f>
        <v>2.7357936256748681E-2</v>
      </c>
      <c r="R353">
        <f>_xll.ciqfunctions.udf.CIQ(A353, "IQ_SHORT_INTEREST_PERCENT", F353)</f>
        <v>2.80674</v>
      </c>
      <c r="S353">
        <f>_xll.ciqfunctions.udf.CIQ(A353, "IQ_BETA_1YR_RSQ", F353)</f>
        <v>0.13566</v>
      </c>
      <c r="T353">
        <f>_xll.ciqfunctions.udf.CIQ(A353, "IQ_VALUE_TRADED", F353)</f>
        <v>0.96431999999999995</v>
      </c>
    </row>
    <row r="354" spans="1:20" x14ac:dyDescent="0.3">
      <c r="A354" t="s">
        <v>1140</v>
      </c>
      <c r="B354">
        <v>9.43</v>
      </c>
      <c r="C354" t="s">
        <v>1141</v>
      </c>
      <c r="D354" t="s">
        <v>1142</v>
      </c>
      <c r="E354" t="s">
        <v>36</v>
      </c>
      <c r="F354" s="1">
        <v>45351</v>
      </c>
      <c r="G354" t="s">
        <v>1143</v>
      </c>
      <c r="H354">
        <v>162</v>
      </c>
      <c r="I354">
        <f>_xll.ciqfunctions.udf.CIQ(A354, "IQ_MARKETCAP", F354)</f>
        <v>1476.0651499999999</v>
      </c>
      <c r="J354">
        <f>_xll.ciqfunctions.udf.CIQ(A354, "IQ_PRICE_VOL_HIST_6MTH", F354)</f>
        <v>78.162000000000006</v>
      </c>
      <c r="K354">
        <f>_xll.ciqfunctions.udf.CIQ(A354, "IQ_LASTSALEPRICE", WORKDAY(F354,-1))</f>
        <v>15.12</v>
      </c>
      <c r="L354">
        <f>_xll.ciqfunctions.udf.CIQ(A354, "IQ_LASTSALEPRICE", F354)</f>
        <v>9.43</v>
      </c>
      <c r="M354">
        <f>_xll.ciqfunctions.udf.CIQ(A354, "IQ_LASTSALEPRICE", WORKDAY(F354,5))</f>
        <v>8.93</v>
      </c>
      <c r="N354">
        <f t="shared" si="10"/>
        <v>-0.47212227410602076</v>
      </c>
      <c r="O354">
        <f t="shared" si="11"/>
        <v>-0.5266019758629793</v>
      </c>
      <c r="P354">
        <f>LN(_xll.ciqfunctions.udf.CIQ("XBI", "IQ_LASTSALEPRICE", WORKDAY(F354,-1))/_xll.ciqfunctions.udf.CIQ("XBI", "IQ_LASTSALEPRICE", WORKDAY(F354,1)))</f>
        <v>0</v>
      </c>
      <c r="Q354">
        <f>LN(_xll.ciqfunctions.udf.CIQ("XBI", "IQ_LASTSALEPRICE", WORKDAY(F354,-1))/_xll.ciqfunctions.udf.CIQ("XBI", "IQ_LASTSALEPRICE", WORKDAY(F354,5)))</f>
        <v>2.7357936256748681E-2</v>
      </c>
      <c r="R354">
        <f>_xll.ciqfunctions.udf.CIQ(A354, "IQ_SHORT_INTEREST_PERCENT", F354)</f>
        <v>9.9644200000000005</v>
      </c>
      <c r="S354">
        <f>_xll.ciqfunctions.udf.CIQ(A354, "IQ_BETA_1YR_RSQ", F354)</f>
        <v>4.938E-2</v>
      </c>
      <c r="T354">
        <f>_xll.ciqfunctions.udf.CIQ(A354, "IQ_VALUE_TRADED", F354)</f>
        <v>297.32596999999998</v>
      </c>
    </row>
    <row r="355" spans="1:20" x14ac:dyDescent="0.3">
      <c r="A355" t="s">
        <v>204</v>
      </c>
      <c r="B355">
        <v>8.0500000000000007</v>
      </c>
      <c r="C355" t="s">
        <v>205</v>
      </c>
      <c r="D355" t="s">
        <v>206</v>
      </c>
      <c r="E355" t="s">
        <v>76</v>
      </c>
      <c r="F355" s="1">
        <v>45351</v>
      </c>
      <c r="G355" t="s">
        <v>1144</v>
      </c>
      <c r="H355">
        <v>9</v>
      </c>
      <c r="I355">
        <f>_xll.ciqfunctions.udf.CIQ(A355, "IQ_MARKETCAP", F355)</f>
        <v>51.674439999999997</v>
      </c>
      <c r="J355">
        <f>_xll.ciqfunctions.udf.CIQ(A355, "IQ_PRICE_VOL_HIST_6MTH", F355)</f>
        <v>111.9083</v>
      </c>
      <c r="K355">
        <f>_xll.ciqfunctions.udf.CIQ(A355, "IQ_LASTSALEPRICE", WORKDAY(F355,-1))</f>
        <v>8.68</v>
      </c>
      <c r="L355">
        <f>_xll.ciqfunctions.udf.CIQ(A355, "IQ_LASTSALEPRICE", F355)</f>
        <v>8.048</v>
      </c>
      <c r="M355">
        <f>_xll.ciqfunctions.udf.CIQ(A355, "IQ_LASTSALEPRICE", WORKDAY(F355,5))</f>
        <v>8.1300000000000008</v>
      </c>
      <c r="N355">
        <f t="shared" si="10"/>
        <v>-7.5597915314875405E-2</v>
      </c>
      <c r="O355">
        <f t="shared" si="11"/>
        <v>-6.5460605112539427E-2</v>
      </c>
      <c r="P355">
        <f>LN(_xll.ciqfunctions.udf.CIQ("XBI", "IQ_LASTSALEPRICE", WORKDAY(F355,-1))/_xll.ciqfunctions.udf.CIQ("XBI", "IQ_LASTSALEPRICE", WORKDAY(F355,1)))</f>
        <v>0</v>
      </c>
      <c r="Q355">
        <f>LN(_xll.ciqfunctions.udf.CIQ("XBI", "IQ_LASTSALEPRICE", WORKDAY(F355,-1))/_xll.ciqfunctions.udf.CIQ("XBI", "IQ_LASTSALEPRICE", WORKDAY(F355,5)))</f>
        <v>2.7357936256748681E-2</v>
      </c>
      <c r="R355">
        <f>_xll.ciqfunctions.udf.CIQ(A355, "IQ_SHORT_INTEREST_PERCENT", F355)</f>
        <v>0.17810999999999999</v>
      </c>
      <c r="S355">
        <f>_xll.ciqfunctions.udf.CIQ(A355, "IQ_BETA_1YR_RSQ", F355)</f>
        <v>3.295E-2</v>
      </c>
      <c r="T355">
        <f>_xll.ciqfunctions.udf.CIQ(A355, "IQ_VALUE_TRADED", F355)</f>
        <v>0.70426</v>
      </c>
    </row>
    <row r="356" spans="1:20" x14ac:dyDescent="0.3">
      <c r="A356" t="s">
        <v>1145</v>
      </c>
      <c r="B356">
        <v>1.1399999999999999</v>
      </c>
      <c r="C356" t="s">
        <v>1146</v>
      </c>
      <c r="D356" t="s">
        <v>1147</v>
      </c>
      <c r="E356" t="s">
        <v>89</v>
      </c>
      <c r="F356" s="1">
        <v>45351</v>
      </c>
      <c r="G356" t="s">
        <v>1148</v>
      </c>
      <c r="H356">
        <v>2</v>
      </c>
      <c r="I356">
        <f>_xll.ciqfunctions.udf.CIQ(A356, "IQ_MARKETCAP", F356)</f>
        <v>10.71518</v>
      </c>
      <c r="J356">
        <f>_xll.ciqfunctions.udf.CIQ(A356, "IQ_PRICE_VOL_HIST_6MTH", F356)</f>
        <v>85.735699999999994</v>
      </c>
      <c r="K356">
        <f>_xll.ciqfunctions.udf.CIQ(A356, "IQ_LASTSALEPRICE", WORKDAY(F356,-1))</f>
        <v>12.7826</v>
      </c>
      <c r="L356">
        <f>_xll.ciqfunctions.udf.CIQ(A356, "IQ_LASTSALEPRICE", F356)</f>
        <v>14.86956</v>
      </c>
      <c r="M356">
        <f>_xll.ciqfunctions.udf.CIQ(A356, "IQ_LASTSALEPRICE", WORKDAY(F356,5))</f>
        <v>12.7826</v>
      </c>
      <c r="N356">
        <f t="shared" si="10"/>
        <v>0.15123129911900923</v>
      </c>
      <c r="O356">
        <f t="shared" si="11"/>
        <v>0</v>
      </c>
      <c r="P356">
        <f>LN(_xll.ciqfunctions.udf.CIQ("XBI", "IQ_LASTSALEPRICE", WORKDAY(F356,-1))/_xll.ciqfunctions.udf.CIQ("XBI", "IQ_LASTSALEPRICE", WORKDAY(F356,1)))</f>
        <v>0</v>
      </c>
      <c r="Q356">
        <f>LN(_xll.ciqfunctions.udf.CIQ("XBI", "IQ_LASTSALEPRICE", WORKDAY(F356,-1))/_xll.ciqfunctions.udf.CIQ("XBI", "IQ_LASTSALEPRICE", WORKDAY(F356,5)))</f>
        <v>2.7357936256748681E-2</v>
      </c>
      <c r="R356">
        <f>_xll.ciqfunctions.udf.CIQ(A356, "IQ_SHORT_INTEREST_PERCENT", F356)</f>
        <v>5.5381400000000003</v>
      </c>
      <c r="S356">
        <f>_xll.ciqfunctions.udf.CIQ(A356, "IQ_BETA_1YR_RSQ", F356)</f>
        <v>2.5059999999999999E-2</v>
      </c>
      <c r="T356">
        <f>_xll.ciqfunctions.udf.CIQ(A356, "IQ_VALUE_TRADED", F356)</f>
        <v>1.07745</v>
      </c>
    </row>
    <row r="357" spans="1:20" x14ac:dyDescent="0.3">
      <c r="A357" t="s">
        <v>1149</v>
      </c>
      <c r="B357">
        <v>2.08</v>
      </c>
      <c r="C357" t="s">
        <v>1150</v>
      </c>
      <c r="D357" t="s">
        <v>1151</v>
      </c>
      <c r="E357" t="s">
        <v>22</v>
      </c>
      <c r="F357" s="1">
        <v>45351</v>
      </c>
      <c r="G357" t="s">
        <v>1152</v>
      </c>
      <c r="H357">
        <v>76</v>
      </c>
      <c r="I357">
        <f>_xll.ciqfunctions.udf.CIQ(A357, "IQ_MARKETCAP", F357)</f>
        <v>93.630809999999997</v>
      </c>
      <c r="J357">
        <f>_xll.ciqfunctions.udf.CIQ(A357, "IQ_PRICE_VOL_HIST_6MTH", F357)</f>
        <v>77.989699999999999</v>
      </c>
      <c r="K357">
        <f>_xll.ciqfunctions.udf.CIQ(A357, "IQ_LASTSALEPRICE", WORKDAY(F357,-1))</f>
        <v>2.12</v>
      </c>
      <c r="L357">
        <f>_xll.ciqfunctions.udf.CIQ(A357, "IQ_LASTSALEPRICE", F357)</f>
        <v>2.0750000000000002</v>
      </c>
      <c r="M357">
        <f>_xll.ciqfunctions.udf.CIQ(A357, "IQ_LASTSALEPRICE", WORKDAY(F357,5))</f>
        <v>1.97</v>
      </c>
      <c r="N357">
        <f t="shared" si="10"/>
        <v>-2.1454935001259376E-2</v>
      </c>
      <c r="O357">
        <f t="shared" si="11"/>
        <v>-7.3382545934023991E-2</v>
      </c>
      <c r="P357">
        <f>LN(_xll.ciqfunctions.udf.CIQ("XBI", "IQ_LASTSALEPRICE", WORKDAY(F357,-1))/_xll.ciqfunctions.udf.CIQ("XBI", "IQ_LASTSALEPRICE", WORKDAY(F357,1)))</f>
        <v>0</v>
      </c>
      <c r="Q357">
        <f>LN(_xll.ciqfunctions.udf.CIQ("XBI", "IQ_LASTSALEPRICE", WORKDAY(F357,-1))/_xll.ciqfunctions.udf.CIQ("XBI", "IQ_LASTSALEPRICE", WORKDAY(F357,5)))</f>
        <v>2.7357936256748681E-2</v>
      </c>
      <c r="R357">
        <f>_xll.ciqfunctions.udf.CIQ(A357, "IQ_SHORT_INTEREST_PERCENT", F357)</f>
        <v>8.4403799999999993</v>
      </c>
      <c r="S357">
        <f>_xll.ciqfunctions.udf.CIQ(A357, "IQ_BETA_1YR_RSQ", F357)</f>
        <v>0.19908999999999999</v>
      </c>
      <c r="T357">
        <f>_xll.ciqfunctions.udf.CIQ(A357, "IQ_VALUE_TRADED", F357)</f>
        <v>0.33102999999999999</v>
      </c>
    </row>
    <row r="358" spans="1:20" x14ac:dyDescent="0.3">
      <c r="A358" t="s">
        <v>405</v>
      </c>
      <c r="B358">
        <v>1.77</v>
      </c>
      <c r="C358" t="s">
        <v>1153</v>
      </c>
      <c r="D358" t="s">
        <v>1154</v>
      </c>
      <c r="E358" t="s">
        <v>76</v>
      </c>
      <c r="F358" s="1">
        <v>45351</v>
      </c>
      <c r="G358" t="s">
        <v>1155</v>
      </c>
      <c r="H358">
        <v>66</v>
      </c>
      <c r="I358">
        <f>_xll.ciqfunctions.udf.CIQ(A358, "IQ_MARKETCAP", F358)</f>
        <v>78.855199999999996</v>
      </c>
      <c r="J358">
        <f>_xll.ciqfunctions.udf.CIQ(A358, "IQ_PRICE_VOL_HIST_6MTH", F358)</f>
        <v>78.209500000000006</v>
      </c>
      <c r="K358">
        <f>_xll.ciqfunctions.udf.CIQ(A358, "IQ_LASTSALEPRICE", WORKDAY(F358,-1))</f>
        <v>1.82</v>
      </c>
      <c r="L358">
        <f>_xll.ciqfunctions.udf.CIQ(A358, "IQ_LASTSALEPRICE", F358)</f>
        <v>1.7649999999999999</v>
      </c>
      <c r="M358">
        <f>_xll.ciqfunctions.udf.CIQ(A358, "IQ_LASTSALEPRICE", WORKDAY(F358,5))</f>
        <v>3.51</v>
      </c>
      <c r="N358">
        <f t="shared" si="10"/>
        <v>-3.0685810703444012E-2</v>
      </c>
      <c r="O358">
        <f t="shared" si="11"/>
        <v>0.65677953638907038</v>
      </c>
      <c r="P358">
        <f>LN(_xll.ciqfunctions.udf.CIQ("XBI", "IQ_LASTSALEPRICE", WORKDAY(F358,-1))/_xll.ciqfunctions.udf.CIQ("XBI", "IQ_LASTSALEPRICE", WORKDAY(F358,1)))</f>
        <v>0</v>
      </c>
      <c r="Q358">
        <f>LN(_xll.ciqfunctions.udf.CIQ("XBI", "IQ_LASTSALEPRICE", WORKDAY(F358,-1))/_xll.ciqfunctions.udf.CIQ("XBI", "IQ_LASTSALEPRICE", WORKDAY(F358,5)))</f>
        <v>2.7357936256748681E-2</v>
      </c>
      <c r="R358">
        <f>_xll.ciqfunctions.udf.CIQ(A358, "IQ_SHORT_INTEREST_PERCENT", F358)</f>
        <v>2.65794</v>
      </c>
      <c r="S358">
        <f>_xll.ciqfunctions.udf.CIQ(A358, "IQ_BETA_1YR_RSQ", F358)</f>
        <v>6.812E-2</v>
      </c>
      <c r="T358">
        <f>_xll.ciqfunctions.udf.CIQ(A358, "IQ_VALUE_TRADED", F358)</f>
        <v>3.4809000000000001</v>
      </c>
    </row>
    <row r="359" spans="1:20" x14ac:dyDescent="0.3">
      <c r="A359" t="s">
        <v>1156</v>
      </c>
      <c r="B359">
        <v>17.22</v>
      </c>
      <c r="C359" t="s">
        <v>1157</v>
      </c>
      <c r="D359" t="s">
        <v>1158</v>
      </c>
      <c r="E359" t="s">
        <v>36</v>
      </c>
      <c r="F359" s="1">
        <v>45351</v>
      </c>
      <c r="G359" t="s">
        <v>1159</v>
      </c>
      <c r="H359">
        <v>158</v>
      </c>
      <c r="I359">
        <f>_xll.ciqfunctions.udf.CIQ(A359, "IQ_MARKETCAP", F359)</f>
        <v>2493.1409399999998</v>
      </c>
      <c r="J359">
        <f>_xll.ciqfunctions.udf.CIQ(A359, "IQ_PRICE_VOL_HIST_6MTH", F359)</f>
        <v>85.153800000000004</v>
      </c>
      <c r="K359">
        <f>_xll.ciqfunctions.udf.CIQ(A359, "IQ_LASTSALEPRICE", WORKDAY(F359,-1))</f>
        <v>17.63</v>
      </c>
      <c r="L359">
        <f>_xll.ciqfunctions.udf.CIQ(A359, "IQ_LASTSALEPRICE", F359)</f>
        <v>17.22</v>
      </c>
      <c r="M359">
        <f>_xll.ciqfunctions.udf.CIQ(A359, "IQ_LASTSALEPRICE", WORKDAY(F359,5))</f>
        <v>18</v>
      </c>
      <c r="N359">
        <f t="shared" si="10"/>
        <v>-2.3530497410194161E-2</v>
      </c>
      <c r="O359">
        <f t="shared" si="11"/>
        <v>2.0769761486385912E-2</v>
      </c>
      <c r="P359">
        <f>LN(_xll.ciqfunctions.udf.CIQ("XBI", "IQ_LASTSALEPRICE", WORKDAY(F359,-1))/_xll.ciqfunctions.udf.CIQ("XBI", "IQ_LASTSALEPRICE", WORKDAY(F359,1)))</f>
        <v>0</v>
      </c>
      <c r="Q359">
        <f>LN(_xll.ciqfunctions.udf.CIQ("XBI", "IQ_LASTSALEPRICE", WORKDAY(F359,-1))/_xll.ciqfunctions.udf.CIQ("XBI", "IQ_LASTSALEPRICE", WORKDAY(F359,5)))</f>
        <v>2.7357936256748681E-2</v>
      </c>
      <c r="R359">
        <f>_xll.ciqfunctions.udf.CIQ(A359, "IQ_SHORT_INTEREST_PERCENT", F359)</f>
        <v>24.710809999999999</v>
      </c>
      <c r="S359">
        <f>_xll.ciqfunctions.udf.CIQ(A359, "IQ_BETA_1YR_RSQ", F359)</f>
        <v>0.15503</v>
      </c>
      <c r="T359">
        <f>_xll.ciqfunctions.udf.CIQ(A359, "IQ_VALUE_TRADED", F359)</f>
        <v>106.87179999999999</v>
      </c>
    </row>
    <row r="360" spans="1:20" x14ac:dyDescent="0.3">
      <c r="A360" t="s">
        <v>117</v>
      </c>
      <c r="B360">
        <v>43.42</v>
      </c>
      <c r="C360" t="s">
        <v>1160</v>
      </c>
      <c r="D360" t="s">
        <v>1161</v>
      </c>
      <c r="E360" t="s">
        <v>76</v>
      </c>
      <c r="F360" s="1">
        <v>45351</v>
      </c>
      <c r="G360" t="s">
        <v>1162</v>
      </c>
      <c r="H360">
        <v>66</v>
      </c>
      <c r="I360">
        <f>_xll.ciqfunctions.udf.CIQ(A360, "IQ_MARKETCAP", F360)</f>
        <v>2611.3002900000001</v>
      </c>
      <c r="J360">
        <f>_xll.ciqfunctions.udf.CIQ(A360, "IQ_PRICE_VOL_HIST_6MTH", F360)</f>
        <v>63.277200000000001</v>
      </c>
      <c r="K360">
        <f>_xll.ciqfunctions.udf.CIQ(A360, "IQ_LASTSALEPRICE", WORKDAY(F360,-1))</f>
        <v>44.38</v>
      </c>
      <c r="L360">
        <f>_xll.ciqfunctions.udf.CIQ(A360, "IQ_LASTSALEPRICE", F360)</f>
        <v>43.42</v>
      </c>
      <c r="M360">
        <f>_xll.ciqfunctions.udf.CIQ(A360, "IQ_LASTSALEPRICE", WORKDAY(F360,5))</f>
        <v>41.67</v>
      </c>
      <c r="N360">
        <f t="shared" si="10"/>
        <v>-2.1868753054302085E-2</v>
      </c>
      <c r="O360">
        <f t="shared" si="11"/>
        <v>-6.3007472070085752E-2</v>
      </c>
      <c r="P360">
        <f>LN(_xll.ciqfunctions.udf.CIQ("XBI", "IQ_LASTSALEPRICE", WORKDAY(F360,-1))/_xll.ciqfunctions.udf.CIQ("XBI", "IQ_LASTSALEPRICE", WORKDAY(F360,1)))</f>
        <v>0</v>
      </c>
      <c r="Q360">
        <f>LN(_xll.ciqfunctions.udf.CIQ("XBI", "IQ_LASTSALEPRICE", WORKDAY(F360,-1))/_xll.ciqfunctions.udf.CIQ("XBI", "IQ_LASTSALEPRICE", WORKDAY(F360,5)))</f>
        <v>2.7357936256748681E-2</v>
      </c>
      <c r="R360">
        <f>_xll.ciqfunctions.udf.CIQ(A360, "IQ_SHORT_INTEREST_PERCENT", F360)</f>
        <v>14.568519999999999</v>
      </c>
      <c r="S360">
        <f>_xll.ciqfunctions.udf.CIQ(A360, "IQ_BETA_1YR_RSQ", F360)</f>
        <v>0.14954000000000001</v>
      </c>
      <c r="T360">
        <f>_xll.ciqfunctions.udf.CIQ(A360, "IQ_VALUE_TRADED", F360)</f>
        <v>22.770579999999999</v>
      </c>
    </row>
    <row r="361" spans="1:20" x14ac:dyDescent="0.3">
      <c r="A361" t="s">
        <v>895</v>
      </c>
      <c r="B361">
        <v>19.45</v>
      </c>
      <c r="C361" t="s">
        <v>896</v>
      </c>
      <c r="D361" t="s">
        <v>897</v>
      </c>
      <c r="E361" t="s">
        <v>184</v>
      </c>
      <c r="F361" s="1">
        <v>45351</v>
      </c>
      <c r="G361" t="s">
        <v>1163</v>
      </c>
      <c r="H361">
        <v>7</v>
      </c>
      <c r="I361">
        <f>_xll.ciqfunctions.udf.CIQ(A361, "IQ_MARKETCAP", F361)</f>
        <v>79.295509999999993</v>
      </c>
      <c r="J361">
        <f>_xll.ciqfunctions.udf.CIQ(A361, "IQ_PRICE_VOL_HIST_6MTH", F361)</f>
        <v>267.37689999999998</v>
      </c>
      <c r="K361">
        <f>_xll.ciqfunctions.udf.CIQ(A361, "IQ_LASTSALEPRICE", WORKDAY(F361,-1))</f>
        <v>19.012499999999999</v>
      </c>
      <c r="L361">
        <f>_xll.ciqfunctions.udf.CIQ(A361, "IQ_LASTSALEPRICE", F361)</f>
        <v>19.45</v>
      </c>
      <c r="M361">
        <f>_xll.ciqfunctions.udf.CIQ(A361, "IQ_LASTSALEPRICE", WORKDAY(F361,5))</f>
        <v>17.407499999999999</v>
      </c>
      <c r="N361">
        <f t="shared" si="10"/>
        <v>2.2750412479044028E-2</v>
      </c>
      <c r="O361">
        <f t="shared" si="11"/>
        <v>-8.8195509750846585E-2</v>
      </c>
      <c r="P361">
        <f>LN(_xll.ciqfunctions.udf.CIQ("XBI", "IQ_LASTSALEPRICE", WORKDAY(F361,-1))/_xll.ciqfunctions.udf.CIQ("XBI", "IQ_LASTSALEPRICE", WORKDAY(F361,1)))</f>
        <v>0</v>
      </c>
      <c r="Q361">
        <f>LN(_xll.ciqfunctions.udf.CIQ("XBI", "IQ_LASTSALEPRICE", WORKDAY(F361,-1))/_xll.ciqfunctions.udf.CIQ("XBI", "IQ_LASTSALEPRICE", WORKDAY(F361,5)))</f>
        <v>2.7357936256748681E-2</v>
      </c>
      <c r="R361">
        <f>_xll.ciqfunctions.udf.CIQ(A361, "IQ_SHORT_INTEREST_PERCENT", F361)</f>
        <v>10.66789</v>
      </c>
      <c r="S361">
        <f>_xll.ciqfunctions.udf.CIQ(A361, "IQ_BETA_1YR_RSQ", F361)</f>
        <v>3.1060000000000001E-2</v>
      </c>
      <c r="T361">
        <f>_xll.ciqfunctions.udf.CIQ(A361, "IQ_VALUE_TRADED", F361)</f>
        <v>4.2351000000000001</v>
      </c>
    </row>
    <row r="362" spans="1:20" x14ac:dyDescent="0.3">
      <c r="A362" t="s">
        <v>1164</v>
      </c>
      <c r="B362">
        <v>18.510000000000002</v>
      </c>
      <c r="C362" t="s">
        <v>1165</v>
      </c>
      <c r="D362" t="s">
        <v>1166</v>
      </c>
      <c r="E362" t="s">
        <v>184</v>
      </c>
      <c r="F362" s="1">
        <v>45352</v>
      </c>
      <c r="G362" t="s">
        <v>1167</v>
      </c>
      <c r="H362">
        <v>59</v>
      </c>
      <c r="I362">
        <f>_xll.ciqfunctions.udf.CIQ(A362, "IQ_MARKETCAP", F362)</f>
        <v>791.86972000000003</v>
      </c>
      <c r="J362">
        <f>_xll.ciqfunctions.udf.CIQ(A362, "IQ_PRICE_VOL_HIST_6MTH", F362)</f>
        <v>60.456400000000002</v>
      </c>
      <c r="K362">
        <f>_xll.ciqfunctions.udf.CIQ(A362, "IQ_LASTSALEPRICE", WORKDAY(F362,-1))</f>
        <v>18.47</v>
      </c>
      <c r="L362">
        <f>_xll.ciqfunctions.udf.CIQ(A362, "IQ_LASTSALEPRICE", F362)</f>
        <v>18.510000000000002</v>
      </c>
      <c r="M362">
        <f>_xll.ciqfunctions.udf.CIQ(A362, "IQ_LASTSALEPRICE", WORKDAY(F362,5))</f>
        <v>16.79</v>
      </c>
      <c r="N362">
        <f t="shared" si="10"/>
        <v>2.163332374257654E-3</v>
      </c>
      <c r="O362">
        <f t="shared" si="11"/>
        <v>-9.536432312169911E-2</v>
      </c>
      <c r="P362">
        <f>LN(_xll.ciqfunctions.udf.CIQ("XBI", "IQ_LASTSALEPRICE", WORKDAY(F362,-1))/_xll.ciqfunctions.udf.CIQ("XBI", "IQ_LASTSALEPRICE", WORKDAY(F362,1)))</f>
        <v>-2.3199634516757602E-2</v>
      </c>
      <c r="Q362">
        <f>LN(_xll.ciqfunctions.udf.CIQ("XBI", "IQ_LASTSALEPRICE", WORKDAY(F362,-1))/_xll.ciqfunctions.udf.CIQ("XBI", "IQ_LASTSALEPRICE", WORKDAY(F362,5)))</f>
        <v>-5.3706366107426195E-3</v>
      </c>
      <c r="R362">
        <f>_xll.ciqfunctions.udf.CIQ(A362, "IQ_SHORT_INTEREST_PERCENT", F362)</f>
        <v>1.8324199999999999</v>
      </c>
      <c r="S362">
        <f>_xll.ciqfunctions.udf.CIQ(A362, "IQ_BETA_1YR_RSQ", F362)</f>
        <v>7.5410000000000005E-2</v>
      </c>
      <c r="T362">
        <f>_xll.ciqfunctions.udf.CIQ(A362, "IQ_VALUE_TRADED", F362)</f>
        <v>8.3880800000000004</v>
      </c>
    </row>
    <row r="363" spans="1:20" x14ac:dyDescent="0.3">
      <c r="A363" t="s">
        <v>1168</v>
      </c>
      <c r="B363">
        <v>1.89</v>
      </c>
      <c r="C363" t="s">
        <v>1169</v>
      </c>
      <c r="D363" t="s">
        <v>1170</v>
      </c>
      <c r="E363" t="s">
        <v>124</v>
      </c>
      <c r="F363" s="1">
        <v>45352</v>
      </c>
      <c r="G363" t="s">
        <v>1171</v>
      </c>
      <c r="H363">
        <v>7</v>
      </c>
      <c r="I363">
        <f>_xll.ciqfunctions.udf.CIQ(A363, "IQ_MARKETCAP", F363)</f>
        <v>75.414209999999997</v>
      </c>
      <c r="J363">
        <f>_xll.ciqfunctions.udf.CIQ(A363, "IQ_PRICE_VOL_HIST_6MTH", F363)</f>
        <v>181.53530000000001</v>
      </c>
      <c r="K363">
        <f>_xll.ciqfunctions.udf.CIQ(A363, "IQ_LASTSALEPRICE", WORKDAY(F363,-1))</f>
        <v>124</v>
      </c>
      <c r="L363">
        <f>_xll.ciqfunctions.udf.CIQ(A363, "IQ_LASTSALEPRICE", F363)</f>
        <v>189</v>
      </c>
      <c r="M363">
        <f>_xll.ciqfunctions.udf.CIQ(A363, "IQ_LASTSALEPRICE", WORKDAY(F363,5))</f>
        <v>71.8</v>
      </c>
      <c r="N363">
        <f t="shared" si="10"/>
        <v>0.42146544945460551</v>
      </c>
      <c r="O363">
        <f t="shared" si="11"/>
        <v>-0.54639708955085842</v>
      </c>
      <c r="P363">
        <f>LN(_xll.ciqfunctions.udf.CIQ("XBI", "IQ_LASTSALEPRICE", WORKDAY(F363,-1))/_xll.ciqfunctions.udf.CIQ("XBI", "IQ_LASTSALEPRICE", WORKDAY(F363,1)))</f>
        <v>-2.3199634516757602E-2</v>
      </c>
      <c r="Q363">
        <f>LN(_xll.ciqfunctions.udf.CIQ("XBI", "IQ_LASTSALEPRICE", WORKDAY(F363,-1))/_xll.ciqfunctions.udf.CIQ("XBI", "IQ_LASTSALEPRICE", WORKDAY(F363,5)))</f>
        <v>-5.3706366107426195E-3</v>
      </c>
      <c r="R363">
        <f>_xll.ciqfunctions.udf.CIQ(A363, "IQ_SHORT_INTEREST_PERCENT", F363)</f>
        <v>2.57721</v>
      </c>
      <c r="S363">
        <f>_xll.ciqfunctions.udf.CIQ(A363, "IQ_BETA_1YR_RSQ", F363)</f>
        <v>2.33E-3</v>
      </c>
      <c r="T363">
        <f>_xll.ciqfunctions.udf.CIQ(A363, "IQ_VALUE_TRADED", F363)</f>
        <v>175.17597000000001</v>
      </c>
    </row>
    <row r="364" spans="1:20" x14ac:dyDescent="0.3">
      <c r="A364" t="s">
        <v>1168</v>
      </c>
      <c r="B364">
        <v>1.89</v>
      </c>
      <c r="C364" t="s">
        <v>1169</v>
      </c>
      <c r="D364" t="s">
        <v>66</v>
      </c>
      <c r="E364" t="s">
        <v>36</v>
      </c>
      <c r="F364" s="1">
        <v>45352</v>
      </c>
      <c r="G364" t="s">
        <v>1172</v>
      </c>
      <c r="H364">
        <v>7</v>
      </c>
      <c r="I364">
        <f>_xll.ciqfunctions.udf.CIQ(A364, "IQ_MARKETCAP", F364)</f>
        <v>75.414209999999997</v>
      </c>
      <c r="J364">
        <f>_xll.ciqfunctions.udf.CIQ(A364, "IQ_PRICE_VOL_HIST_6MTH", F364)</f>
        <v>181.53530000000001</v>
      </c>
      <c r="K364">
        <f>_xll.ciqfunctions.udf.CIQ(A364, "IQ_LASTSALEPRICE", WORKDAY(F364,-1))</f>
        <v>124</v>
      </c>
      <c r="L364">
        <f>_xll.ciqfunctions.udf.CIQ(A364, "IQ_LASTSALEPRICE", F364)</f>
        <v>189</v>
      </c>
      <c r="M364">
        <f>_xll.ciqfunctions.udf.CIQ(A364, "IQ_LASTSALEPRICE", WORKDAY(F364,5))</f>
        <v>71.8</v>
      </c>
      <c r="N364">
        <f t="shared" si="10"/>
        <v>0.42146544945460551</v>
      </c>
      <c r="O364">
        <f t="shared" si="11"/>
        <v>-0.54639708955085842</v>
      </c>
      <c r="P364">
        <f>LN(_xll.ciqfunctions.udf.CIQ("XBI", "IQ_LASTSALEPRICE", WORKDAY(F364,-1))/_xll.ciqfunctions.udf.CIQ("XBI", "IQ_LASTSALEPRICE", WORKDAY(F364,1)))</f>
        <v>-2.3199634516757602E-2</v>
      </c>
      <c r="Q364">
        <f>LN(_xll.ciqfunctions.udf.CIQ("XBI", "IQ_LASTSALEPRICE", WORKDAY(F364,-1))/_xll.ciqfunctions.udf.CIQ("XBI", "IQ_LASTSALEPRICE", WORKDAY(F364,5)))</f>
        <v>-5.3706366107426195E-3</v>
      </c>
      <c r="R364">
        <f>_xll.ciqfunctions.udf.CIQ(A364, "IQ_SHORT_INTEREST_PERCENT", F364)</f>
        <v>2.57721</v>
      </c>
      <c r="S364">
        <f>_xll.ciqfunctions.udf.CIQ(A364, "IQ_BETA_1YR_RSQ", F364)</f>
        <v>2.33E-3</v>
      </c>
      <c r="T364">
        <f>_xll.ciqfunctions.udf.CIQ(A364, "IQ_VALUE_TRADED", F364)</f>
        <v>175.17597000000001</v>
      </c>
    </row>
    <row r="365" spans="1:20" x14ac:dyDescent="0.3">
      <c r="A365" t="s">
        <v>582</v>
      </c>
      <c r="B365">
        <v>2.36</v>
      </c>
      <c r="C365" t="s">
        <v>583</v>
      </c>
      <c r="D365" t="s">
        <v>584</v>
      </c>
      <c r="E365" t="s">
        <v>22</v>
      </c>
      <c r="F365" s="1">
        <v>45352</v>
      </c>
      <c r="G365" t="s">
        <v>1173</v>
      </c>
      <c r="H365">
        <v>1</v>
      </c>
      <c r="I365">
        <f>_xll.ciqfunctions.udf.CIQ(A365, "IQ_MARKETCAP", F365)</f>
        <v>3.0402399999999998</v>
      </c>
      <c r="J365">
        <f>_xll.ciqfunctions.udf.CIQ(A365, "IQ_PRICE_VOL_HIST_6MTH", F365)</f>
        <v>0</v>
      </c>
      <c r="K365">
        <f>_xll.ciqfunctions.udf.CIQ(A365, "IQ_LASTSALEPRICE", WORKDAY(F365,-1))</f>
        <v>0</v>
      </c>
      <c r="L365">
        <f>_xll.ciqfunctions.udf.CIQ(A365, "IQ_LASTSALEPRICE", F365)</f>
        <v>0</v>
      </c>
      <c r="M365">
        <f>_xll.ciqfunctions.udf.CIQ(A365, "IQ_LASTSALEPRICE", WORKDAY(F365,5))</f>
        <v>0</v>
      </c>
      <c r="N365" t="e">
        <f t="shared" si="10"/>
        <v>#DIV/0!</v>
      </c>
      <c r="O365" t="e">
        <f t="shared" si="11"/>
        <v>#DIV/0!</v>
      </c>
      <c r="P365">
        <f>LN(_xll.ciqfunctions.udf.CIQ("XBI", "IQ_LASTSALEPRICE", WORKDAY(F365,-1))/_xll.ciqfunctions.udf.CIQ("XBI", "IQ_LASTSALEPRICE", WORKDAY(F365,1)))</f>
        <v>-2.3199634516757602E-2</v>
      </c>
      <c r="Q365">
        <f>LN(_xll.ciqfunctions.udf.CIQ("XBI", "IQ_LASTSALEPRICE", WORKDAY(F365,-1))/_xll.ciqfunctions.udf.CIQ("XBI", "IQ_LASTSALEPRICE", WORKDAY(F365,5)))</f>
        <v>-5.3706366107426195E-3</v>
      </c>
      <c r="R365">
        <f>_xll.ciqfunctions.udf.CIQ(A365, "IQ_SHORT_INTEREST_PERCENT", F365)</f>
        <v>0</v>
      </c>
      <c r="S365">
        <f>_xll.ciqfunctions.udf.CIQ(A365, "IQ_BETA_1YR_RSQ", F365)</f>
        <v>0</v>
      </c>
      <c r="T365">
        <f>_xll.ciqfunctions.udf.CIQ(A365, "IQ_VALUE_TRADED", F365)</f>
        <v>0</v>
      </c>
    </row>
    <row r="366" spans="1:20" x14ac:dyDescent="0.3">
      <c r="A366" t="s">
        <v>1174</v>
      </c>
      <c r="B366">
        <v>2.92</v>
      </c>
      <c r="C366" t="s">
        <v>1175</v>
      </c>
      <c r="D366" t="s">
        <v>1176</v>
      </c>
      <c r="E366" t="s">
        <v>184</v>
      </c>
      <c r="F366" s="1">
        <v>45352</v>
      </c>
      <c r="G366" t="s">
        <v>1177</v>
      </c>
      <c r="H366">
        <v>19</v>
      </c>
      <c r="I366">
        <f>_xll.ciqfunctions.udf.CIQ(A366, "IQ_MARKETCAP", F366)</f>
        <v>35.036839999999998</v>
      </c>
      <c r="J366">
        <f>_xll.ciqfunctions.udf.CIQ(A366, "IQ_PRICE_VOL_HIST_6MTH", F366)</f>
        <v>103.6784</v>
      </c>
      <c r="K366">
        <f>_xll.ciqfunctions.udf.CIQ(A366, "IQ_LASTSALEPRICE", WORKDAY(F366,-1))</f>
        <v>3.45</v>
      </c>
      <c r="L366">
        <f>_xll.ciqfunctions.udf.CIQ(A366, "IQ_LASTSALEPRICE", F366)</f>
        <v>2.92</v>
      </c>
      <c r="M366">
        <f>_xll.ciqfunctions.udf.CIQ(A366, "IQ_LASTSALEPRICE", WORKDAY(F366,5))</f>
        <v>5.5</v>
      </c>
      <c r="N366">
        <f t="shared" si="10"/>
        <v>-0.16679061476307805</v>
      </c>
      <c r="O366">
        <f t="shared" si="11"/>
        <v>0.46637386119515684</v>
      </c>
      <c r="P366">
        <f>LN(_xll.ciqfunctions.udf.CIQ("XBI", "IQ_LASTSALEPRICE", WORKDAY(F366,-1))/_xll.ciqfunctions.udf.CIQ("XBI", "IQ_LASTSALEPRICE", WORKDAY(F366,1)))</f>
        <v>-2.3199634516757602E-2</v>
      </c>
      <c r="Q366">
        <f>LN(_xll.ciqfunctions.udf.CIQ("XBI", "IQ_LASTSALEPRICE", WORKDAY(F366,-1))/_xll.ciqfunctions.udf.CIQ("XBI", "IQ_LASTSALEPRICE", WORKDAY(F366,5)))</f>
        <v>-5.3706366107426195E-3</v>
      </c>
      <c r="R366">
        <f>_xll.ciqfunctions.udf.CIQ(A366, "IQ_SHORT_INTEREST_PERCENT", F366)</f>
        <v>5.7147100000000002</v>
      </c>
      <c r="S366">
        <f>_xll.ciqfunctions.udf.CIQ(A366, "IQ_BETA_1YR_RSQ", F366)</f>
        <v>8.8699999999999994E-3</v>
      </c>
      <c r="T366">
        <f>_xll.ciqfunctions.udf.CIQ(A366, "IQ_VALUE_TRADED", F366)</f>
        <v>4.7087500000000002</v>
      </c>
    </row>
    <row r="367" spans="1:20" x14ac:dyDescent="0.3">
      <c r="A367" t="s">
        <v>1178</v>
      </c>
      <c r="B367">
        <v>1</v>
      </c>
      <c r="C367" t="s">
        <v>1179</v>
      </c>
      <c r="D367" t="s">
        <v>1180</v>
      </c>
      <c r="E367" t="s">
        <v>22</v>
      </c>
      <c r="F367" s="1">
        <v>45352</v>
      </c>
      <c r="G367" t="s">
        <v>1181</v>
      </c>
      <c r="H367">
        <v>105</v>
      </c>
      <c r="I367">
        <f>_xll.ciqfunctions.udf.CIQ(A367, "IQ_MARKETCAP", F367)</f>
        <v>42.262889999999999</v>
      </c>
      <c r="J367">
        <f>_xll.ciqfunctions.udf.CIQ(A367, "IQ_PRICE_VOL_HIST_6MTH", F367)</f>
        <v>115.3931</v>
      </c>
      <c r="K367">
        <f>_xll.ciqfunctions.udf.CIQ(A367, "IQ_LASTSALEPRICE", WORKDAY(F367,-1))</f>
        <v>1.01</v>
      </c>
      <c r="L367">
        <f>_xll.ciqfunctions.udf.CIQ(A367, "IQ_LASTSALEPRICE", F367)</f>
        <v>1</v>
      </c>
      <c r="M367">
        <f>_xll.ciqfunctions.udf.CIQ(A367, "IQ_LASTSALEPRICE", WORKDAY(F367,5))</f>
        <v>1.26</v>
      </c>
      <c r="N367">
        <f t="shared" si="10"/>
        <v>-9.950330853168092E-3</v>
      </c>
      <c r="O367">
        <f t="shared" si="11"/>
        <v>0.22116139011021854</v>
      </c>
      <c r="P367">
        <f>LN(_xll.ciqfunctions.udf.CIQ("XBI", "IQ_LASTSALEPRICE", WORKDAY(F367,-1))/_xll.ciqfunctions.udf.CIQ("XBI", "IQ_LASTSALEPRICE", WORKDAY(F367,1)))</f>
        <v>-2.3199634516757602E-2</v>
      </c>
      <c r="Q367">
        <f>LN(_xll.ciqfunctions.udf.CIQ("XBI", "IQ_LASTSALEPRICE", WORKDAY(F367,-1))/_xll.ciqfunctions.udf.CIQ("XBI", "IQ_LASTSALEPRICE", WORKDAY(F367,5)))</f>
        <v>-5.3706366107426195E-3</v>
      </c>
      <c r="R367">
        <f>_xll.ciqfunctions.udf.CIQ(A367, "IQ_SHORT_INTEREST_PERCENT", F367)</f>
        <v>9.1979299999999995</v>
      </c>
      <c r="S367">
        <f>_xll.ciqfunctions.udf.CIQ(A367, "IQ_BETA_1YR_RSQ", F367)</f>
        <v>0.12909999999999999</v>
      </c>
      <c r="T367">
        <f>_xll.ciqfunctions.udf.CIQ(A367, "IQ_VALUE_TRADED", F367)</f>
        <v>1.0816399999999999</v>
      </c>
    </row>
    <row r="368" spans="1:20" x14ac:dyDescent="0.3">
      <c r="A368" t="s">
        <v>989</v>
      </c>
      <c r="B368">
        <v>160.80000000000001</v>
      </c>
      <c r="C368" t="s">
        <v>1182</v>
      </c>
      <c r="D368" t="s">
        <v>1183</v>
      </c>
      <c r="E368" t="s">
        <v>160</v>
      </c>
      <c r="F368" s="1">
        <v>45352</v>
      </c>
      <c r="G368" t="s">
        <v>1184</v>
      </c>
      <c r="I368">
        <f>_xll.ciqfunctions.udf.CIQ(A368, "IQ_MARKETCAP", F368)</f>
        <v>390509.34299999999</v>
      </c>
      <c r="J368">
        <f>_xll.ciqfunctions.udf.CIQ(A368, "IQ_PRICE_VOL_HIST_6MTH", F368)</f>
        <v>13.281599999999999</v>
      </c>
      <c r="K368">
        <f>_xll.ciqfunctions.udf.CIQ(A368, "IQ_LASTSALEPRICE", WORKDAY(F368,-1))</f>
        <v>161.38</v>
      </c>
      <c r="L368">
        <f>_xll.ciqfunctions.udf.CIQ(A368, "IQ_LASTSALEPRICE", F368)</f>
        <v>162.12</v>
      </c>
      <c r="M368">
        <f>_xll.ciqfunctions.udf.CIQ(A368, "IQ_LASTSALEPRICE", WORKDAY(F368,5))</f>
        <v>159.52000000000001</v>
      </c>
      <c r="N368">
        <f t="shared" si="10"/>
        <v>4.574969339747435E-3</v>
      </c>
      <c r="O368">
        <f t="shared" si="11"/>
        <v>-1.1592526206832196E-2</v>
      </c>
      <c r="P368">
        <f>LN(_xll.ciqfunctions.udf.CIQ("XBI", "IQ_LASTSALEPRICE", WORKDAY(F368,-1))/_xll.ciqfunctions.udf.CIQ("XBI", "IQ_LASTSALEPRICE", WORKDAY(F368,1)))</f>
        <v>-2.3199634516757602E-2</v>
      </c>
      <c r="Q368">
        <f>LN(_xll.ciqfunctions.udf.CIQ("XBI", "IQ_LASTSALEPRICE", WORKDAY(F368,-1))/_xll.ciqfunctions.udf.CIQ("XBI", "IQ_LASTSALEPRICE", WORKDAY(F368,5)))</f>
        <v>-5.3706366107426195E-3</v>
      </c>
      <c r="R368">
        <f>_xll.ciqfunctions.udf.CIQ(A368, "IQ_SHORT_INTEREST_PERCENT", F368)</f>
        <v>0.45518999999999998</v>
      </c>
      <c r="S368">
        <f>_xll.ciqfunctions.udf.CIQ(A368, "IQ_BETA_1YR_RSQ", F368)</f>
        <v>0.1225</v>
      </c>
      <c r="T368">
        <f>_xll.ciqfunctions.udf.CIQ(A368, "IQ_VALUE_TRADED", F368)</f>
        <v>919.24229000000003</v>
      </c>
    </row>
    <row r="369" spans="1:20" x14ac:dyDescent="0.3">
      <c r="A369" t="s">
        <v>1185</v>
      </c>
      <c r="B369" t="s">
        <v>43</v>
      </c>
      <c r="C369" t="s">
        <v>1186</v>
      </c>
      <c r="D369" t="s">
        <v>1187</v>
      </c>
      <c r="E369" t="s">
        <v>76</v>
      </c>
      <c r="F369" s="1">
        <v>45352</v>
      </c>
      <c r="G369" t="s">
        <v>1188</v>
      </c>
      <c r="H369">
        <v>47</v>
      </c>
      <c r="I369">
        <f>_xll.ciqfunctions.udf.CIQ(A369, "IQ_MARKETCAP", F369)</f>
        <v>47.089649999999999</v>
      </c>
      <c r="J369">
        <f>_xll.ciqfunctions.udf.CIQ(A369, "IQ_PRICE_VOL_HIST_6MTH", F369)</f>
        <v>133.2758</v>
      </c>
      <c r="K369">
        <f>_xll.ciqfunctions.udf.CIQ(A369, "IQ_LASTSALEPRICE", WORKDAY(F369,-1))</f>
        <v>1.97</v>
      </c>
      <c r="L369">
        <f>_xll.ciqfunctions.udf.CIQ(A369, "IQ_LASTSALEPRICE", F369)</f>
        <v>1.92</v>
      </c>
      <c r="M369">
        <f>_xll.ciqfunctions.udf.CIQ(A369, "IQ_LASTSALEPRICE", WORKDAY(F369,5))</f>
        <v>2.14</v>
      </c>
      <c r="N369">
        <f t="shared" si="10"/>
        <v>-2.5708356710207037E-2</v>
      </c>
      <c r="O369">
        <f t="shared" si="11"/>
        <v>8.2772286283863114E-2</v>
      </c>
      <c r="P369">
        <f>LN(_xll.ciqfunctions.udf.CIQ("XBI", "IQ_LASTSALEPRICE", WORKDAY(F369,-1))/_xll.ciqfunctions.udf.CIQ("XBI", "IQ_LASTSALEPRICE", WORKDAY(F369,1)))</f>
        <v>-2.3199634516757602E-2</v>
      </c>
      <c r="Q369">
        <f>LN(_xll.ciqfunctions.udf.CIQ("XBI", "IQ_LASTSALEPRICE", WORKDAY(F369,-1))/_xll.ciqfunctions.udf.CIQ("XBI", "IQ_LASTSALEPRICE", WORKDAY(F369,5)))</f>
        <v>-5.3706366107426195E-3</v>
      </c>
      <c r="R369">
        <f>_xll.ciqfunctions.udf.CIQ(A369, "IQ_SHORT_INTEREST_PERCENT", F369)</f>
        <v>4.03782</v>
      </c>
      <c r="S369">
        <f>_xll.ciqfunctions.udf.CIQ(A369, "IQ_BETA_1YR_RSQ", F369)</f>
        <v>1.1339999999999999E-2</v>
      </c>
      <c r="T369">
        <f>_xll.ciqfunctions.udf.CIQ(A369, "IQ_VALUE_TRADED", F369)</f>
        <v>5.2614299999999998</v>
      </c>
    </row>
    <row r="370" spans="1:20" x14ac:dyDescent="0.3">
      <c r="A370" t="s">
        <v>1189</v>
      </c>
      <c r="B370">
        <v>18.86</v>
      </c>
      <c r="C370" t="s">
        <v>1190</v>
      </c>
      <c r="D370" t="s">
        <v>1191</v>
      </c>
      <c r="E370" t="s">
        <v>76</v>
      </c>
      <c r="F370" s="1">
        <v>45355</v>
      </c>
      <c r="G370" t="s">
        <v>1192</v>
      </c>
      <c r="H370">
        <v>128</v>
      </c>
      <c r="I370">
        <f>_xll.ciqfunctions.udf.CIQ(A370, "IQ_MARKETCAP", F370)</f>
        <v>1505.7822699999999</v>
      </c>
      <c r="J370">
        <f>_xll.ciqfunctions.udf.CIQ(A370, "IQ_PRICE_VOL_HIST_6MTH", F370)</f>
        <v>84.592500000000001</v>
      </c>
      <c r="K370">
        <f>_xll.ciqfunctions.udf.CIQ(A370, "IQ_LASTSALEPRICE", WORKDAY(F370,-1))</f>
        <v>20.11</v>
      </c>
      <c r="L370">
        <f>_xll.ciqfunctions.udf.CIQ(A370, "IQ_LASTSALEPRICE", F370)</f>
        <v>18.86</v>
      </c>
      <c r="M370">
        <f>_xll.ciqfunctions.udf.CIQ(A370, "IQ_LASTSALEPRICE", WORKDAY(F370,5))</f>
        <v>21.02</v>
      </c>
      <c r="N370">
        <f t="shared" si="10"/>
        <v>-6.4173926579249252E-2</v>
      </c>
      <c r="O370">
        <f t="shared" si="11"/>
        <v>4.4257161664244427E-2</v>
      </c>
      <c r="P370">
        <f>LN(_xll.ciqfunctions.udf.CIQ("XBI", "IQ_LASTSALEPRICE", WORKDAY(F370,-1))/_xll.ciqfunctions.udf.CIQ("XBI", "IQ_LASTSALEPRICE", WORKDAY(F370,1)))</f>
        <v>2.0598768026538993E-2</v>
      </c>
      <c r="Q370">
        <f>LN(_xll.ciqfunctions.udf.CIQ("XBI", "IQ_LASTSALEPRICE", WORKDAY(F370,-1))/_xll.ciqfunctions.udf.CIQ("XBI", "IQ_LASTSALEPRICE", WORKDAY(F370,5)))</f>
        <v>4.739745768969169E-2</v>
      </c>
      <c r="R370">
        <f>_xll.ciqfunctions.udf.CIQ(A370, "IQ_SHORT_INTEREST_PERCENT", F370)</f>
        <v>9.6835199999999997</v>
      </c>
      <c r="S370">
        <f>_xll.ciqfunctions.udf.CIQ(A370, "IQ_BETA_1YR_RSQ", F370)</f>
        <v>9.7119999999999998E-2</v>
      </c>
      <c r="T370">
        <f>_xll.ciqfunctions.udf.CIQ(A370, "IQ_VALUE_TRADED", F370)</f>
        <v>74.106009999999998</v>
      </c>
    </row>
    <row r="371" spans="1:20" x14ac:dyDescent="0.3">
      <c r="A371" t="s">
        <v>216</v>
      </c>
      <c r="B371" t="s">
        <v>43</v>
      </c>
      <c r="C371" t="s">
        <v>1193</v>
      </c>
      <c r="D371" t="s">
        <v>1194</v>
      </c>
      <c r="E371" t="s">
        <v>197</v>
      </c>
      <c r="F371" s="1">
        <v>45355</v>
      </c>
      <c r="G371" t="s">
        <v>1195</v>
      </c>
      <c r="I371">
        <f>_xll.ciqfunctions.udf.CIQ(A371, "IQ_MARKETCAP", F371)</f>
        <v>3914623.2404200002</v>
      </c>
      <c r="J371">
        <f>_xll.ciqfunctions.udf.CIQ(A371, "IQ_PRICE_VOL_HIST_6MTH", F371)</f>
        <v>27.869199999999999</v>
      </c>
      <c r="K371">
        <f>_xll.ciqfunctions.udf.CIQ(A371, "IQ_LASTSALEPRICE", WORKDAY(F371,-1))</f>
        <v>124.23</v>
      </c>
      <c r="L371">
        <f>_xll.ciqfunctions.udf.CIQ(A371, "IQ_LASTSALEPRICE", F371)</f>
        <v>127.95</v>
      </c>
      <c r="M371">
        <f>_xll.ciqfunctions.udf.CIQ(A371, "IQ_LASTSALEPRICE", WORKDAY(F371,5))</f>
        <v>131.24</v>
      </c>
      <c r="N371">
        <f t="shared" si="10"/>
        <v>2.9504876380212264E-2</v>
      </c>
      <c r="O371">
        <f t="shared" si="11"/>
        <v>5.4893021867315282E-2</v>
      </c>
      <c r="P371">
        <f>LN(_xll.ciqfunctions.udf.CIQ("XBI", "IQ_LASTSALEPRICE", WORKDAY(F371,-1))/_xll.ciqfunctions.udf.CIQ("XBI", "IQ_LASTSALEPRICE", WORKDAY(F371,1)))</f>
        <v>2.0598768026538993E-2</v>
      </c>
      <c r="Q371">
        <f>LN(_xll.ciqfunctions.udf.CIQ("XBI", "IQ_LASTSALEPRICE", WORKDAY(F371,-1))/_xll.ciqfunctions.udf.CIQ("XBI", "IQ_LASTSALEPRICE", WORKDAY(F371,5)))</f>
        <v>4.739745768969169E-2</v>
      </c>
      <c r="R371">
        <f>_xll.ciqfunctions.udf.CIQ(A371, "IQ_SHORT_INTEREST_PERCENT", F371)</f>
        <v>0</v>
      </c>
      <c r="S371">
        <f>_xll.ciqfunctions.udf.CIQ(A371, "IQ_BETA_1YR_RSQ", F371)</f>
        <v>0</v>
      </c>
      <c r="T371">
        <f>_xll.ciqfunctions.udf.CIQ(A371, "IQ_VALUE_TRADED", F371)</f>
        <v>872.22862999999995</v>
      </c>
    </row>
    <row r="372" spans="1:20" x14ac:dyDescent="0.3">
      <c r="A372" t="s">
        <v>1196</v>
      </c>
      <c r="B372">
        <v>31.07</v>
      </c>
      <c r="C372" t="s">
        <v>1193</v>
      </c>
      <c r="D372" t="s">
        <v>1194</v>
      </c>
      <c r="E372" t="s">
        <v>197</v>
      </c>
      <c r="F372" s="1">
        <v>45355</v>
      </c>
      <c r="G372" t="s">
        <v>1195</v>
      </c>
      <c r="H372">
        <v>79</v>
      </c>
      <c r="I372">
        <f>_xll.ciqfunctions.udf.CIQ(A372, "IQ_MARKETCAP", F372)</f>
        <v>1749.1641999999999</v>
      </c>
      <c r="J372">
        <f>_xll.ciqfunctions.udf.CIQ(A372, "IQ_PRICE_VOL_HIST_6MTH", F372)</f>
        <v>158.48070000000001</v>
      </c>
      <c r="K372">
        <f>_xll.ciqfunctions.udf.CIQ(A372, "IQ_LASTSALEPRICE", WORKDAY(F372,-1))</f>
        <v>27.81</v>
      </c>
      <c r="L372">
        <f>_xll.ciqfunctions.udf.CIQ(A372, "IQ_LASTSALEPRICE", F372)</f>
        <v>31.07</v>
      </c>
      <c r="M372">
        <f>_xll.ciqfunctions.udf.CIQ(A372, "IQ_LASTSALEPRICE", WORKDAY(F372,5))</f>
        <v>29.31</v>
      </c>
      <c r="N372">
        <f t="shared" si="10"/>
        <v>0.11084705515908252</v>
      </c>
      <c r="O372">
        <f t="shared" si="11"/>
        <v>5.2533086476927685E-2</v>
      </c>
      <c r="P372">
        <f>LN(_xll.ciqfunctions.udf.CIQ("XBI", "IQ_LASTSALEPRICE", WORKDAY(F372,-1))/_xll.ciqfunctions.udf.CIQ("XBI", "IQ_LASTSALEPRICE", WORKDAY(F372,1)))</f>
        <v>2.0598768026538993E-2</v>
      </c>
      <c r="Q372">
        <f>LN(_xll.ciqfunctions.udf.CIQ("XBI", "IQ_LASTSALEPRICE", WORKDAY(F372,-1))/_xll.ciqfunctions.udf.CIQ("XBI", "IQ_LASTSALEPRICE", WORKDAY(F372,5)))</f>
        <v>4.739745768969169E-2</v>
      </c>
      <c r="R372">
        <f>_xll.ciqfunctions.udf.CIQ(A372, "IQ_SHORT_INTEREST_PERCENT", F372)</f>
        <v>15.7995</v>
      </c>
      <c r="S372">
        <f>_xll.ciqfunctions.udf.CIQ(A372, "IQ_BETA_1YR_RSQ", F372)</f>
        <v>0.10523</v>
      </c>
      <c r="T372">
        <f>_xll.ciqfunctions.udf.CIQ(A372, "IQ_VALUE_TRADED", F372)</f>
        <v>265.08839999999998</v>
      </c>
    </row>
    <row r="373" spans="1:20" x14ac:dyDescent="0.3">
      <c r="A373" t="s">
        <v>194</v>
      </c>
      <c r="B373">
        <v>4.24</v>
      </c>
      <c r="C373" t="s">
        <v>1197</v>
      </c>
      <c r="D373" t="s">
        <v>1198</v>
      </c>
      <c r="E373" t="s">
        <v>22</v>
      </c>
      <c r="F373" s="1">
        <v>45355</v>
      </c>
      <c r="G373" t="s">
        <v>1199</v>
      </c>
      <c r="H373">
        <v>3</v>
      </c>
      <c r="I373">
        <f>_xll.ciqfunctions.udf.CIQ(A373, "IQ_MARKETCAP", F373)</f>
        <v>129.11664999999999</v>
      </c>
      <c r="J373">
        <f>_xll.ciqfunctions.udf.CIQ(A373, "IQ_PRICE_VOL_HIST_6MTH", F373)</f>
        <v>88.406199999999998</v>
      </c>
      <c r="K373">
        <f>_xll.ciqfunctions.udf.CIQ(A373, "IQ_LASTSALEPRICE", WORKDAY(F373,-1))</f>
        <v>126.00013</v>
      </c>
      <c r="L373">
        <f>_xll.ciqfunctions.udf.CIQ(A373, "IQ_LASTSALEPRICE", F373)</f>
        <v>127.20013</v>
      </c>
      <c r="M373">
        <f>_xll.ciqfunctions.udf.CIQ(A373, "IQ_LASTSALEPRICE", WORKDAY(F373,5))</f>
        <v>113.10011</v>
      </c>
      <c r="N373">
        <f t="shared" si="10"/>
        <v>9.4787342211005831E-3</v>
      </c>
      <c r="O373">
        <f t="shared" si="11"/>
        <v>-0.10800958298474785</v>
      </c>
      <c r="P373">
        <f>LN(_xll.ciqfunctions.udf.CIQ("XBI", "IQ_LASTSALEPRICE", WORKDAY(F373,-1))/_xll.ciqfunctions.udf.CIQ("XBI", "IQ_LASTSALEPRICE", WORKDAY(F373,1)))</f>
        <v>2.0598768026538993E-2</v>
      </c>
      <c r="Q373">
        <f>LN(_xll.ciqfunctions.udf.CIQ("XBI", "IQ_LASTSALEPRICE", WORKDAY(F373,-1))/_xll.ciqfunctions.udf.CIQ("XBI", "IQ_LASTSALEPRICE", WORKDAY(F373,5)))</f>
        <v>4.739745768969169E-2</v>
      </c>
      <c r="R373">
        <f>_xll.ciqfunctions.udf.CIQ(A373, "IQ_SHORT_INTEREST_PERCENT", F373)</f>
        <v>7.7674099999999999</v>
      </c>
      <c r="S373">
        <f>_xll.ciqfunctions.udf.CIQ(A373, "IQ_BETA_1YR_RSQ", F373)</f>
        <v>5.6680000000000001E-2</v>
      </c>
      <c r="T373">
        <f>_xll.ciqfunctions.udf.CIQ(A373, "IQ_VALUE_TRADED", F373)</f>
        <v>12.59765</v>
      </c>
    </row>
    <row r="374" spans="1:20" x14ac:dyDescent="0.3">
      <c r="A374" t="s">
        <v>42</v>
      </c>
      <c r="B374">
        <v>98.29</v>
      </c>
      <c r="C374" t="s">
        <v>1200</v>
      </c>
      <c r="D374" t="s">
        <v>1201</v>
      </c>
      <c r="E374" t="s">
        <v>36</v>
      </c>
      <c r="F374" s="1">
        <v>45355</v>
      </c>
      <c r="G374" t="s">
        <v>1202</v>
      </c>
      <c r="I374">
        <f>_xll.ciqfunctions.udf.CIQ(A374, "IQ_MARKETCAP", F374)</f>
        <v>1303.17914</v>
      </c>
      <c r="J374">
        <f>_xll.ciqfunctions.udf.CIQ(A374, "IQ_PRICE_VOL_HIST_6MTH", F374)</f>
        <v>53.878900000000002</v>
      </c>
      <c r="K374">
        <f>_xll.ciqfunctions.udf.CIQ(A374, "IQ_LASTSALEPRICE", WORKDAY(F374,-1))</f>
        <v>4.05</v>
      </c>
      <c r="L374">
        <f>_xll.ciqfunctions.udf.CIQ(A374, "IQ_LASTSALEPRICE", F374)</f>
        <v>4.2</v>
      </c>
      <c r="M374">
        <f>_xll.ciqfunctions.udf.CIQ(A374, "IQ_LASTSALEPRICE", WORKDAY(F374,5))</f>
        <v>4.0999999999999996</v>
      </c>
      <c r="N374">
        <f t="shared" si="10"/>
        <v>3.6367644170875006E-2</v>
      </c>
      <c r="O374">
        <f t="shared" si="11"/>
        <v>1.2270092591814401E-2</v>
      </c>
      <c r="P374">
        <f>LN(_xll.ciqfunctions.udf.CIQ("XBI", "IQ_LASTSALEPRICE", WORKDAY(F374,-1))/_xll.ciqfunctions.udf.CIQ("XBI", "IQ_LASTSALEPRICE", WORKDAY(F374,1)))</f>
        <v>2.0598768026538993E-2</v>
      </c>
      <c r="Q374">
        <f>LN(_xll.ciqfunctions.udf.CIQ("XBI", "IQ_LASTSALEPRICE", WORKDAY(F374,-1))/_xll.ciqfunctions.udf.CIQ("XBI", "IQ_LASTSALEPRICE", WORKDAY(F374,5)))</f>
        <v>4.739745768969169E-2</v>
      </c>
      <c r="R374">
        <f>_xll.ciqfunctions.udf.CIQ(A374, "IQ_SHORT_INTEREST_PERCENT", F374)</f>
        <v>0</v>
      </c>
      <c r="S374">
        <f>_xll.ciqfunctions.udf.CIQ(A374, "IQ_BETA_1YR_RSQ", F374)</f>
        <v>1.81E-3</v>
      </c>
      <c r="T374">
        <f>_xll.ciqfunctions.udf.CIQ(A374, "IQ_VALUE_TRADED", F374)</f>
        <v>0.14593</v>
      </c>
    </row>
    <row r="375" spans="1:20" x14ac:dyDescent="0.3">
      <c r="A375" t="s">
        <v>1203</v>
      </c>
      <c r="B375">
        <v>2.36</v>
      </c>
      <c r="C375" t="s">
        <v>1204</v>
      </c>
      <c r="D375" t="s">
        <v>1205</v>
      </c>
      <c r="E375" t="s">
        <v>22</v>
      </c>
      <c r="F375" s="1">
        <v>45355</v>
      </c>
      <c r="G375" t="s">
        <v>1206</v>
      </c>
      <c r="H375">
        <v>1</v>
      </c>
      <c r="I375">
        <f>_xll.ciqfunctions.udf.CIQ(A375, "IQ_MARKETCAP", F375)</f>
        <v>19.826440000000002</v>
      </c>
      <c r="J375">
        <f>_xll.ciqfunctions.udf.CIQ(A375, "IQ_PRICE_VOL_HIST_6MTH", F375)</f>
        <v>76.748500000000007</v>
      </c>
      <c r="K375">
        <f>_xll.ciqfunctions.udf.CIQ(A375, "IQ_LASTSALEPRICE", WORKDAY(F375,-1))</f>
        <v>58.519979999999997</v>
      </c>
      <c r="L375">
        <f>_xll.ciqfunctions.udf.CIQ(A375, "IQ_LASTSALEPRICE", F375)</f>
        <v>66.079970000000003</v>
      </c>
      <c r="M375">
        <f>_xll.ciqfunctions.udf.CIQ(A375, "IQ_LASTSALEPRICE", WORKDAY(F375,5))</f>
        <v>56.559980000000003</v>
      </c>
      <c r="N375">
        <f t="shared" si="10"/>
        <v>0.12149744082909679</v>
      </c>
      <c r="O375">
        <f t="shared" si="11"/>
        <v>-3.4066566406899798E-2</v>
      </c>
      <c r="P375">
        <f>LN(_xll.ciqfunctions.udf.CIQ("XBI", "IQ_LASTSALEPRICE", WORKDAY(F375,-1))/_xll.ciqfunctions.udf.CIQ("XBI", "IQ_LASTSALEPRICE", WORKDAY(F375,1)))</f>
        <v>2.0598768026538993E-2</v>
      </c>
      <c r="Q375">
        <f>LN(_xll.ciqfunctions.udf.CIQ("XBI", "IQ_LASTSALEPRICE", WORKDAY(F375,-1))/_xll.ciqfunctions.udf.CIQ("XBI", "IQ_LASTSALEPRICE", WORKDAY(F375,5)))</f>
        <v>4.739745768969169E-2</v>
      </c>
      <c r="R375">
        <f>_xll.ciqfunctions.udf.CIQ(A375, "IQ_SHORT_INTEREST_PERCENT", F375)</f>
        <v>0.20422000000000001</v>
      </c>
      <c r="S375">
        <f>_xll.ciqfunctions.udf.CIQ(A375, "IQ_BETA_1YR_RSQ", F375)</f>
        <v>5.4829999999999997E-2</v>
      </c>
      <c r="T375">
        <f>_xll.ciqfunctions.udf.CIQ(A375, "IQ_VALUE_TRADED", F375)</f>
        <v>7.9763200000000003</v>
      </c>
    </row>
    <row r="376" spans="1:20" x14ac:dyDescent="0.3">
      <c r="A376" t="s">
        <v>1207</v>
      </c>
      <c r="B376">
        <v>6.83</v>
      </c>
      <c r="C376" t="s">
        <v>1208</v>
      </c>
      <c r="D376" t="s">
        <v>1209</v>
      </c>
      <c r="E376" t="s">
        <v>36</v>
      </c>
      <c r="F376" s="1">
        <v>45355</v>
      </c>
      <c r="G376" t="s">
        <v>1210</v>
      </c>
      <c r="H376">
        <v>5</v>
      </c>
      <c r="I376">
        <f>_xll.ciqfunctions.udf.CIQ(A376, "IQ_MARKETCAP", F376)</f>
        <v>11.793229999999999</v>
      </c>
      <c r="J376">
        <f>_xll.ciqfunctions.udf.CIQ(A376, "IQ_PRICE_VOL_HIST_6MTH", F376)</f>
        <v>179.44659999999999</v>
      </c>
      <c r="K376">
        <f>_xll.ciqfunctions.udf.CIQ(A376, "IQ_LASTSALEPRICE", WORKDAY(F376,-1))</f>
        <v>8.6969999999999992</v>
      </c>
      <c r="L376">
        <f>_xll.ciqfunctions.udf.CIQ(A376, "IQ_LASTSALEPRICE", F376)</f>
        <v>6.8265000000000002</v>
      </c>
      <c r="M376">
        <f>_xll.ciqfunctions.udf.CIQ(A376, "IQ_LASTSALEPRICE", WORKDAY(F376,5))</f>
        <v>6.3224999999999998</v>
      </c>
      <c r="N376">
        <f t="shared" si="10"/>
        <v>-0.24216604146495876</v>
      </c>
      <c r="O376">
        <f t="shared" si="11"/>
        <v>-0.31886343904564496</v>
      </c>
      <c r="P376">
        <f>LN(_xll.ciqfunctions.udf.CIQ("XBI", "IQ_LASTSALEPRICE", WORKDAY(F376,-1))/_xll.ciqfunctions.udf.CIQ("XBI", "IQ_LASTSALEPRICE", WORKDAY(F376,1)))</f>
        <v>2.0598768026538993E-2</v>
      </c>
      <c r="Q376">
        <f>LN(_xll.ciqfunctions.udf.CIQ("XBI", "IQ_LASTSALEPRICE", WORKDAY(F376,-1))/_xll.ciqfunctions.udf.CIQ("XBI", "IQ_LASTSALEPRICE", WORKDAY(F376,5)))</f>
        <v>4.739745768969169E-2</v>
      </c>
      <c r="R376">
        <f>_xll.ciqfunctions.udf.CIQ(A376, "IQ_SHORT_INTEREST_PERCENT", F376)</f>
        <v>1.1482699999999999</v>
      </c>
      <c r="S376">
        <f>_xll.ciqfunctions.udf.CIQ(A376, "IQ_BETA_1YR_RSQ", F376)</f>
        <v>1.9029999999999998E-2</v>
      </c>
      <c r="T376">
        <f>_xll.ciqfunctions.udf.CIQ(A376, "IQ_VALUE_TRADED", F376)</f>
        <v>1.6355599999999999</v>
      </c>
    </row>
    <row r="377" spans="1:20" x14ac:dyDescent="0.3">
      <c r="A377" t="s">
        <v>1211</v>
      </c>
      <c r="B377">
        <v>14.01</v>
      </c>
      <c r="C377" t="s">
        <v>1212</v>
      </c>
      <c r="D377" t="s">
        <v>1213</v>
      </c>
      <c r="E377" t="s">
        <v>36</v>
      </c>
      <c r="F377" s="1">
        <v>45355</v>
      </c>
      <c r="G377" t="s">
        <v>1214</v>
      </c>
      <c r="H377">
        <v>3</v>
      </c>
      <c r="I377">
        <f>_xll.ciqfunctions.udf.CIQ(A377, "IQ_MARKETCAP", F377)</f>
        <v>35.045549999999999</v>
      </c>
      <c r="J377">
        <f>_xll.ciqfunctions.udf.CIQ(A377, "IQ_PRICE_VOL_HIST_6MTH", F377)</f>
        <v>147.50290000000001</v>
      </c>
      <c r="K377">
        <f>_xll.ciqfunctions.udf.CIQ(A377, "IQ_LASTSALEPRICE", WORKDAY(F377,-1))</f>
        <v>16.55</v>
      </c>
      <c r="L377">
        <f>_xll.ciqfunctions.udf.CIQ(A377, "IQ_LASTSALEPRICE", F377)</f>
        <v>14.01</v>
      </c>
      <c r="M377">
        <f>_xll.ciqfunctions.udf.CIQ(A377, "IQ_LASTSALEPRICE", WORKDAY(F377,5))</f>
        <v>15.02</v>
      </c>
      <c r="N377">
        <f t="shared" si="10"/>
        <v>-0.16661474147415639</v>
      </c>
      <c r="O377">
        <f t="shared" si="11"/>
        <v>-9.7003455487083334E-2</v>
      </c>
      <c r="P377">
        <f>LN(_xll.ciqfunctions.udf.CIQ("XBI", "IQ_LASTSALEPRICE", WORKDAY(F377,-1))/_xll.ciqfunctions.udf.CIQ("XBI", "IQ_LASTSALEPRICE", WORKDAY(F377,1)))</f>
        <v>2.0598768026538993E-2</v>
      </c>
      <c r="Q377">
        <f>LN(_xll.ciqfunctions.udf.CIQ("XBI", "IQ_LASTSALEPRICE", WORKDAY(F377,-1))/_xll.ciqfunctions.udf.CIQ("XBI", "IQ_LASTSALEPRICE", WORKDAY(F377,5)))</f>
        <v>4.739745768969169E-2</v>
      </c>
      <c r="R377">
        <f>_xll.ciqfunctions.udf.CIQ(A377, "IQ_SHORT_INTEREST_PERCENT", F377)</f>
        <v>1.7279100000000001</v>
      </c>
      <c r="S377">
        <f>_xll.ciqfunctions.udf.CIQ(A377, "IQ_BETA_1YR_RSQ", F377)</f>
        <v>5.1000000000000004E-4</v>
      </c>
      <c r="T377">
        <f>_xll.ciqfunctions.udf.CIQ(A377, "IQ_VALUE_TRADED", F377)</f>
        <v>1.0205</v>
      </c>
    </row>
    <row r="378" spans="1:20" x14ac:dyDescent="0.3">
      <c r="A378" t="s">
        <v>1215</v>
      </c>
      <c r="B378">
        <v>65.36</v>
      </c>
      <c r="C378" t="s">
        <v>1216</v>
      </c>
      <c r="D378" t="s">
        <v>1217</v>
      </c>
      <c r="E378" t="s">
        <v>160</v>
      </c>
      <c r="F378" s="1">
        <v>45355</v>
      </c>
      <c r="G378" t="s">
        <v>1218</v>
      </c>
      <c r="H378">
        <v>67</v>
      </c>
      <c r="I378">
        <f>_xll.ciqfunctions.udf.CIQ(A378, "IQ_MARKETCAP", F378)</f>
        <v>4478.8303400000004</v>
      </c>
      <c r="J378">
        <f>_xll.ciqfunctions.udf.CIQ(A378, "IQ_PRICE_VOL_HIST_6MTH", F378)</f>
        <v>68.020600000000002</v>
      </c>
      <c r="K378">
        <f>_xll.ciqfunctions.udf.CIQ(A378, "IQ_LASTSALEPRICE", WORKDAY(F378,-1))</f>
        <v>64.64</v>
      </c>
      <c r="L378">
        <f>_xll.ciqfunctions.udf.CIQ(A378, "IQ_LASTSALEPRICE", F378)</f>
        <v>65.36</v>
      </c>
      <c r="M378">
        <f>_xll.ciqfunctions.udf.CIQ(A378, "IQ_LASTSALEPRICE", WORKDAY(F378,5))</f>
        <v>62.72</v>
      </c>
      <c r="N378">
        <f t="shared" si="10"/>
        <v>1.1077036338907404E-2</v>
      </c>
      <c r="O378">
        <f t="shared" si="11"/>
        <v>-3.0153038170687558E-2</v>
      </c>
      <c r="P378">
        <f>LN(_xll.ciqfunctions.udf.CIQ("XBI", "IQ_LASTSALEPRICE", WORKDAY(F378,-1))/_xll.ciqfunctions.udf.CIQ("XBI", "IQ_LASTSALEPRICE", WORKDAY(F378,1)))</f>
        <v>2.0598768026538993E-2</v>
      </c>
      <c r="Q378">
        <f>LN(_xll.ciqfunctions.udf.CIQ("XBI", "IQ_LASTSALEPRICE", WORKDAY(F378,-1))/_xll.ciqfunctions.udf.CIQ("XBI", "IQ_LASTSALEPRICE", WORKDAY(F378,5)))</f>
        <v>4.739745768969169E-2</v>
      </c>
      <c r="R378">
        <f>_xll.ciqfunctions.udf.CIQ(A378, "IQ_SHORT_INTEREST_PERCENT", F378)</f>
        <v>7.3366800000000003</v>
      </c>
      <c r="S378">
        <f>_xll.ciqfunctions.udf.CIQ(A378, "IQ_BETA_1YR_RSQ", F378)</f>
        <v>6.3099999999999996E-3</v>
      </c>
      <c r="T378">
        <f>_xll.ciqfunctions.udf.CIQ(A378, "IQ_VALUE_TRADED", F378)</f>
        <v>59.111980000000003</v>
      </c>
    </row>
    <row r="379" spans="1:20" x14ac:dyDescent="0.3">
      <c r="A379" t="s">
        <v>1219</v>
      </c>
      <c r="B379">
        <v>3.85</v>
      </c>
      <c r="C379" t="s">
        <v>1220</v>
      </c>
      <c r="D379" t="s">
        <v>104</v>
      </c>
      <c r="E379" t="s">
        <v>22</v>
      </c>
      <c r="F379" s="1">
        <v>45355</v>
      </c>
      <c r="G379" t="s">
        <v>1221</v>
      </c>
      <c r="H379">
        <v>6</v>
      </c>
      <c r="I379">
        <f>_xll.ciqfunctions.udf.CIQ(A379, "IQ_MARKETCAP", F379)</f>
        <v>20.690930000000002</v>
      </c>
      <c r="J379">
        <f>_xll.ciqfunctions.udf.CIQ(A379, "IQ_PRICE_VOL_HIST_6MTH", F379)</f>
        <v>0</v>
      </c>
      <c r="K379">
        <f>_xll.ciqfunctions.udf.CIQ(A379, "IQ_LASTSALEPRICE", WORKDAY(F379,-1))</f>
        <v>0</v>
      </c>
      <c r="L379">
        <f>_xll.ciqfunctions.udf.CIQ(A379, "IQ_LASTSALEPRICE", F379)</f>
        <v>0</v>
      </c>
      <c r="M379">
        <f>_xll.ciqfunctions.udf.CIQ(A379, "IQ_LASTSALEPRICE", WORKDAY(F379,5))</f>
        <v>0</v>
      </c>
      <c r="N379" t="e">
        <f t="shared" si="10"/>
        <v>#DIV/0!</v>
      </c>
      <c r="O379" t="e">
        <f t="shared" si="11"/>
        <v>#DIV/0!</v>
      </c>
      <c r="P379">
        <f>LN(_xll.ciqfunctions.udf.CIQ("XBI", "IQ_LASTSALEPRICE", WORKDAY(F379,-1))/_xll.ciqfunctions.udf.CIQ("XBI", "IQ_LASTSALEPRICE", WORKDAY(F379,1)))</f>
        <v>2.0598768026538993E-2</v>
      </c>
      <c r="Q379">
        <f>LN(_xll.ciqfunctions.udf.CIQ("XBI", "IQ_LASTSALEPRICE", WORKDAY(F379,-1))/_xll.ciqfunctions.udf.CIQ("XBI", "IQ_LASTSALEPRICE", WORKDAY(F379,5)))</f>
        <v>4.739745768969169E-2</v>
      </c>
      <c r="R379">
        <f>_xll.ciqfunctions.udf.CIQ(A379, "IQ_SHORT_INTEREST_PERCENT", F379)</f>
        <v>0</v>
      </c>
      <c r="S379">
        <f>_xll.ciqfunctions.udf.CIQ(A379, "IQ_BETA_1YR_RSQ", F379)</f>
        <v>0</v>
      </c>
      <c r="T379">
        <f>_xll.ciqfunctions.udf.CIQ(A379, "IQ_VALUE_TRADED", F379)</f>
        <v>0</v>
      </c>
    </row>
    <row r="380" spans="1:20" x14ac:dyDescent="0.3">
      <c r="A380" t="s">
        <v>770</v>
      </c>
      <c r="B380">
        <v>5.2</v>
      </c>
      <c r="C380" t="s">
        <v>771</v>
      </c>
      <c r="D380" t="s">
        <v>772</v>
      </c>
      <c r="E380" t="s">
        <v>27</v>
      </c>
      <c r="F380" s="1">
        <v>45355</v>
      </c>
      <c r="G380" t="s">
        <v>1222</v>
      </c>
      <c r="H380">
        <v>19</v>
      </c>
      <c r="I380">
        <f>_xll.ciqfunctions.udf.CIQ(A380, "IQ_MARKETCAP", F380)</f>
        <v>47.324640000000002</v>
      </c>
      <c r="J380">
        <f>_xll.ciqfunctions.udf.CIQ(A380, "IQ_PRICE_VOL_HIST_6MTH", F380)</f>
        <v>107.6566</v>
      </c>
      <c r="K380">
        <f>_xll.ciqfunctions.udf.CIQ(A380, "IQ_LASTSALEPRICE", WORKDAY(F380,-1))</f>
        <v>4.3810000000000002</v>
      </c>
      <c r="L380">
        <f>_xll.ciqfunctions.udf.CIQ(A380, "IQ_LASTSALEPRICE", F380)</f>
        <v>5.2</v>
      </c>
      <c r="M380">
        <f>_xll.ciqfunctions.udf.CIQ(A380, "IQ_LASTSALEPRICE", WORKDAY(F380,5))</f>
        <v>6.69</v>
      </c>
      <c r="N380">
        <f t="shared" si="10"/>
        <v>0.17138161675562019</v>
      </c>
      <c r="O380">
        <f t="shared" si="11"/>
        <v>0.42333686530837566</v>
      </c>
      <c r="P380">
        <f>LN(_xll.ciqfunctions.udf.CIQ("XBI", "IQ_LASTSALEPRICE", WORKDAY(F380,-1))/_xll.ciqfunctions.udf.CIQ("XBI", "IQ_LASTSALEPRICE", WORKDAY(F380,1)))</f>
        <v>2.0598768026538993E-2</v>
      </c>
      <c r="Q380">
        <f>LN(_xll.ciqfunctions.udf.CIQ("XBI", "IQ_LASTSALEPRICE", WORKDAY(F380,-1))/_xll.ciqfunctions.udf.CIQ("XBI", "IQ_LASTSALEPRICE", WORKDAY(F380,5)))</f>
        <v>4.739745768969169E-2</v>
      </c>
      <c r="R380">
        <f>_xll.ciqfunctions.udf.CIQ(A380, "IQ_SHORT_INTEREST_PERCENT", F380)</f>
        <v>4.2504</v>
      </c>
      <c r="S380">
        <f>_xll.ciqfunctions.udf.CIQ(A380, "IQ_BETA_1YR_RSQ", F380)</f>
        <v>3.2169999999999997E-2</v>
      </c>
      <c r="T380">
        <f>_xll.ciqfunctions.udf.CIQ(A380, "IQ_VALUE_TRADED", F380)</f>
        <v>2.42754</v>
      </c>
    </row>
    <row r="381" spans="1:20" x14ac:dyDescent="0.3">
      <c r="A381" t="s">
        <v>1223</v>
      </c>
      <c r="B381">
        <v>71.55</v>
      </c>
      <c r="C381" t="s">
        <v>1224</v>
      </c>
      <c r="D381" t="s">
        <v>1225</v>
      </c>
      <c r="E381" t="s">
        <v>76</v>
      </c>
      <c r="F381" s="1">
        <v>45355</v>
      </c>
      <c r="G381" t="s">
        <v>1226</v>
      </c>
      <c r="H381">
        <v>129</v>
      </c>
      <c r="I381">
        <f>_xll.ciqfunctions.udf.CIQ(A381, "IQ_MARKETCAP", F381)</f>
        <v>7756.5730800000001</v>
      </c>
      <c r="J381">
        <f>_xll.ciqfunctions.udf.CIQ(A381, "IQ_PRICE_VOL_HIST_6MTH", F381)</f>
        <v>39.7577</v>
      </c>
      <c r="K381">
        <f>_xll.ciqfunctions.udf.CIQ(A381, "IQ_LASTSALEPRICE", WORKDAY(F381,-1))</f>
        <v>71.709999999999994</v>
      </c>
      <c r="L381">
        <f>_xll.ciqfunctions.udf.CIQ(A381, "IQ_LASTSALEPRICE", F381)</f>
        <v>71.55</v>
      </c>
      <c r="M381">
        <f>_xll.ciqfunctions.udf.CIQ(A381, "IQ_LASTSALEPRICE", WORKDAY(F381,5))</f>
        <v>70.25</v>
      </c>
      <c r="N381">
        <f t="shared" si="10"/>
        <v>-2.2337018920235005E-3</v>
      </c>
      <c r="O381">
        <f t="shared" si="11"/>
        <v>-2.0569899680628296E-2</v>
      </c>
      <c r="P381">
        <f>LN(_xll.ciqfunctions.udf.CIQ("XBI", "IQ_LASTSALEPRICE", WORKDAY(F381,-1))/_xll.ciqfunctions.udf.CIQ("XBI", "IQ_LASTSALEPRICE", WORKDAY(F381,1)))</f>
        <v>2.0598768026538993E-2</v>
      </c>
      <c r="Q381">
        <f>LN(_xll.ciqfunctions.udf.CIQ("XBI", "IQ_LASTSALEPRICE", WORKDAY(F381,-1))/_xll.ciqfunctions.udf.CIQ("XBI", "IQ_LASTSALEPRICE", WORKDAY(F381,5)))</f>
        <v>4.739745768969169E-2</v>
      </c>
      <c r="R381">
        <f>_xll.ciqfunctions.udf.CIQ(A381, "IQ_SHORT_INTEREST_PERCENT", F381)</f>
        <v>9.8267399999999991</v>
      </c>
      <c r="S381">
        <f>_xll.ciqfunctions.udf.CIQ(A381, "IQ_BETA_1YR_RSQ", F381)</f>
        <v>2.3800000000000002E-2</v>
      </c>
      <c r="T381">
        <f>_xll.ciqfunctions.udf.CIQ(A381, "IQ_VALUE_TRADED", F381)</f>
        <v>44.711019999999998</v>
      </c>
    </row>
    <row r="382" spans="1:20" x14ac:dyDescent="0.3">
      <c r="A382" t="s">
        <v>1207</v>
      </c>
      <c r="B382">
        <v>6.83</v>
      </c>
      <c r="C382" t="s">
        <v>1227</v>
      </c>
      <c r="D382" t="s">
        <v>915</v>
      </c>
      <c r="E382" t="s">
        <v>17</v>
      </c>
      <c r="F382" s="1">
        <v>45355</v>
      </c>
      <c r="G382" t="s">
        <v>1228</v>
      </c>
      <c r="H382">
        <v>5</v>
      </c>
      <c r="I382">
        <f>_xll.ciqfunctions.udf.CIQ(A382, "IQ_MARKETCAP", F382)</f>
        <v>11.793229999999999</v>
      </c>
      <c r="J382">
        <f>_xll.ciqfunctions.udf.CIQ(A382, "IQ_PRICE_VOL_HIST_6MTH", F382)</f>
        <v>179.44659999999999</v>
      </c>
      <c r="K382">
        <f>_xll.ciqfunctions.udf.CIQ(A382, "IQ_LASTSALEPRICE", WORKDAY(F382,-1))</f>
        <v>8.6969999999999992</v>
      </c>
      <c r="L382">
        <f>_xll.ciqfunctions.udf.CIQ(A382, "IQ_LASTSALEPRICE", F382)</f>
        <v>6.8265000000000002</v>
      </c>
      <c r="M382">
        <f>_xll.ciqfunctions.udf.CIQ(A382, "IQ_LASTSALEPRICE", WORKDAY(F382,5))</f>
        <v>6.3224999999999998</v>
      </c>
      <c r="N382">
        <f t="shared" si="10"/>
        <v>-0.24216604146495876</v>
      </c>
      <c r="O382">
        <f t="shared" si="11"/>
        <v>-0.31886343904564496</v>
      </c>
      <c r="P382">
        <f>LN(_xll.ciqfunctions.udf.CIQ("XBI", "IQ_LASTSALEPRICE", WORKDAY(F382,-1))/_xll.ciqfunctions.udf.CIQ("XBI", "IQ_LASTSALEPRICE", WORKDAY(F382,1)))</f>
        <v>2.0598768026538993E-2</v>
      </c>
      <c r="Q382">
        <f>LN(_xll.ciqfunctions.udf.CIQ("XBI", "IQ_LASTSALEPRICE", WORKDAY(F382,-1))/_xll.ciqfunctions.udf.CIQ("XBI", "IQ_LASTSALEPRICE", WORKDAY(F382,5)))</f>
        <v>4.739745768969169E-2</v>
      </c>
      <c r="R382">
        <f>_xll.ciqfunctions.udf.CIQ(A382, "IQ_SHORT_INTEREST_PERCENT", F382)</f>
        <v>1.1482699999999999</v>
      </c>
      <c r="S382">
        <f>_xll.ciqfunctions.udf.CIQ(A382, "IQ_BETA_1YR_RSQ", F382)</f>
        <v>1.9029999999999998E-2</v>
      </c>
      <c r="T382">
        <f>_xll.ciqfunctions.udf.CIQ(A382, "IQ_VALUE_TRADED", F382)</f>
        <v>1.6355599999999999</v>
      </c>
    </row>
    <row r="383" spans="1:20" x14ac:dyDescent="0.3">
      <c r="A383" t="s">
        <v>146</v>
      </c>
      <c r="B383">
        <v>42.09</v>
      </c>
      <c r="C383" t="s">
        <v>1229</v>
      </c>
      <c r="D383" t="s">
        <v>1230</v>
      </c>
      <c r="E383" t="s">
        <v>22</v>
      </c>
      <c r="F383" s="1">
        <v>45355</v>
      </c>
      <c r="G383" t="s">
        <v>1231</v>
      </c>
      <c r="I383">
        <f>_xll.ciqfunctions.udf.CIQ(A383, "IQ_MARKETCAP", F383)</f>
        <v>67682.930470000007</v>
      </c>
      <c r="J383">
        <f>_xll.ciqfunctions.udf.CIQ(A383, "IQ_PRICE_VOL_HIST_6MTH", F383)</f>
        <v>17.8337</v>
      </c>
      <c r="K383">
        <f>_xll.ciqfunctions.udf.CIQ(A383, "IQ_LASTSALEPRICE", WORKDAY(F383,-1))</f>
        <v>16.617999999999999</v>
      </c>
      <c r="L383">
        <f>_xll.ciqfunctions.udf.CIQ(A383, "IQ_LASTSALEPRICE", F383)</f>
        <v>16.678000000000001</v>
      </c>
      <c r="M383">
        <f>_xll.ciqfunctions.udf.CIQ(A383, "IQ_LASTSALEPRICE", WORKDAY(F383,5))</f>
        <v>16.75</v>
      </c>
      <c r="N383">
        <f t="shared" si="10"/>
        <v>3.6040404220042325E-3</v>
      </c>
      <c r="O383">
        <f t="shared" si="11"/>
        <v>7.9118130282858443E-3</v>
      </c>
      <c r="P383">
        <f>LN(_xll.ciqfunctions.udf.CIQ("XBI", "IQ_LASTSALEPRICE", WORKDAY(F383,-1))/_xll.ciqfunctions.udf.CIQ("XBI", "IQ_LASTSALEPRICE", WORKDAY(F383,1)))</f>
        <v>2.0598768026538993E-2</v>
      </c>
      <c r="Q383">
        <f>LN(_xll.ciqfunctions.udf.CIQ("XBI", "IQ_LASTSALEPRICE", WORKDAY(F383,-1))/_xll.ciqfunctions.udf.CIQ("XBI", "IQ_LASTSALEPRICE", WORKDAY(F383,5)))</f>
        <v>4.739745768969169E-2</v>
      </c>
      <c r="R383">
        <f>_xll.ciqfunctions.udf.CIQ(A383, "IQ_SHORT_INTEREST_PERCENT", F383)</f>
        <v>0</v>
      </c>
      <c r="S383">
        <f>_xll.ciqfunctions.udf.CIQ(A383, "IQ_BETA_1YR_RSQ", F383)</f>
        <v>1.0300000000000001E-3</v>
      </c>
      <c r="T383">
        <f>_xll.ciqfunctions.udf.CIQ(A383, "IQ_VALUE_TRADED", F383)</f>
        <v>85.056600000000003</v>
      </c>
    </row>
    <row r="384" spans="1:20" x14ac:dyDescent="0.3">
      <c r="A384" t="s">
        <v>401</v>
      </c>
      <c r="B384">
        <v>25.51</v>
      </c>
      <c r="C384" t="s">
        <v>1229</v>
      </c>
      <c r="D384" t="s">
        <v>1230</v>
      </c>
      <c r="E384" t="s">
        <v>22</v>
      </c>
      <c r="F384" s="1">
        <v>45355</v>
      </c>
      <c r="G384" t="s">
        <v>1231</v>
      </c>
      <c r="I384">
        <f>_xll.ciqfunctions.udf.CIQ(A384, "IQ_MARKETCAP", F384)</f>
        <v>146195.09341999999</v>
      </c>
      <c r="J384">
        <f>_xll.ciqfunctions.udf.CIQ(A384, "IQ_PRICE_VOL_HIST_6MTH", F384)</f>
        <v>26.4556</v>
      </c>
      <c r="K384">
        <f>_xll.ciqfunctions.udf.CIQ(A384, "IQ_LASTSALEPRICE", WORKDAY(F384,-1))</f>
        <v>26.59</v>
      </c>
      <c r="L384">
        <f>_xll.ciqfunctions.udf.CIQ(A384, "IQ_LASTSALEPRICE", F384)</f>
        <v>25.89</v>
      </c>
      <c r="M384">
        <f>_xll.ciqfunctions.udf.CIQ(A384, "IQ_LASTSALEPRICE", WORKDAY(F384,5))</f>
        <v>28.37</v>
      </c>
      <c r="N384">
        <f t="shared" si="10"/>
        <v>-2.6678411491482118E-2</v>
      </c>
      <c r="O384">
        <f t="shared" si="11"/>
        <v>6.4797043565831672E-2</v>
      </c>
      <c r="P384">
        <f>LN(_xll.ciqfunctions.udf.CIQ("XBI", "IQ_LASTSALEPRICE", WORKDAY(F384,-1))/_xll.ciqfunctions.udf.CIQ("XBI", "IQ_LASTSALEPRICE", WORKDAY(F384,1)))</f>
        <v>2.0598768026538993E-2</v>
      </c>
      <c r="Q384">
        <f>LN(_xll.ciqfunctions.udf.CIQ("XBI", "IQ_LASTSALEPRICE", WORKDAY(F384,-1))/_xll.ciqfunctions.udf.CIQ("XBI", "IQ_LASTSALEPRICE", WORKDAY(F384,5)))</f>
        <v>4.739745768969169E-2</v>
      </c>
      <c r="R384">
        <f>_xll.ciqfunctions.udf.CIQ(A384, "IQ_SHORT_INTEREST_PERCENT", F384)</f>
        <v>1.0746100000000001</v>
      </c>
      <c r="S384">
        <f>_xll.ciqfunctions.udf.CIQ(A384, "IQ_BETA_1YR_RSQ", F384)</f>
        <v>7.3429999999999995E-2</v>
      </c>
      <c r="T384">
        <f>_xll.ciqfunctions.udf.CIQ(A384, "IQ_VALUE_TRADED", F384)</f>
        <v>2246.6752700000002</v>
      </c>
    </row>
    <row r="385" spans="1:20" x14ac:dyDescent="0.3">
      <c r="A385" t="s">
        <v>1232</v>
      </c>
      <c r="B385">
        <v>59.3</v>
      </c>
      <c r="C385" t="s">
        <v>1233</v>
      </c>
      <c r="D385" t="s">
        <v>1234</v>
      </c>
      <c r="E385" t="s">
        <v>22</v>
      </c>
      <c r="F385" s="1">
        <v>45356</v>
      </c>
      <c r="G385" t="s">
        <v>1235</v>
      </c>
      <c r="H385">
        <v>59</v>
      </c>
      <c r="I385">
        <f>_xll.ciqfunctions.udf.CIQ(A385, "IQ_MARKETCAP", F385)</f>
        <v>2877.1960300000001</v>
      </c>
      <c r="J385">
        <f>_xll.ciqfunctions.udf.CIQ(A385, "IQ_PRICE_VOL_HIST_6MTH", F385)</f>
        <v>83.790899999999993</v>
      </c>
      <c r="K385">
        <f>_xll.ciqfunctions.udf.CIQ(A385, "IQ_LASTSALEPRICE", WORKDAY(F385,-1))</f>
        <v>41.74</v>
      </c>
      <c r="L385">
        <f>_xll.ciqfunctions.udf.CIQ(A385, "IQ_LASTSALEPRICE", F385)</f>
        <v>59.3</v>
      </c>
      <c r="M385">
        <f>_xll.ciqfunctions.udf.CIQ(A385, "IQ_LASTSALEPRICE", WORKDAY(F385,5))</f>
        <v>69.34</v>
      </c>
      <c r="N385">
        <f t="shared" si="10"/>
        <v>0.35114940435462499</v>
      </c>
      <c r="O385">
        <f t="shared" si="11"/>
        <v>0.50756203860782267</v>
      </c>
      <c r="P385">
        <f>LN(_xll.ciqfunctions.udf.CIQ("XBI", "IQ_LASTSALEPRICE", WORKDAY(F385,-1))/_xll.ciqfunctions.udf.CIQ("XBI", "IQ_LASTSALEPRICE", WORKDAY(F385,1)))</f>
        <v>6.0742033910162543E-3</v>
      </c>
      <c r="Q385">
        <f>LN(_xll.ciqfunctions.udf.CIQ("XBI", "IQ_LASTSALEPRICE", WORKDAY(F385,-1))/_xll.ciqfunctions.udf.CIQ("XBI", "IQ_LASTSALEPRICE", WORKDAY(F385,5)))</f>
        <v>4.6014312282928939E-2</v>
      </c>
      <c r="R385">
        <f>_xll.ciqfunctions.udf.CIQ(A385, "IQ_SHORT_INTEREST_PERCENT", F385)</f>
        <v>6.7980499999999999</v>
      </c>
      <c r="S385">
        <f>_xll.ciqfunctions.udf.CIQ(A385, "IQ_BETA_1YR_RSQ", F385)</f>
        <v>0.17130999999999999</v>
      </c>
      <c r="T385">
        <f>_xll.ciqfunctions.udf.CIQ(A385, "IQ_VALUE_TRADED", F385)</f>
        <v>377.03397000000001</v>
      </c>
    </row>
    <row r="386" spans="1:20" x14ac:dyDescent="0.3">
      <c r="A386" t="s">
        <v>146</v>
      </c>
      <c r="B386">
        <v>42.25</v>
      </c>
      <c r="C386" t="s">
        <v>1236</v>
      </c>
      <c r="D386" t="s">
        <v>994</v>
      </c>
      <c r="E386" t="s">
        <v>22</v>
      </c>
      <c r="F386" s="1">
        <v>45356</v>
      </c>
      <c r="G386" t="s">
        <v>1237</v>
      </c>
      <c r="I386">
        <f>_xll.ciqfunctions.udf.CIQ(A386, "IQ_MARKETCAP", F386)</f>
        <v>68316.012199999997</v>
      </c>
      <c r="J386">
        <f>_xll.ciqfunctions.udf.CIQ(A386, "IQ_PRICE_VOL_HIST_6MTH", F386)</f>
        <v>17.857399999999998</v>
      </c>
      <c r="K386">
        <f>_xll.ciqfunctions.udf.CIQ(A386, "IQ_LASTSALEPRICE", WORKDAY(F386,-1))</f>
        <v>16.678000000000001</v>
      </c>
      <c r="L386">
        <f>_xll.ciqfunctions.udf.CIQ(A386, "IQ_LASTSALEPRICE", F386)</f>
        <v>16.834</v>
      </c>
      <c r="M386">
        <f>_xll.ciqfunctions.udf.CIQ(A386, "IQ_LASTSALEPRICE", WORKDAY(F386,5))</f>
        <v>16.852</v>
      </c>
      <c r="N386">
        <f t="shared" si="10"/>
        <v>9.3101651245906334E-3</v>
      </c>
      <c r="O386">
        <f t="shared" si="11"/>
        <v>1.0378858451976359E-2</v>
      </c>
      <c r="P386">
        <f>LN(_xll.ciqfunctions.udf.CIQ("XBI", "IQ_LASTSALEPRICE", WORKDAY(F386,-1))/_xll.ciqfunctions.udf.CIQ("XBI", "IQ_LASTSALEPRICE", WORKDAY(F386,1)))</f>
        <v>6.0742033910162543E-3</v>
      </c>
      <c r="Q386">
        <f>LN(_xll.ciqfunctions.udf.CIQ("XBI", "IQ_LASTSALEPRICE", WORKDAY(F386,-1))/_xll.ciqfunctions.udf.CIQ("XBI", "IQ_LASTSALEPRICE", WORKDAY(F386,5)))</f>
        <v>4.6014312282928939E-2</v>
      </c>
      <c r="R386">
        <f>_xll.ciqfunctions.udf.CIQ(A386, "IQ_SHORT_INTEREST_PERCENT", F386)</f>
        <v>0</v>
      </c>
      <c r="S386">
        <f>_xll.ciqfunctions.udf.CIQ(A386, "IQ_BETA_1YR_RSQ", F386)</f>
        <v>1.0300000000000001E-3</v>
      </c>
      <c r="T386">
        <f>_xll.ciqfunctions.udf.CIQ(A386, "IQ_VALUE_TRADED", F386)</f>
        <v>85.543859999999995</v>
      </c>
    </row>
    <row r="387" spans="1:20" x14ac:dyDescent="0.3">
      <c r="A387" t="s">
        <v>216</v>
      </c>
      <c r="B387">
        <v>123.76</v>
      </c>
      <c r="C387" t="s">
        <v>1238</v>
      </c>
      <c r="D387" t="s">
        <v>1239</v>
      </c>
      <c r="E387" t="s">
        <v>36</v>
      </c>
      <c r="F387" s="1">
        <v>45356</v>
      </c>
      <c r="G387" t="s">
        <v>1240</v>
      </c>
      <c r="I387">
        <f>_xll.ciqfunctions.udf.CIQ(A387, "IQ_MARKETCAP", F387)</f>
        <v>3815552.7480199998</v>
      </c>
      <c r="J387">
        <f>_xll.ciqfunctions.udf.CIQ(A387, "IQ_PRICE_VOL_HIST_6MTH", F387)</f>
        <v>28.047799999999999</v>
      </c>
      <c r="K387">
        <f>_xll.ciqfunctions.udf.CIQ(A387, "IQ_LASTSALEPRICE", WORKDAY(F387,-1))</f>
        <v>127.95</v>
      </c>
      <c r="L387">
        <f>_xll.ciqfunctions.udf.CIQ(A387, "IQ_LASTSALEPRICE", F387)</f>
        <v>124.65</v>
      </c>
      <c r="M387">
        <f>_xll.ciqfunctions.udf.CIQ(A387, "IQ_LASTSALEPRICE", WORKDAY(F387,5))</f>
        <v>135.11000000000001</v>
      </c>
      <c r="N387">
        <f t="shared" ref="N387:N450" si="12">LN(L387/K387)</f>
        <v>-2.6129752636230866E-2</v>
      </c>
      <c r="O387">
        <f t="shared" ref="O387:O450" si="13">LN(M387/K387)</f>
        <v>5.444969886606995E-2</v>
      </c>
      <c r="P387">
        <f>LN(_xll.ciqfunctions.udf.CIQ("XBI", "IQ_LASTSALEPRICE", WORKDAY(F387,-1))/_xll.ciqfunctions.udf.CIQ("XBI", "IQ_LASTSALEPRICE", WORKDAY(F387,1)))</f>
        <v>6.0742033910162543E-3</v>
      </c>
      <c r="Q387">
        <f>LN(_xll.ciqfunctions.udf.CIQ("XBI", "IQ_LASTSALEPRICE", WORKDAY(F387,-1))/_xll.ciqfunctions.udf.CIQ("XBI", "IQ_LASTSALEPRICE", WORKDAY(F387,5)))</f>
        <v>4.6014312282928939E-2</v>
      </c>
      <c r="R387">
        <f>_xll.ciqfunctions.udf.CIQ(A387, "IQ_SHORT_INTEREST_PERCENT", F387)</f>
        <v>0</v>
      </c>
      <c r="S387">
        <f>_xll.ciqfunctions.udf.CIQ(A387, "IQ_BETA_1YR_RSQ", F387)</f>
        <v>0</v>
      </c>
      <c r="T387">
        <f>_xll.ciqfunctions.udf.CIQ(A387, "IQ_VALUE_TRADED", F387)</f>
        <v>599.29277000000002</v>
      </c>
    </row>
    <row r="388" spans="1:20" x14ac:dyDescent="0.3">
      <c r="A388" t="s">
        <v>952</v>
      </c>
      <c r="B388">
        <v>5.66</v>
      </c>
      <c r="C388" t="s">
        <v>1241</v>
      </c>
      <c r="D388" t="s">
        <v>1242</v>
      </c>
      <c r="E388" t="s">
        <v>22</v>
      </c>
      <c r="F388" s="1">
        <v>45356</v>
      </c>
      <c r="G388" t="s">
        <v>1243</v>
      </c>
      <c r="H388">
        <v>15</v>
      </c>
      <c r="I388">
        <f>_xll.ciqfunctions.udf.CIQ(A388, "IQ_MARKETCAP", F388)</f>
        <v>75.399730000000005</v>
      </c>
      <c r="J388">
        <f>_xll.ciqfunctions.udf.CIQ(A388, "IQ_PRICE_VOL_HIST_6MTH", F388)</f>
        <v>106.5545</v>
      </c>
      <c r="K388">
        <f>_xll.ciqfunctions.udf.CIQ(A388, "IQ_LASTSALEPRICE", WORKDAY(F388,-1))</f>
        <v>5.085</v>
      </c>
      <c r="L388">
        <f>_xll.ciqfunctions.udf.CIQ(A388, "IQ_LASTSALEPRICE", F388)</f>
        <v>5.66</v>
      </c>
      <c r="M388">
        <f>_xll.ciqfunctions.udf.CIQ(A388, "IQ_LASTSALEPRICE", WORKDAY(F388,5))</f>
        <v>4.0999999999999996</v>
      </c>
      <c r="N388">
        <f t="shared" si="12"/>
        <v>0.1071288627145683</v>
      </c>
      <c r="O388">
        <f t="shared" si="13"/>
        <v>-0.21530805579026127</v>
      </c>
      <c r="P388">
        <f>LN(_xll.ciqfunctions.udf.CIQ("XBI", "IQ_LASTSALEPRICE", WORKDAY(F388,-1))/_xll.ciqfunctions.udf.CIQ("XBI", "IQ_LASTSALEPRICE", WORKDAY(F388,1)))</f>
        <v>6.0742033910162543E-3</v>
      </c>
      <c r="Q388">
        <f>LN(_xll.ciqfunctions.udf.CIQ("XBI", "IQ_LASTSALEPRICE", WORKDAY(F388,-1))/_xll.ciqfunctions.udf.CIQ("XBI", "IQ_LASTSALEPRICE", WORKDAY(F388,5)))</f>
        <v>4.6014312282928939E-2</v>
      </c>
      <c r="R388">
        <f>_xll.ciqfunctions.udf.CIQ(A388, "IQ_SHORT_INTEREST_PERCENT", F388)</f>
        <v>0.39884999999999998</v>
      </c>
      <c r="S388">
        <f>_xll.ciqfunctions.udf.CIQ(A388, "IQ_BETA_1YR_RSQ", F388)</f>
        <v>9.7000000000000005E-4</v>
      </c>
      <c r="T388">
        <f>_xll.ciqfunctions.udf.CIQ(A388, "IQ_VALUE_TRADED", F388)</f>
        <v>55.378219999999999</v>
      </c>
    </row>
    <row r="389" spans="1:20" x14ac:dyDescent="0.3">
      <c r="A389" t="s">
        <v>1007</v>
      </c>
      <c r="B389">
        <v>1.06</v>
      </c>
      <c r="C389" t="s">
        <v>1008</v>
      </c>
      <c r="D389" t="s">
        <v>104</v>
      </c>
      <c r="E389" t="s">
        <v>89</v>
      </c>
      <c r="F389" s="1">
        <v>45356</v>
      </c>
      <c r="G389" t="s">
        <v>1244</v>
      </c>
      <c r="H389">
        <v>6</v>
      </c>
      <c r="I389">
        <f>_xll.ciqfunctions.udf.CIQ(A389, "IQ_MARKETCAP", F389)</f>
        <v>15.758380000000001</v>
      </c>
      <c r="J389">
        <f>_xll.ciqfunctions.udf.CIQ(A389, "IQ_PRICE_VOL_HIST_6MTH", F389)</f>
        <v>177.62989999999999</v>
      </c>
      <c r="K389">
        <f>_xll.ciqfunctions.udf.CIQ(A389, "IQ_LASTSALEPRICE", WORKDAY(F389,-1))</f>
        <v>4.9504999999999999</v>
      </c>
      <c r="L389">
        <f>_xll.ciqfunctions.udf.CIQ(A389, "IQ_LASTSALEPRICE", F389)</f>
        <v>5.3</v>
      </c>
      <c r="M389">
        <f>_xll.ciqfunctions.udf.CIQ(A389, "IQ_LASTSALEPRICE", WORKDAY(F389,5))</f>
        <v>4.13</v>
      </c>
      <c r="N389">
        <f t="shared" si="12"/>
        <v>6.8218238977643758E-2</v>
      </c>
      <c r="O389">
        <f t="shared" si="13"/>
        <v>-0.18121117460749092</v>
      </c>
      <c r="P389">
        <f>LN(_xll.ciqfunctions.udf.CIQ("XBI", "IQ_LASTSALEPRICE", WORKDAY(F389,-1))/_xll.ciqfunctions.udf.CIQ("XBI", "IQ_LASTSALEPRICE", WORKDAY(F389,1)))</f>
        <v>6.0742033910162543E-3</v>
      </c>
      <c r="Q389">
        <f>LN(_xll.ciqfunctions.udf.CIQ("XBI", "IQ_LASTSALEPRICE", WORKDAY(F389,-1))/_xll.ciqfunctions.udf.CIQ("XBI", "IQ_LASTSALEPRICE", WORKDAY(F389,5)))</f>
        <v>4.6014312282928939E-2</v>
      </c>
      <c r="R389">
        <f>_xll.ciqfunctions.udf.CIQ(A389, "IQ_SHORT_INTEREST_PERCENT", F389)</f>
        <v>0.42268</v>
      </c>
      <c r="S389">
        <f>_xll.ciqfunctions.udf.CIQ(A389, "IQ_BETA_1YR_RSQ", F389)</f>
        <v>3.3500000000000001E-3</v>
      </c>
      <c r="T389">
        <f>_xll.ciqfunctions.udf.CIQ(A389, "IQ_VALUE_TRADED", F389)</f>
        <v>1.74942</v>
      </c>
    </row>
    <row r="390" spans="1:20" x14ac:dyDescent="0.3">
      <c r="A390" t="s">
        <v>1245</v>
      </c>
      <c r="B390">
        <v>149.68</v>
      </c>
      <c r="C390" t="s">
        <v>1246</v>
      </c>
      <c r="D390" t="s">
        <v>1176</v>
      </c>
      <c r="E390" t="s">
        <v>76</v>
      </c>
      <c r="F390" s="1">
        <v>45356</v>
      </c>
      <c r="G390" t="s">
        <v>1247</v>
      </c>
      <c r="H390">
        <v>131</v>
      </c>
      <c r="I390">
        <f>_xll.ciqfunctions.udf.CIQ(A390, "IQ_MARKETCAP", F390)</f>
        <v>18851.566299999999</v>
      </c>
      <c r="J390">
        <f>_xll.ciqfunctions.udf.CIQ(A390, "IQ_PRICE_VOL_HIST_6MTH", F390)</f>
        <v>39.357700000000001</v>
      </c>
      <c r="K390">
        <f>_xll.ciqfunctions.udf.CIQ(A390, "IQ_LASTSALEPRICE", WORKDAY(F390,-1))</f>
        <v>150.04</v>
      </c>
      <c r="L390">
        <f>_xll.ciqfunctions.udf.CIQ(A390, "IQ_LASTSALEPRICE", F390)</f>
        <v>149.68</v>
      </c>
      <c r="M390">
        <f>_xll.ciqfunctions.udf.CIQ(A390, "IQ_LASTSALEPRICE", WORKDAY(F390,5))</f>
        <v>146.65</v>
      </c>
      <c r="N390">
        <f t="shared" si="12"/>
        <v>-2.4022432478522752E-3</v>
      </c>
      <c r="O390">
        <f t="shared" si="13"/>
        <v>-2.285312979022646E-2</v>
      </c>
      <c r="P390">
        <f>LN(_xll.ciqfunctions.udf.CIQ("XBI", "IQ_LASTSALEPRICE", WORKDAY(F390,-1))/_xll.ciqfunctions.udf.CIQ("XBI", "IQ_LASTSALEPRICE", WORKDAY(F390,1)))</f>
        <v>6.0742033910162543E-3</v>
      </c>
      <c r="Q390">
        <f>LN(_xll.ciqfunctions.udf.CIQ("XBI", "IQ_LASTSALEPRICE", WORKDAY(F390,-1))/_xll.ciqfunctions.udf.CIQ("XBI", "IQ_LASTSALEPRICE", WORKDAY(F390,5)))</f>
        <v>4.6014312282928939E-2</v>
      </c>
      <c r="R390">
        <f>_xll.ciqfunctions.udf.CIQ(A390, "IQ_SHORT_INTEREST_PERCENT", F390)</f>
        <v>3.1663199999999998</v>
      </c>
      <c r="S390">
        <f>_xll.ciqfunctions.udf.CIQ(A390, "IQ_BETA_1YR_RSQ", F390)</f>
        <v>0.31728000000000001</v>
      </c>
      <c r="T390">
        <f>_xll.ciqfunctions.udf.CIQ(A390, "IQ_VALUE_TRADED", F390)</f>
        <v>105.31229999999999</v>
      </c>
    </row>
    <row r="391" spans="1:20" x14ac:dyDescent="0.3">
      <c r="A391" t="s">
        <v>711</v>
      </c>
      <c r="B391">
        <v>24.61</v>
      </c>
      <c r="C391" t="s">
        <v>712</v>
      </c>
      <c r="D391" t="s">
        <v>713</v>
      </c>
      <c r="E391" t="s">
        <v>17</v>
      </c>
      <c r="F391" s="1">
        <v>45356</v>
      </c>
      <c r="G391" t="s">
        <v>1248</v>
      </c>
      <c r="H391">
        <v>50</v>
      </c>
      <c r="I391">
        <f>_xll.ciqfunctions.udf.CIQ(A391, "IQ_MARKETCAP", F391)</f>
        <v>1093.36213</v>
      </c>
      <c r="J391">
        <f>_xll.ciqfunctions.udf.CIQ(A391, "IQ_PRICE_VOL_HIST_6MTH", F391)</f>
        <v>75.298599999999993</v>
      </c>
      <c r="K391">
        <f>_xll.ciqfunctions.udf.CIQ(A391, "IQ_LASTSALEPRICE", WORKDAY(F391,-1))</f>
        <v>21.36</v>
      </c>
      <c r="L391">
        <f>_xll.ciqfunctions.udf.CIQ(A391, "IQ_LASTSALEPRICE", F391)</f>
        <v>24.61</v>
      </c>
      <c r="M391">
        <f>_xll.ciqfunctions.udf.CIQ(A391, "IQ_LASTSALEPRICE", WORKDAY(F391,5))</f>
        <v>21.98</v>
      </c>
      <c r="N391">
        <f t="shared" si="12"/>
        <v>0.14163285031097042</v>
      </c>
      <c r="O391">
        <f t="shared" si="13"/>
        <v>2.8612934883481336E-2</v>
      </c>
      <c r="P391">
        <f>LN(_xll.ciqfunctions.udf.CIQ("XBI", "IQ_LASTSALEPRICE", WORKDAY(F391,-1))/_xll.ciqfunctions.udf.CIQ("XBI", "IQ_LASTSALEPRICE", WORKDAY(F391,1)))</f>
        <v>6.0742033910162543E-3</v>
      </c>
      <c r="Q391">
        <f>LN(_xll.ciqfunctions.udf.CIQ("XBI", "IQ_LASTSALEPRICE", WORKDAY(F391,-1))/_xll.ciqfunctions.udf.CIQ("XBI", "IQ_LASTSALEPRICE", WORKDAY(F391,5)))</f>
        <v>4.6014312282928939E-2</v>
      </c>
      <c r="R391">
        <f>_xll.ciqfunctions.udf.CIQ(A391, "IQ_SHORT_INTEREST_PERCENT", F391)</f>
        <v>9.3953900000000008</v>
      </c>
      <c r="S391">
        <f>_xll.ciqfunctions.udf.CIQ(A391, "IQ_BETA_1YR_RSQ", F391)</f>
        <v>0.11372</v>
      </c>
      <c r="T391">
        <f>_xll.ciqfunctions.udf.CIQ(A391, "IQ_VALUE_TRADED", F391)</f>
        <v>69.045029999999997</v>
      </c>
    </row>
    <row r="392" spans="1:20" x14ac:dyDescent="0.3">
      <c r="A392" t="s">
        <v>1249</v>
      </c>
      <c r="B392">
        <v>13</v>
      </c>
      <c r="C392" t="s">
        <v>1250</v>
      </c>
      <c r="D392" t="s">
        <v>1251</v>
      </c>
      <c r="E392" t="s">
        <v>124</v>
      </c>
      <c r="F392" s="1">
        <v>45356</v>
      </c>
      <c r="G392" t="s">
        <v>1252</v>
      </c>
      <c r="H392">
        <v>9</v>
      </c>
      <c r="I392">
        <f>_xll.ciqfunctions.udf.CIQ(A392, "IQ_MARKETCAP", F392)</f>
        <v>80.216229999999996</v>
      </c>
      <c r="J392">
        <f>_xll.ciqfunctions.udf.CIQ(A392, "IQ_PRICE_VOL_HIST_6MTH", F392)</f>
        <v>102.5337</v>
      </c>
      <c r="K392">
        <f>_xll.ciqfunctions.udf.CIQ(A392, "IQ_LASTSALEPRICE", WORKDAY(F392,-1))</f>
        <v>12.7</v>
      </c>
      <c r="L392">
        <f>_xll.ciqfunctions.udf.CIQ(A392, "IQ_LASTSALEPRICE", F392)</f>
        <v>13</v>
      </c>
      <c r="M392">
        <f>_xll.ciqfunctions.udf.CIQ(A392, "IQ_LASTSALEPRICE", WORKDAY(F392,5))</f>
        <v>17.57</v>
      </c>
      <c r="N392">
        <f t="shared" si="12"/>
        <v>2.3347363996991107E-2</v>
      </c>
      <c r="O392">
        <f t="shared" si="13"/>
        <v>0.32459090873446028</v>
      </c>
      <c r="P392">
        <f>LN(_xll.ciqfunctions.udf.CIQ("XBI", "IQ_LASTSALEPRICE", WORKDAY(F392,-1))/_xll.ciqfunctions.udf.CIQ("XBI", "IQ_LASTSALEPRICE", WORKDAY(F392,1)))</f>
        <v>6.0742033910162543E-3</v>
      </c>
      <c r="Q392">
        <f>LN(_xll.ciqfunctions.udf.CIQ("XBI", "IQ_LASTSALEPRICE", WORKDAY(F392,-1))/_xll.ciqfunctions.udf.CIQ("XBI", "IQ_LASTSALEPRICE", WORKDAY(F392,5)))</f>
        <v>4.6014312282928939E-2</v>
      </c>
      <c r="R392">
        <f>_xll.ciqfunctions.udf.CIQ(A392, "IQ_SHORT_INTEREST_PERCENT", F392)</f>
        <v>0.65847</v>
      </c>
      <c r="S392">
        <f>_xll.ciqfunctions.udf.CIQ(A392, "IQ_BETA_1YR_RSQ", F392)</f>
        <v>2.7E-4</v>
      </c>
      <c r="T392">
        <f>_xll.ciqfunctions.udf.CIQ(A392, "IQ_VALUE_TRADED", F392)</f>
        <v>0.31624000000000002</v>
      </c>
    </row>
    <row r="393" spans="1:20" x14ac:dyDescent="0.3">
      <c r="A393" t="s">
        <v>688</v>
      </c>
      <c r="B393">
        <v>4.66</v>
      </c>
      <c r="C393" t="s">
        <v>689</v>
      </c>
      <c r="D393" t="s">
        <v>690</v>
      </c>
      <c r="E393" t="s">
        <v>89</v>
      </c>
      <c r="F393" s="1">
        <v>45356</v>
      </c>
      <c r="G393" t="s">
        <v>1253</v>
      </c>
      <c r="H393">
        <v>35</v>
      </c>
      <c r="I393">
        <f>_xll.ciqfunctions.udf.CIQ(A393, "IQ_MARKETCAP", F393)</f>
        <v>75.489059999999995</v>
      </c>
      <c r="J393">
        <f>_xll.ciqfunctions.udf.CIQ(A393, "IQ_PRICE_VOL_HIST_6MTH", F393)</f>
        <v>75.285899999999998</v>
      </c>
      <c r="K393">
        <f>_xll.ciqfunctions.udf.CIQ(A393, "IQ_LASTSALEPRICE", WORKDAY(F393,-1))</f>
        <v>4.72</v>
      </c>
      <c r="L393">
        <f>_xll.ciqfunctions.udf.CIQ(A393, "IQ_LASTSALEPRICE", F393)</f>
        <v>4.66</v>
      </c>
      <c r="M393">
        <f>_xll.ciqfunctions.udf.CIQ(A393, "IQ_LASTSALEPRICE", WORKDAY(F393,5))</f>
        <v>4.5599999999999996</v>
      </c>
      <c r="N393">
        <f t="shared" si="12"/>
        <v>-1.279335145990947E-2</v>
      </c>
      <c r="O393">
        <f t="shared" si="13"/>
        <v>-3.4486176071169321E-2</v>
      </c>
      <c r="P393">
        <f>LN(_xll.ciqfunctions.udf.CIQ("XBI", "IQ_LASTSALEPRICE", WORKDAY(F393,-1))/_xll.ciqfunctions.udf.CIQ("XBI", "IQ_LASTSALEPRICE", WORKDAY(F393,1)))</f>
        <v>6.0742033910162543E-3</v>
      </c>
      <c r="Q393">
        <f>LN(_xll.ciqfunctions.udf.CIQ("XBI", "IQ_LASTSALEPRICE", WORKDAY(F393,-1))/_xll.ciqfunctions.udf.CIQ("XBI", "IQ_LASTSALEPRICE", WORKDAY(F393,5)))</f>
        <v>4.6014312282928939E-2</v>
      </c>
      <c r="R393">
        <f>_xll.ciqfunctions.udf.CIQ(A393, "IQ_SHORT_INTEREST_PERCENT", F393)</f>
        <v>0.84936</v>
      </c>
      <c r="S393">
        <f>_xll.ciqfunctions.udf.CIQ(A393, "IQ_BETA_1YR_RSQ", F393)</f>
        <v>3.0899999999999999E-3</v>
      </c>
      <c r="T393">
        <f>_xll.ciqfunctions.udf.CIQ(A393, "IQ_VALUE_TRADED", F393)</f>
        <v>3.24716</v>
      </c>
    </row>
    <row r="394" spans="1:20" x14ac:dyDescent="0.3">
      <c r="A394" t="s">
        <v>131</v>
      </c>
      <c r="B394">
        <v>2.61</v>
      </c>
      <c r="C394" t="s">
        <v>1254</v>
      </c>
      <c r="D394" t="s">
        <v>1255</v>
      </c>
      <c r="E394" t="s">
        <v>27</v>
      </c>
      <c r="F394" s="1">
        <v>45356</v>
      </c>
      <c r="G394" t="s">
        <v>1256</v>
      </c>
      <c r="H394">
        <v>145</v>
      </c>
      <c r="I394">
        <f>_xll.ciqfunctions.udf.CIQ(A394, "IQ_MARKETCAP", F394)</f>
        <v>451.75713000000002</v>
      </c>
      <c r="J394">
        <f>_xll.ciqfunctions.udf.CIQ(A394, "IQ_PRICE_VOL_HIST_6MTH", F394)</f>
        <v>51.7776</v>
      </c>
      <c r="K394">
        <f>_xll.ciqfunctions.udf.CIQ(A394, "IQ_LASTSALEPRICE", WORKDAY(F394,-1))</f>
        <v>2.35</v>
      </c>
      <c r="L394">
        <f>_xll.ciqfunctions.udf.CIQ(A394, "IQ_LASTSALEPRICE", F394)</f>
        <v>2.61</v>
      </c>
      <c r="M394">
        <f>_xll.ciqfunctions.udf.CIQ(A394, "IQ_LASTSALEPRICE", WORKDAY(F394,5))</f>
        <v>2.5499999999999998</v>
      </c>
      <c r="N394">
        <f t="shared" si="12"/>
        <v>0.1049348931785344</v>
      </c>
      <c r="O394">
        <f t="shared" si="13"/>
        <v>8.16780310142671E-2</v>
      </c>
      <c r="P394">
        <f>LN(_xll.ciqfunctions.udf.CIQ("XBI", "IQ_LASTSALEPRICE", WORKDAY(F394,-1))/_xll.ciqfunctions.udf.CIQ("XBI", "IQ_LASTSALEPRICE", WORKDAY(F394,1)))</f>
        <v>6.0742033910162543E-3</v>
      </c>
      <c r="Q394">
        <f>LN(_xll.ciqfunctions.udf.CIQ("XBI", "IQ_LASTSALEPRICE", WORKDAY(F394,-1))/_xll.ciqfunctions.udf.CIQ("XBI", "IQ_LASTSALEPRICE", WORKDAY(F394,5)))</f>
        <v>4.6014312282928939E-2</v>
      </c>
      <c r="R394">
        <f>_xll.ciqfunctions.udf.CIQ(A394, "IQ_SHORT_INTEREST_PERCENT", F394)</f>
        <v>0</v>
      </c>
      <c r="S394">
        <f>_xll.ciqfunctions.udf.CIQ(A394, "IQ_BETA_1YR_RSQ", F394)</f>
        <v>0</v>
      </c>
      <c r="T394">
        <f>_xll.ciqfunctions.udf.CIQ(A394, "IQ_VALUE_TRADED", F394)</f>
        <v>1.3782700000000001</v>
      </c>
    </row>
    <row r="395" spans="1:20" x14ac:dyDescent="0.3">
      <c r="A395" t="s">
        <v>488</v>
      </c>
      <c r="B395">
        <v>776.31</v>
      </c>
      <c r="C395" t="s">
        <v>1257</v>
      </c>
      <c r="D395" t="s">
        <v>1258</v>
      </c>
      <c r="E395" t="s">
        <v>197</v>
      </c>
      <c r="F395" s="1">
        <v>45356</v>
      </c>
      <c r="G395" t="s">
        <v>1259</v>
      </c>
      <c r="H395">
        <v>946</v>
      </c>
      <c r="I395">
        <f>_xll.ciqfunctions.udf.CIQ(A395, "IQ_MARKETCAP", F395)</f>
        <v>699958.87623000005</v>
      </c>
      <c r="J395">
        <f>_xll.ciqfunctions.udf.CIQ(A395, "IQ_PRICE_VOL_HIST_6MTH", F395)</f>
        <v>28.773599999999998</v>
      </c>
      <c r="K395">
        <f>_xll.ciqfunctions.udf.CIQ(A395, "IQ_LASTSALEPRICE", WORKDAY(F395,-1))</f>
        <v>792.28</v>
      </c>
      <c r="L395">
        <f>_xll.ciqfunctions.udf.CIQ(A395, "IQ_LASTSALEPRICE", F395)</f>
        <v>777.59</v>
      </c>
      <c r="M395">
        <f>_xll.ciqfunctions.udf.CIQ(A395, "IQ_LASTSALEPRICE", WORKDAY(F395,5))</f>
        <v>754.95</v>
      </c>
      <c r="N395">
        <f t="shared" si="12"/>
        <v>-1.8715471707830084E-2</v>
      </c>
      <c r="O395">
        <f t="shared" si="13"/>
        <v>-4.8263342798584512E-2</v>
      </c>
      <c r="P395">
        <f>LN(_xll.ciqfunctions.udf.CIQ("XBI", "IQ_LASTSALEPRICE", WORKDAY(F395,-1))/_xll.ciqfunctions.udf.CIQ("XBI", "IQ_LASTSALEPRICE", WORKDAY(F395,1)))</f>
        <v>6.0742033910162543E-3</v>
      </c>
      <c r="Q395">
        <f>LN(_xll.ciqfunctions.udf.CIQ("XBI", "IQ_LASTSALEPRICE", WORKDAY(F395,-1))/_xll.ciqfunctions.udf.CIQ("XBI", "IQ_LASTSALEPRICE", WORKDAY(F395,5)))</f>
        <v>4.6014312282928939E-2</v>
      </c>
      <c r="R395">
        <f>_xll.ciqfunctions.udf.CIQ(A395, "IQ_SHORT_INTEREST_PERCENT", F395)</f>
        <v>0.57243999999999995</v>
      </c>
      <c r="S395">
        <f>_xll.ciqfunctions.udf.CIQ(A395, "IQ_BETA_1YR_RSQ", F395)</f>
        <v>8.0999999999999996E-3</v>
      </c>
      <c r="T395">
        <f>_xll.ciqfunctions.udf.CIQ(A395, "IQ_VALUE_TRADED", F395)</f>
        <v>2463.9408800000001</v>
      </c>
    </row>
    <row r="396" spans="1:20" x14ac:dyDescent="0.3">
      <c r="A396" t="s">
        <v>1260</v>
      </c>
      <c r="B396">
        <v>0.88</v>
      </c>
      <c r="C396" t="s">
        <v>1257</v>
      </c>
      <c r="D396" t="s">
        <v>1258</v>
      </c>
      <c r="E396" t="s">
        <v>197</v>
      </c>
      <c r="F396" s="1">
        <v>45356</v>
      </c>
      <c r="G396" t="s">
        <v>1259</v>
      </c>
      <c r="H396">
        <v>19</v>
      </c>
      <c r="I396">
        <f>_xll.ciqfunctions.udf.CIQ(A396, "IQ_MARKETCAP", F396)</f>
        <v>162.3365</v>
      </c>
      <c r="J396">
        <f>_xll.ciqfunctions.udf.CIQ(A396, "IQ_PRICE_VOL_HIST_6MTH", F396)</f>
        <v>88.700299999999999</v>
      </c>
      <c r="K396">
        <f>_xll.ciqfunctions.udf.CIQ(A396, "IQ_LASTSALEPRICE", WORKDAY(F396,-1))</f>
        <v>13.49999</v>
      </c>
      <c r="L396">
        <f>_xll.ciqfunctions.udf.CIQ(A396, "IQ_LASTSALEPRICE", F396)</f>
        <v>13.26149</v>
      </c>
      <c r="M396">
        <f>_xll.ciqfunctions.udf.CIQ(A396, "IQ_LASTSALEPRICE", WORKDAY(F396,5))</f>
        <v>13.34999</v>
      </c>
      <c r="N396">
        <f t="shared" si="12"/>
        <v>-1.7824598234333008E-2</v>
      </c>
      <c r="O396">
        <f t="shared" si="13"/>
        <v>-1.1173308921061159E-2</v>
      </c>
      <c r="P396">
        <f>LN(_xll.ciqfunctions.udf.CIQ("XBI", "IQ_LASTSALEPRICE", WORKDAY(F396,-1))/_xll.ciqfunctions.udf.CIQ("XBI", "IQ_LASTSALEPRICE", WORKDAY(F396,1)))</f>
        <v>6.0742033910162543E-3</v>
      </c>
      <c r="Q396">
        <f>LN(_xll.ciqfunctions.udf.CIQ("XBI", "IQ_LASTSALEPRICE", WORKDAY(F396,-1))/_xll.ciqfunctions.udf.CIQ("XBI", "IQ_LASTSALEPRICE", WORKDAY(F396,5)))</f>
        <v>4.6014312282928939E-2</v>
      </c>
      <c r="R396">
        <f>_xll.ciqfunctions.udf.CIQ(A396, "IQ_SHORT_INTEREST_PERCENT", F396)</f>
        <v>1.3364100000000001</v>
      </c>
      <c r="S396">
        <f>_xll.ciqfunctions.udf.CIQ(A396, "IQ_BETA_1YR_RSQ", F396)</f>
        <v>2.9090000000000001E-2</v>
      </c>
      <c r="T396">
        <f>_xll.ciqfunctions.udf.CIQ(A396, "IQ_VALUE_TRADED", F396)</f>
        <v>5.0831400000000002</v>
      </c>
    </row>
    <row r="397" spans="1:20" x14ac:dyDescent="0.3">
      <c r="A397" t="s">
        <v>931</v>
      </c>
      <c r="B397">
        <v>1.03</v>
      </c>
      <c r="C397" t="s">
        <v>1261</v>
      </c>
      <c r="D397" t="s">
        <v>1262</v>
      </c>
      <c r="E397" t="s">
        <v>17</v>
      </c>
      <c r="F397" s="1">
        <v>45356</v>
      </c>
      <c r="G397" t="s">
        <v>1263</v>
      </c>
      <c r="H397">
        <v>100</v>
      </c>
      <c r="I397">
        <f>_xll.ciqfunctions.udf.CIQ(A397, "IQ_MARKETCAP", F397)</f>
        <v>77.658900000000003</v>
      </c>
      <c r="J397">
        <f>_xll.ciqfunctions.udf.CIQ(A397, "IQ_PRICE_VOL_HIST_6MTH", F397)</f>
        <v>81.563000000000002</v>
      </c>
      <c r="K397">
        <f>_xll.ciqfunctions.udf.CIQ(A397, "IQ_LASTSALEPRICE", WORKDAY(F397,-1))</f>
        <v>0.92</v>
      </c>
      <c r="L397">
        <f>_xll.ciqfunctions.udf.CIQ(A397, "IQ_LASTSALEPRICE", F397)</f>
        <v>1.03</v>
      </c>
      <c r="M397">
        <f>_xll.ciqfunctions.udf.CIQ(A397, "IQ_LASTSALEPRICE", WORKDAY(F397,5))</f>
        <v>1.06</v>
      </c>
      <c r="N397">
        <f t="shared" si="12"/>
        <v>0.11294041118059554</v>
      </c>
      <c r="O397">
        <f t="shared" si="13"/>
        <v>0.14165051706302684</v>
      </c>
      <c r="P397">
        <f>LN(_xll.ciqfunctions.udf.CIQ("XBI", "IQ_LASTSALEPRICE", WORKDAY(F397,-1))/_xll.ciqfunctions.udf.CIQ("XBI", "IQ_LASTSALEPRICE", WORKDAY(F397,1)))</f>
        <v>6.0742033910162543E-3</v>
      </c>
      <c r="Q397">
        <f>LN(_xll.ciqfunctions.udf.CIQ("XBI", "IQ_LASTSALEPRICE", WORKDAY(F397,-1))/_xll.ciqfunctions.udf.CIQ("XBI", "IQ_LASTSALEPRICE", WORKDAY(F397,5)))</f>
        <v>4.6014312282928939E-2</v>
      </c>
      <c r="R397">
        <f>_xll.ciqfunctions.udf.CIQ(A397, "IQ_SHORT_INTEREST_PERCENT", F397)</f>
        <v>1.2247300000000001</v>
      </c>
      <c r="S397">
        <f>_xll.ciqfunctions.udf.CIQ(A397, "IQ_BETA_1YR_RSQ", F397)</f>
        <v>2.7959999999999999E-2</v>
      </c>
      <c r="T397">
        <f>_xll.ciqfunctions.udf.CIQ(A397, "IQ_VALUE_TRADED", F397)</f>
        <v>0.44063000000000002</v>
      </c>
    </row>
    <row r="398" spans="1:20" x14ac:dyDescent="0.3">
      <c r="A398" t="s">
        <v>1264</v>
      </c>
      <c r="B398">
        <v>0.81</v>
      </c>
      <c r="C398" t="s">
        <v>1265</v>
      </c>
      <c r="D398" t="s">
        <v>1266</v>
      </c>
      <c r="E398" t="s">
        <v>184</v>
      </c>
      <c r="F398" s="1">
        <v>45356</v>
      </c>
      <c r="G398" t="s">
        <v>1267</v>
      </c>
      <c r="H398">
        <v>4</v>
      </c>
      <c r="I398">
        <f>_xll.ciqfunctions.udf.CIQ(A398, "IQ_MARKETCAP", F398)</f>
        <v>5.0487799999999998</v>
      </c>
      <c r="J398">
        <f>_xll.ciqfunctions.udf.CIQ(A398, "IQ_PRICE_VOL_HIST_6MTH", F398)</f>
        <v>129.97280000000001</v>
      </c>
      <c r="K398">
        <f>_xll.ciqfunctions.udf.CIQ(A398, "IQ_LASTSALEPRICE", WORKDAY(F398,-1))</f>
        <v>8.24</v>
      </c>
      <c r="L398">
        <f>_xll.ciqfunctions.udf.CIQ(A398, "IQ_LASTSALEPRICE", F398)</f>
        <v>6.4623999999999997</v>
      </c>
      <c r="M398">
        <f>_xll.ciqfunctions.udf.CIQ(A398, "IQ_LASTSALEPRICE", WORKDAY(F398,5))</f>
        <v>5.6360000000000001</v>
      </c>
      <c r="N398">
        <f t="shared" si="12"/>
        <v>-0.24299957809436898</v>
      </c>
      <c r="O398">
        <f t="shared" si="13"/>
        <v>-0.37982574988494655</v>
      </c>
      <c r="P398">
        <f>LN(_xll.ciqfunctions.udf.CIQ("XBI", "IQ_LASTSALEPRICE", WORKDAY(F398,-1))/_xll.ciqfunctions.udf.CIQ("XBI", "IQ_LASTSALEPRICE", WORKDAY(F398,1)))</f>
        <v>6.0742033910162543E-3</v>
      </c>
      <c r="Q398">
        <f>LN(_xll.ciqfunctions.udf.CIQ("XBI", "IQ_LASTSALEPRICE", WORKDAY(F398,-1))/_xll.ciqfunctions.udf.CIQ("XBI", "IQ_LASTSALEPRICE", WORKDAY(F398,5)))</f>
        <v>4.6014312282928939E-2</v>
      </c>
      <c r="R398">
        <f>_xll.ciqfunctions.udf.CIQ(A398, "IQ_SHORT_INTEREST_PERCENT", F398)</f>
        <v>0.4103</v>
      </c>
      <c r="S398">
        <f>_xll.ciqfunctions.udf.CIQ(A398, "IQ_BETA_1YR_RSQ", F398)</f>
        <v>1.172E-2</v>
      </c>
      <c r="T398">
        <f>_xll.ciqfunctions.udf.CIQ(A398, "IQ_VALUE_TRADED", F398)</f>
        <v>0.95772999999999997</v>
      </c>
    </row>
    <row r="399" spans="1:20" x14ac:dyDescent="0.3">
      <c r="A399" t="s">
        <v>1268</v>
      </c>
      <c r="B399">
        <v>4.82</v>
      </c>
      <c r="C399" t="s">
        <v>1269</v>
      </c>
      <c r="D399" t="s">
        <v>994</v>
      </c>
      <c r="E399" t="s">
        <v>22</v>
      </c>
      <c r="F399" s="1">
        <v>45356</v>
      </c>
      <c r="G399" t="s">
        <v>1270</v>
      </c>
      <c r="H399">
        <v>945</v>
      </c>
      <c r="I399">
        <f>_xll.ciqfunctions.udf.CIQ(A399, "IQ_MARKETCAP", F399)</f>
        <v>3230.9958499999998</v>
      </c>
      <c r="J399">
        <f>_xll.ciqfunctions.udf.CIQ(A399, "IQ_PRICE_VOL_HIST_6MTH", F399)</f>
        <v>134.39359999999999</v>
      </c>
      <c r="K399">
        <f>_xll.ciqfunctions.udf.CIQ(A399, "IQ_LASTSALEPRICE", WORKDAY(F399,-1))</f>
        <v>5.07</v>
      </c>
      <c r="L399">
        <f>_xll.ciqfunctions.udf.CIQ(A399, "IQ_LASTSALEPRICE", F399)</f>
        <v>4.82</v>
      </c>
      <c r="M399">
        <f>_xll.ciqfunctions.udf.CIQ(A399, "IQ_LASTSALEPRICE", WORKDAY(F399,5))</f>
        <v>5.05</v>
      </c>
      <c r="N399">
        <f t="shared" si="12"/>
        <v>-5.0566889540582888E-2</v>
      </c>
      <c r="O399">
        <f t="shared" si="13"/>
        <v>-3.9525743158234693E-3</v>
      </c>
      <c r="P399">
        <f>LN(_xll.ciqfunctions.udf.CIQ("XBI", "IQ_LASTSALEPRICE", WORKDAY(F399,-1))/_xll.ciqfunctions.udf.CIQ("XBI", "IQ_LASTSALEPRICE", WORKDAY(F399,1)))</f>
        <v>6.0742033910162543E-3</v>
      </c>
      <c r="Q399">
        <f>LN(_xll.ciqfunctions.udf.CIQ("XBI", "IQ_LASTSALEPRICE", WORKDAY(F399,-1))/_xll.ciqfunctions.udf.CIQ("XBI", "IQ_LASTSALEPRICE", WORKDAY(F399,5)))</f>
        <v>4.6014312282928939E-2</v>
      </c>
      <c r="R399">
        <f>_xll.ciqfunctions.udf.CIQ(A399, "IQ_SHORT_INTEREST_PERCENT", F399)</f>
        <v>7.0323599999999997</v>
      </c>
      <c r="S399">
        <f>_xll.ciqfunctions.udf.CIQ(A399, "IQ_BETA_1YR_RSQ", F399)</f>
        <v>1.6250000000000001E-2</v>
      </c>
      <c r="T399">
        <f>_xll.ciqfunctions.udf.CIQ(A399, "IQ_VALUE_TRADED", F399)</f>
        <v>17.658850000000001</v>
      </c>
    </row>
    <row r="400" spans="1:20" x14ac:dyDescent="0.3">
      <c r="A400" t="s">
        <v>1271</v>
      </c>
      <c r="B400">
        <v>0.93</v>
      </c>
      <c r="C400" t="s">
        <v>1272</v>
      </c>
      <c r="D400" t="s">
        <v>1273</v>
      </c>
      <c r="E400" t="s">
        <v>22</v>
      </c>
      <c r="F400" s="1">
        <v>45356</v>
      </c>
      <c r="G400" t="s">
        <v>1274</v>
      </c>
      <c r="H400">
        <v>793</v>
      </c>
      <c r="I400">
        <f>_xll.ciqfunctions.udf.CIQ(A400, "IQ_MARKETCAP", F400)</f>
        <v>651.61752000000001</v>
      </c>
      <c r="J400">
        <f>_xll.ciqfunctions.udf.CIQ(A400, "IQ_PRICE_VOL_HIST_6MTH", F400)</f>
        <v>86.7239</v>
      </c>
      <c r="K400">
        <f>_xll.ciqfunctions.udf.CIQ(A400, "IQ_LASTSALEPRICE", WORKDAY(F400,-1))</f>
        <v>1</v>
      </c>
      <c r="L400">
        <f>_xll.ciqfunctions.udf.CIQ(A400, "IQ_LASTSALEPRICE", F400)</f>
        <v>0.93489999999999995</v>
      </c>
      <c r="M400">
        <f>_xll.ciqfunctions.udf.CIQ(A400, "IQ_LASTSALEPRICE", WORKDAY(F400,5))</f>
        <v>0.92789999999999995</v>
      </c>
      <c r="N400">
        <f t="shared" si="12"/>
        <v>-6.7315707284867118E-2</v>
      </c>
      <c r="O400">
        <f t="shared" si="13"/>
        <v>-7.483131062300348E-2</v>
      </c>
      <c r="P400">
        <f>LN(_xll.ciqfunctions.udf.CIQ("XBI", "IQ_LASTSALEPRICE", WORKDAY(F400,-1))/_xll.ciqfunctions.udf.CIQ("XBI", "IQ_LASTSALEPRICE", WORKDAY(F400,1)))</f>
        <v>6.0742033910162543E-3</v>
      </c>
      <c r="Q400">
        <f>LN(_xll.ciqfunctions.udf.CIQ("XBI", "IQ_LASTSALEPRICE", WORKDAY(F400,-1))/_xll.ciqfunctions.udf.CIQ("XBI", "IQ_LASTSALEPRICE", WORKDAY(F400,5)))</f>
        <v>4.6014312282928939E-2</v>
      </c>
      <c r="R400">
        <f>_xll.ciqfunctions.udf.CIQ(A400, "IQ_SHORT_INTEREST_PERCENT", F400)</f>
        <v>14.052160000000001</v>
      </c>
      <c r="S400">
        <f>_xll.ciqfunctions.udf.CIQ(A400, "IQ_BETA_1YR_RSQ", F400)</f>
        <v>7.5670000000000001E-2</v>
      </c>
      <c r="T400">
        <f>_xll.ciqfunctions.udf.CIQ(A400, "IQ_VALUE_TRADED", F400)</f>
        <v>14.550079999999999</v>
      </c>
    </row>
    <row r="401" spans="1:20" x14ac:dyDescent="0.3">
      <c r="A401" t="s">
        <v>478</v>
      </c>
      <c r="B401">
        <v>71.400000000000006</v>
      </c>
      <c r="C401" t="s">
        <v>1275</v>
      </c>
      <c r="D401" t="s">
        <v>994</v>
      </c>
      <c r="E401" t="s">
        <v>27</v>
      </c>
      <c r="F401" s="1">
        <v>45356</v>
      </c>
      <c r="G401" t="s">
        <v>1276</v>
      </c>
      <c r="I401">
        <f>_xll.ciqfunctions.udf.CIQ(A401, "IQ_MARKETCAP", F401)</f>
        <v>90929.089219999994</v>
      </c>
      <c r="J401">
        <f>_xll.ciqfunctions.udf.CIQ(A401, "IQ_PRICE_VOL_HIST_6MTH", F401)</f>
        <v>25.068999999999999</v>
      </c>
      <c r="K401">
        <f>_xll.ciqfunctions.udf.CIQ(A401, "IQ_LASTSALEPRICE", WORKDAY(F401,-1))</f>
        <v>72.25</v>
      </c>
      <c r="L401">
        <f>_xll.ciqfunctions.udf.CIQ(A401, "IQ_LASTSALEPRICE", F401)</f>
        <v>72.989999999999995</v>
      </c>
      <c r="M401">
        <f>_xll.ciqfunctions.udf.CIQ(A401, "IQ_LASTSALEPRICE", WORKDAY(F401,5))</f>
        <v>75.08</v>
      </c>
      <c r="N401">
        <f t="shared" si="12"/>
        <v>1.0190118470999418E-2</v>
      </c>
      <c r="O401">
        <f t="shared" si="13"/>
        <v>3.8421884725766423E-2</v>
      </c>
      <c r="P401">
        <f>LN(_xll.ciqfunctions.udf.CIQ("XBI", "IQ_LASTSALEPRICE", WORKDAY(F401,-1))/_xll.ciqfunctions.udf.CIQ("XBI", "IQ_LASTSALEPRICE", WORKDAY(F401,1)))</f>
        <v>6.0742033910162543E-3</v>
      </c>
      <c r="Q401">
        <f>LN(_xll.ciqfunctions.udf.CIQ("XBI", "IQ_LASTSALEPRICE", WORKDAY(F401,-1))/_xll.ciqfunctions.udf.CIQ("XBI", "IQ_LASTSALEPRICE", WORKDAY(F401,5)))</f>
        <v>4.6014312282928939E-2</v>
      </c>
      <c r="R401">
        <f>_xll.ciqfunctions.udf.CIQ(A401, "IQ_SHORT_INTEREST_PERCENT", F401)</f>
        <v>1.59581</v>
      </c>
      <c r="S401">
        <f>_xll.ciqfunctions.udf.CIQ(A401, "IQ_BETA_1YR_RSQ", F401)</f>
        <v>7.9119999999999996E-2</v>
      </c>
      <c r="T401">
        <f>_xll.ciqfunctions.udf.CIQ(A401, "IQ_VALUE_TRADED", F401)</f>
        <v>458.40859</v>
      </c>
    </row>
    <row r="402" spans="1:20" x14ac:dyDescent="0.3">
      <c r="A402" t="s">
        <v>42</v>
      </c>
      <c r="B402">
        <v>98.42</v>
      </c>
      <c r="C402" t="s">
        <v>1277</v>
      </c>
      <c r="D402" t="s">
        <v>1278</v>
      </c>
      <c r="E402" t="s">
        <v>160</v>
      </c>
      <c r="F402" s="1">
        <v>45356</v>
      </c>
      <c r="G402" t="s">
        <v>1279</v>
      </c>
      <c r="I402">
        <f>_xll.ciqfunctions.udf.CIQ(A402, "IQ_MARKETCAP", F402)</f>
        <v>1303.17914</v>
      </c>
      <c r="J402">
        <f>_xll.ciqfunctions.udf.CIQ(A402, "IQ_PRICE_VOL_HIST_6MTH", F402)</f>
        <v>53.878900000000002</v>
      </c>
      <c r="K402">
        <f>_xll.ciqfunctions.udf.CIQ(A402, "IQ_LASTSALEPRICE", WORKDAY(F402,-1))</f>
        <v>4.2</v>
      </c>
      <c r="L402">
        <f>_xll.ciqfunctions.udf.CIQ(A402, "IQ_LASTSALEPRICE", F402)</f>
        <v>4.2</v>
      </c>
      <c r="M402">
        <f>_xll.ciqfunctions.udf.CIQ(A402, "IQ_LASTSALEPRICE", WORKDAY(F402,5))</f>
        <v>4.03</v>
      </c>
      <c r="N402">
        <f t="shared" si="12"/>
        <v>0</v>
      </c>
      <c r="O402">
        <f t="shared" si="13"/>
        <v>-4.1318149330730976E-2</v>
      </c>
      <c r="P402">
        <f>LN(_xll.ciqfunctions.udf.CIQ("XBI", "IQ_LASTSALEPRICE", WORKDAY(F402,-1))/_xll.ciqfunctions.udf.CIQ("XBI", "IQ_LASTSALEPRICE", WORKDAY(F402,1)))</f>
        <v>6.0742033910162543E-3</v>
      </c>
      <c r="Q402">
        <f>LN(_xll.ciqfunctions.udf.CIQ("XBI", "IQ_LASTSALEPRICE", WORKDAY(F402,-1))/_xll.ciqfunctions.udf.CIQ("XBI", "IQ_LASTSALEPRICE", WORKDAY(F402,5)))</f>
        <v>4.6014312282928939E-2</v>
      </c>
      <c r="R402">
        <f>_xll.ciqfunctions.udf.CIQ(A402, "IQ_SHORT_INTEREST_PERCENT", F402)</f>
        <v>0</v>
      </c>
      <c r="S402">
        <f>_xll.ciqfunctions.udf.CIQ(A402, "IQ_BETA_1YR_RSQ", F402)</f>
        <v>1.81E-3</v>
      </c>
      <c r="T402">
        <f>_xll.ciqfunctions.udf.CIQ(A402, "IQ_VALUE_TRADED", F402)</f>
        <v>9.9500000000000005E-3</v>
      </c>
    </row>
    <row r="403" spans="1:20" x14ac:dyDescent="0.3">
      <c r="A403" t="s">
        <v>789</v>
      </c>
      <c r="B403">
        <v>2.96</v>
      </c>
      <c r="C403" t="s">
        <v>1280</v>
      </c>
      <c r="D403" t="s">
        <v>1281</v>
      </c>
      <c r="E403" t="s">
        <v>36</v>
      </c>
      <c r="F403" s="1">
        <v>45357</v>
      </c>
      <c r="G403" t="s">
        <v>1282</v>
      </c>
      <c r="H403">
        <v>14</v>
      </c>
      <c r="I403">
        <f>_xll.ciqfunctions.udf.CIQ(A403, "IQ_MARKETCAP", F403)</f>
        <v>89.930440000000004</v>
      </c>
      <c r="J403">
        <f>_xll.ciqfunctions.udf.CIQ(A403, "IQ_PRICE_VOL_HIST_6MTH", F403)</f>
        <v>140.0889</v>
      </c>
      <c r="K403">
        <f>_xll.ciqfunctions.udf.CIQ(A403, "IQ_LASTSALEPRICE", WORKDAY(F403,-1))</f>
        <v>48.32</v>
      </c>
      <c r="L403">
        <f>_xll.ciqfunctions.udf.CIQ(A403, "IQ_LASTSALEPRICE", F403)</f>
        <v>47.36</v>
      </c>
      <c r="M403">
        <f>_xll.ciqfunctions.udf.CIQ(A403, "IQ_LASTSALEPRICE", WORKDAY(F403,5))</f>
        <v>45.92</v>
      </c>
      <c r="N403">
        <f t="shared" si="12"/>
        <v>-2.0067563050809256E-2</v>
      </c>
      <c r="O403">
        <f t="shared" si="13"/>
        <v>-5.0944801615248447E-2</v>
      </c>
      <c r="P403">
        <f>LN(_xll.ciqfunctions.udf.CIQ("XBI", "IQ_LASTSALEPRICE", WORKDAY(F403,-1))/_xll.ciqfunctions.udf.CIQ("XBI", "IQ_LASTSALEPRICE", WORKDAY(F403,1)))</f>
        <v>6.7591682302096702E-3</v>
      </c>
      <c r="Q403">
        <f>LN(_xll.ciqfunctions.udf.CIQ("XBI", "IQ_LASTSALEPRICE", WORKDAY(F403,-1))/_xll.ciqfunctions.udf.CIQ("XBI", "IQ_LASTSALEPRICE", WORKDAY(F403,5)))</f>
        <v>2.4014177989313216E-2</v>
      </c>
      <c r="R403">
        <f>_xll.ciqfunctions.udf.CIQ(A403, "IQ_SHORT_INTEREST_PERCENT", F403)</f>
        <v>24.55265</v>
      </c>
      <c r="S403">
        <f>_xll.ciqfunctions.udf.CIQ(A403, "IQ_BETA_1YR_RSQ", F403)</f>
        <v>2.2759999999999999E-2</v>
      </c>
      <c r="T403">
        <f>_xll.ciqfunctions.udf.CIQ(A403, "IQ_VALUE_TRADED", F403)</f>
        <v>1.40351</v>
      </c>
    </row>
    <row r="404" spans="1:20" x14ac:dyDescent="0.3">
      <c r="A404" t="s">
        <v>492</v>
      </c>
      <c r="B404">
        <v>3.91</v>
      </c>
      <c r="C404" t="s">
        <v>1283</v>
      </c>
      <c r="D404" t="s">
        <v>1284</v>
      </c>
      <c r="E404" t="s">
        <v>281</v>
      </c>
      <c r="F404" s="1">
        <v>45357</v>
      </c>
      <c r="G404" t="s">
        <v>1285</v>
      </c>
      <c r="H404">
        <v>59</v>
      </c>
      <c r="I404">
        <f>_xll.ciqfunctions.udf.CIQ(A404, "IQ_MARKETCAP", F404)</f>
        <v>224.97162</v>
      </c>
      <c r="J404">
        <f>_xll.ciqfunctions.udf.CIQ(A404, "IQ_PRICE_VOL_HIST_6MTH", F404)</f>
        <v>60.884900000000002</v>
      </c>
      <c r="K404">
        <f>_xll.ciqfunctions.udf.CIQ(A404, "IQ_LASTSALEPRICE", WORKDAY(F404,-1))</f>
        <v>4.1399999999999997</v>
      </c>
      <c r="L404">
        <f>_xll.ciqfunctions.udf.CIQ(A404, "IQ_LASTSALEPRICE", F404)</f>
        <v>3.91</v>
      </c>
      <c r="M404">
        <f>_xll.ciqfunctions.udf.CIQ(A404, "IQ_LASTSALEPRICE", WORKDAY(F404,5))</f>
        <v>3.84</v>
      </c>
      <c r="N404">
        <f t="shared" si="12"/>
        <v>-5.7158413839948519E-2</v>
      </c>
      <c r="O404">
        <f t="shared" si="13"/>
        <v>-7.5223421237587518E-2</v>
      </c>
      <c r="P404">
        <f>LN(_xll.ciqfunctions.udf.CIQ("XBI", "IQ_LASTSALEPRICE", WORKDAY(F404,-1))/_xll.ciqfunctions.udf.CIQ("XBI", "IQ_LASTSALEPRICE", WORKDAY(F404,1)))</f>
        <v>6.7591682302096702E-3</v>
      </c>
      <c r="Q404">
        <f>LN(_xll.ciqfunctions.udf.CIQ("XBI", "IQ_LASTSALEPRICE", WORKDAY(F404,-1))/_xll.ciqfunctions.udf.CIQ("XBI", "IQ_LASTSALEPRICE", WORKDAY(F404,5)))</f>
        <v>2.4014177989313216E-2</v>
      </c>
      <c r="R404">
        <f>_xll.ciqfunctions.udf.CIQ(A404, "IQ_SHORT_INTEREST_PERCENT", F404)</f>
        <v>5.1440700000000001</v>
      </c>
      <c r="S404">
        <f>_xll.ciqfunctions.udf.CIQ(A404, "IQ_BETA_1YR_RSQ", F404)</f>
        <v>9.41E-3</v>
      </c>
      <c r="T404">
        <f>_xll.ciqfunctions.udf.CIQ(A404, "IQ_VALUE_TRADED", F404)</f>
        <v>6.0389299999999997</v>
      </c>
    </row>
    <row r="405" spans="1:20" x14ac:dyDescent="0.3">
      <c r="A405" t="s">
        <v>259</v>
      </c>
      <c r="B405">
        <v>15.8</v>
      </c>
      <c r="C405" t="s">
        <v>1286</v>
      </c>
      <c r="D405" t="s">
        <v>1287</v>
      </c>
      <c r="E405" t="s">
        <v>17</v>
      </c>
      <c r="F405" s="1">
        <v>45357</v>
      </c>
      <c r="G405" t="s">
        <v>1288</v>
      </c>
      <c r="H405">
        <v>59</v>
      </c>
      <c r="I405">
        <f>_xll.ciqfunctions.udf.CIQ(A405, "IQ_MARKETCAP", F405)</f>
        <v>564.15142000000003</v>
      </c>
      <c r="J405">
        <f>_xll.ciqfunctions.udf.CIQ(A405, "IQ_PRICE_VOL_HIST_6MTH", F405)</f>
        <v>108.0851</v>
      </c>
      <c r="K405">
        <f>_xll.ciqfunctions.udf.CIQ(A405, "IQ_LASTSALEPRICE", WORKDAY(F405,-1))</f>
        <v>17.52</v>
      </c>
      <c r="L405">
        <f>_xll.ciqfunctions.udf.CIQ(A405, "IQ_LASTSALEPRICE", F405)</f>
        <v>15.8</v>
      </c>
      <c r="M405">
        <f>_xll.ciqfunctions.udf.CIQ(A405, "IQ_LASTSALEPRICE", WORKDAY(F405,5))</f>
        <v>17.399999999999999</v>
      </c>
      <c r="N405">
        <f t="shared" si="12"/>
        <v>-0.10333314547532416</v>
      </c>
      <c r="O405">
        <f t="shared" si="13"/>
        <v>-6.8728792877620643E-3</v>
      </c>
      <c r="P405">
        <f>LN(_xll.ciqfunctions.udf.CIQ("XBI", "IQ_LASTSALEPRICE", WORKDAY(F405,-1))/_xll.ciqfunctions.udf.CIQ("XBI", "IQ_LASTSALEPRICE", WORKDAY(F405,1)))</f>
        <v>6.7591682302096702E-3</v>
      </c>
      <c r="Q405">
        <f>LN(_xll.ciqfunctions.udf.CIQ("XBI", "IQ_LASTSALEPRICE", WORKDAY(F405,-1))/_xll.ciqfunctions.udf.CIQ("XBI", "IQ_LASTSALEPRICE", WORKDAY(F405,5)))</f>
        <v>2.4014177989313216E-2</v>
      </c>
      <c r="R405">
        <f>_xll.ciqfunctions.udf.CIQ(A405, "IQ_SHORT_INTEREST_PERCENT", F405)</f>
        <v>32.999000000000002</v>
      </c>
      <c r="S405">
        <f>_xll.ciqfunctions.udf.CIQ(A405, "IQ_BETA_1YR_RSQ", F405)</f>
        <v>3.9539999999999999E-2</v>
      </c>
      <c r="T405">
        <f>_xll.ciqfunctions.udf.CIQ(A405, "IQ_VALUE_TRADED", F405)</f>
        <v>49.820169999999997</v>
      </c>
    </row>
    <row r="406" spans="1:20" x14ac:dyDescent="0.3">
      <c r="A406" t="s">
        <v>1289</v>
      </c>
      <c r="B406">
        <v>25</v>
      </c>
      <c r="C406" t="s">
        <v>1290</v>
      </c>
      <c r="D406" t="s">
        <v>1291</v>
      </c>
      <c r="E406" t="s">
        <v>89</v>
      </c>
      <c r="F406" s="1">
        <v>45357</v>
      </c>
      <c r="G406" t="s">
        <v>1292</v>
      </c>
      <c r="H406">
        <v>12</v>
      </c>
      <c r="I406">
        <f>_xll.ciqfunctions.udf.CIQ(A406, "IQ_MARKETCAP", F406)</f>
        <v>287.1952</v>
      </c>
      <c r="J406">
        <f>_xll.ciqfunctions.udf.CIQ(A406, "IQ_PRICE_VOL_HIST_6MTH", F406)</f>
        <v>61.401899999999998</v>
      </c>
      <c r="K406">
        <f>_xll.ciqfunctions.udf.CIQ(A406, "IQ_LASTSALEPRICE", WORKDAY(F406,-1))</f>
        <v>24.59</v>
      </c>
      <c r="L406">
        <f>_xll.ciqfunctions.udf.CIQ(A406, "IQ_LASTSALEPRICE", F406)</f>
        <v>25</v>
      </c>
      <c r="M406">
        <f>_xll.ciqfunctions.udf.CIQ(A406, "IQ_LASTSALEPRICE", WORKDAY(F406,5))</f>
        <v>25.61</v>
      </c>
      <c r="N406">
        <f t="shared" si="12"/>
        <v>1.6535968640099551E-2</v>
      </c>
      <c r="O406">
        <f t="shared" si="13"/>
        <v>4.0643043983332718E-2</v>
      </c>
      <c r="P406">
        <f>LN(_xll.ciqfunctions.udf.CIQ("XBI", "IQ_LASTSALEPRICE", WORKDAY(F406,-1))/_xll.ciqfunctions.udf.CIQ("XBI", "IQ_LASTSALEPRICE", WORKDAY(F406,1)))</f>
        <v>6.7591682302096702E-3</v>
      </c>
      <c r="Q406">
        <f>LN(_xll.ciqfunctions.udf.CIQ("XBI", "IQ_LASTSALEPRICE", WORKDAY(F406,-1))/_xll.ciqfunctions.udf.CIQ("XBI", "IQ_LASTSALEPRICE", WORKDAY(F406,5)))</f>
        <v>2.4014177989313216E-2</v>
      </c>
      <c r="R406">
        <f>_xll.ciqfunctions.udf.CIQ(A406, "IQ_SHORT_INTEREST_PERCENT", F406)</f>
        <v>2.5502400000000001</v>
      </c>
      <c r="S406">
        <f>_xll.ciqfunctions.udf.CIQ(A406, "IQ_BETA_1YR_RSQ", F406)</f>
        <v>5.8E-4</v>
      </c>
      <c r="T406">
        <f>_xll.ciqfunctions.udf.CIQ(A406, "IQ_VALUE_TRADED", F406)</f>
        <v>0.40653</v>
      </c>
    </row>
    <row r="407" spans="1:20" x14ac:dyDescent="0.3">
      <c r="A407" t="s">
        <v>1293</v>
      </c>
      <c r="B407">
        <v>1.8</v>
      </c>
      <c r="C407" t="s">
        <v>1290</v>
      </c>
      <c r="D407" t="s">
        <v>1291</v>
      </c>
      <c r="E407" t="s">
        <v>89</v>
      </c>
      <c r="F407" s="1">
        <v>45357</v>
      </c>
      <c r="G407" t="s">
        <v>1292</v>
      </c>
      <c r="H407">
        <v>90</v>
      </c>
      <c r="I407">
        <f>_xll.ciqfunctions.udf.CIQ(A407, "IQ_MARKETCAP", F407)</f>
        <v>71.127359999999996</v>
      </c>
      <c r="J407">
        <f>_xll.ciqfunctions.udf.CIQ(A407, "IQ_PRICE_VOL_HIST_6MTH", F407)</f>
        <v>89.037099999999995</v>
      </c>
      <c r="K407">
        <f>_xll.ciqfunctions.udf.CIQ(A407, "IQ_LASTSALEPRICE", WORKDAY(F407,-1))</f>
        <v>1.78</v>
      </c>
      <c r="L407">
        <f>_xll.ciqfunctions.udf.CIQ(A407, "IQ_LASTSALEPRICE", F407)</f>
        <v>1.7949999999999999</v>
      </c>
      <c r="M407">
        <f>_xll.ciqfunctions.udf.CIQ(A407, "IQ_LASTSALEPRICE", WORKDAY(F407,5))</f>
        <v>1.92</v>
      </c>
      <c r="N407">
        <f t="shared" si="12"/>
        <v>8.3916576362483807E-3</v>
      </c>
      <c r="O407">
        <f t="shared" si="13"/>
        <v>7.5711821735696377E-2</v>
      </c>
      <c r="P407">
        <f>LN(_xll.ciqfunctions.udf.CIQ("XBI", "IQ_LASTSALEPRICE", WORKDAY(F407,-1))/_xll.ciqfunctions.udf.CIQ("XBI", "IQ_LASTSALEPRICE", WORKDAY(F407,1)))</f>
        <v>6.7591682302096702E-3</v>
      </c>
      <c r="Q407">
        <f>LN(_xll.ciqfunctions.udf.CIQ("XBI", "IQ_LASTSALEPRICE", WORKDAY(F407,-1))/_xll.ciqfunctions.udf.CIQ("XBI", "IQ_LASTSALEPRICE", WORKDAY(F407,5)))</f>
        <v>2.4014177989313216E-2</v>
      </c>
      <c r="R407">
        <f>_xll.ciqfunctions.udf.CIQ(A407, "IQ_SHORT_INTEREST_PERCENT", F407)</f>
        <v>2.5521099999999999</v>
      </c>
      <c r="S407">
        <f>_xll.ciqfunctions.udf.CIQ(A407, "IQ_BETA_1YR_RSQ", F407)</f>
        <v>3.6700000000000001E-3</v>
      </c>
      <c r="T407">
        <f>_xll.ciqfunctions.udf.CIQ(A407, "IQ_VALUE_TRADED", F407)</f>
        <v>0.21990000000000001</v>
      </c>
    </row>
    <row r="408" spans="1:20" x14ac:dyDescent="0.3">
      <c r="A408" t="s">
        <v>592</v>
      </c>
      <c r="B408">
        <v>22.7</v>
      </c>
      <c r="C408" t="s">
        <v>1294</v>
      </c>
      <c r="D408" t="s">
        <v>1295</v>
      </c>
      <c r="E408" t="s">
        <v>22</v>
      </c>
      <c r="F408" s="1">
        <v>45357</v>
      </c>
      <c r="G408" t="s">
        <v>1296</v>
      </c>
      <c r="H408">
        <v>86</v>
      </c>
      <c r="I408">
        <f>_xll.ciqfunctions.udf.CIQ(A408, "IQ_MARKETCAP", F408)</f>
        <v>1728.30906</v>
      </c>
      <c r="J408">
        <f>_xll.ciqfunctions.udf.CIQ(A408, "IQ_PRICE_VOL_HIST_6MTH", F408)</f>
        <v>77.520099999999999</v>
      </c>
      <c r="K408">
        <f>_xll.ciqfunctions.udf.CIQ(A408, "IQ_LASTSALEPRICE", WORKDAY(F408,-1))</f>
        <v>21.04</v>
      </c>
      <c r="L408">
        <f>_xll.ciqfunctions.udf.CIQ(A408, "IQ_LASTSALEPRICE", F408)</f>
        <v>22.7</v>
      </c>
      <c r="M408">
        <f>_xll.ciqfunctions.udf.CIQ(A408, "IQ_LASTSALEPRICE", WORKDAY(F408,5))</f>
        <v>22.83</v>
      </c>
      <c r="N408">
        <f t="shared" si="12"/>
        <v>7.5939536617847858E-2</v>
      </c>
      <c r="O408">
        <f t="shared" si="13"/>
        <v>8.1650072672195095E-2</v>
      </c>
      <c r="P408">
        <f>LN(_xll.ciqfunctions.udf.CIQ("XBI", "IQ_LASTSALEPRICE", WORKDAY(F408,-1))/_xll.ciqfunctions.udf.CIQ("XBI", "IQ_LASTSALEPRICE", WORKDAY(F408,1)))</f>
        <v>6.7591682302096702E-3</v>
      </c>
      <c r="Q408">
        <f>LN(_xll.ciqfunctions.udf.CIQ("XBI", "IQ_LASTSALEPRICE", WORKDAY(F408,-1))/_xll.ciqfunctions.udf.CIQ("XBI", "IQ_LASTSALEPRICE", WORKDAY(F408,5)))</f>
        <v>2.4014177989313216E-2</v>
      </c>
      <c r="R408">
        <f>_xll.ciqfunctions.udf.CIQ(A408, "IQ_SHORT_INTEREST_PERCENT", F408)</f>
        <v>13.80528</v>
      </c>
      <c r="S408">
        <f>_xll.ciqfunctions.udf.CIQ(A408, "IQ_BETA_1YR_RSQ", F408)</f>
        <v>7.0220000000000005E-2</v>
      </c>
      <c r="T408">
        <f>_xll.ciqfunctions.udf.CIQ(A408, "IQ_VALUE_TRADED", F408)</f>
        <v>35.818190000000001</v>
      </c>
    </row>
    <row r="409" spans="1:20" x14ac:dyDescent="0.3">
      <c r="A409" t="s">
        <v>203</v>
      </c>
      <c r="B409">
        <v>51.98</v>
      </c>
      <c r="C409" t="s">
        <v>1294</v>
      </c>
      <c r="D409" t="s">
        <v>1295</v>
      </c>
      <c r="E409" t="s">
        <v>22</v>
      </c>
      <c r="F409" s="1">
        <v>45357</v>
      </c>
      <c r="G409" t="s">
        <v>1296</v>
      </c>
      <c r="I409">
        <f>_xll.ciqfunctions.udf.CIQ(A409, "IQ_MARKETCAP", F409)</f>
        <v>107944.68428</v>
      </c>
      <c r="J409">
        <f>_xll.ciqfunctions.udf.CIQ(A409, "IQ_PRICE_VOL_HIST_6MTH", F409)</f>
        <v>21.514600000000002</v>
      </c>
      <c r="K409">
        <f>_xll.ciqfunctions.udf.CIQ(A409, "IQ_LASTSALEPRICE", WORKDAY(F409,-1))</f>
        <v>51.82</v>
      </c>
      <c r="L409">
        <f>_xll.ciqfunctions.udf.CIQ(A409, "IQ_LASTSALEPRICE", F409)</f>
        <v>53.38</v>
      </c>
      <c r="M409">
        <f>_xll.ciqfunctions.udf.CIQ(A409, "IQ_LASTSALEPRICE", WORKDAY(F409,5))</f>
        <v>52.65</v>
      </c>
      <c r="N409">
        <f t="shared" si="12"/>
        <v>2.9659968842414203E-2</v>
      </c>
      <c r="O409">
        <f t="shared" si="13"/>
        <v>1.5890063446020543E-2</v>
      </c>
      <c r="P409">
        <f>LN(_xll.ciqfunctions.udf.CIQ("XBI", "IQ_LASTSALEPRICE", WORKDAY(F409,-1))/_xll.ciqfunctions.udf.CIQ("XBI", "IQ_LASTSALEPRICE", WORKDAY(F409,1)))</f>
        <v>6.7591682302096702E-3</v>
      </c>
      <c r="Q409">
        <f>LN(_xll.ciqfunctions.udf.CIQ("XBI", "IQ_LASTSALEPRICE", WORKDAY(F409,-1))/_xll.ciqfunctions.udf.CIQ("XBI", "IQ_LASTSALEPRICE", WORKDAY(F409,5)))</f>
        <v>2.4014177989313216E-2</v>
      </c>
      <c r="R409">
        <f>_xll.ciqfunctions.udf.CIQ(A409, "IQ_SHORT_INTEREST_PERCENT", F409)</f>
        <v>1.5574300000000001</v>
      </c>
      <c r="S409">
        <f>_xll.ciqfunctions.udf.CIQ(A409, "IQ_BETA_1YR_RSQ", F409)</f>
        <v>0.12182999999999999</v>
      </c>
      <c r="T409">
        <f>_xll.ciqfunctions.udf.CIQ(A409, "IQ_VALUE_TRADED", F409)</f>
        <v>1157.9362599999999</v>
      </c>
    </row>
    <row r="410" spans="1:20" x14ac:dyDescent="0.3">
      <c r="A410" t="s">
        <v>1297</v>
      </c>
      <c r="B410">
        <v>5.35</v>
      </c>
      <c r="C410" t="s">
        <v>1298</v>
      </c>
      <c r="D410" t="s">
        <v>1299</v>
      </c>
      <c r="E410" t="s">
        <v>89</v>
      </c>
      <c r="F410" s="1">
        <v>45357</v>
      </c>
      <c r="G410" t="s">
        <v>1300</v>
      </c>
      <c r="H410">
        <v>2</v>
      </c>
      <c r="I410" t="str">
        <f>_xll.ciqfunctions.udf.CIQ(A410, "IQ_MARKETCAP", F410)</f>
        <v>(Invalid Identifier)</v>
      </c>
      <c r="J410" t="str">
        <f>_xll.ciqfunctions.udf.CIQ(A410, "IQ_PRICE_VOL_HIST_6MTH", F410)</f>
        <v>(Invalid Identifier)</v>
      </c>
      <c r="K410" t="str">
        <f>_xll.ciqfunctions.udf.CIQ(A410, "IQ_LASTSALEPRICE", WORKDAY(F410,-1))</f>
        <v>(Invalid Identifier)</v>
      </c>
      <c r="L410" t="str">
        <f>_xll.ciqfunctions.udf.CIQ(A410, "IQ_LASTSALEPRICE", F410)</f>
        <v>(Invalid Identifier)</v>
      </c>
      <c r="M410" t="str">
        <f>_xll.ciqfunctions.udf.CIQ(A410, "IQ_LASTSALEPRICE", WORKDAY(F410,5))</f>
        <v>(Invalid Identifier)</v>
      </c>
      <c r="N410" t="e">
        <f t="shared" si="12"/>
        <v>#VALUE!</v>
      </c>
      <c r="O410" t="e">
        <f t="shared" si="13"/>
        <v>#VALUE!</v>
      </c>
      <c r="P410">
        <f>LN(_xll.ciqfunctions.udf.CIQ("XBI", "IQ_LASTSALEPRICE", WORKDAY(F410,-1))/_xll.ciqfunctions.udf.CIQ("XBI", "IQ_LASTSALEPRICE", WORKDAY(F410,1)))</f>
        <v>6.7591682302096702E-3</v>
      </c>
      <c r="Q410">
        <f>LN(_xll.ciqfunctions.udf.CIQ("XBI", "IQ_LASTSALEPRICE", WORKDAY(F410,-1))/_xll.ciqfunctions.udf.CIQ("XBI", "IQ_LASTSALEPRICE", WORKDAY(F410,5)))</f>
        <v>2.4014177989313216E-2</v>
      </c>
      <c r="R410" t="str">
        <f>_xll.ciqfunctions.udf.CIQ(A410, "IQ_SHORT_INTEREST_PERCENT", F410)</f>
        <v>(Invalid Identifier)</v>
      </c>
      <c r="S410" t="str">
        <f>_xll.ciqfunctions.udf.CIQ(A410, "IQ_BETA_1YR_RSQ", F410)</f>
        <v>(Invalid Identifier)</v>
      </c>
      <c r="T410" t="str">
        <f>_xll.ciqfunctions.udf.CIQ(A410, "IQ_VALUE_TRADED", F410)</f>
        <v>(Invalid Identifier)</v>
      </c>
    </row>
    <row r="411" spans="1:20" x14ac:dyDescent="0.3">
      <c r="A411" t="s">
        <v>1301</v>
      </c>
      <c r="B411">
        <v>9.67</v>
      </c>
      <c r="C411" t="s">
        <v>1302</v>
      </c>
      <c r="D411" t="s">
        <v>1303</v>
      </c>
      <c r="E411" t="s">
        <v>89</v>
      </c>
      <c r="F411" s="1">
        <v>45357</v>
      </c>
      <c r="G411" t="s">
        <v>1304</v>
      </c>
      <c r="H411">
        <v>16</v>
      </c>
      <c r="I411">
        <f>_xll.ciqfunctions.udf.CIQ(A411, "IQ_MARKETCAP", F411)</f>
        <v>139.29948999999999</v>
      </c>
      <c r="J411">
        <f>_xll.ciqfunctions.udf.CIQ(A411, "IQ_PRICE_VOL_HIST_6MTH", F411)</f>
        <v>81.607299999999995</v>
      </c>
      <c r="K411">
        <f>_xll.ciqfunctions.udf.CIQ(A411, "IQ_LASTSALEPRICE", WORKDAY(F411,-1))</f>
        <v>9.5399999999999991</v>
      </c>
      <c r="L411">
        <f>_xll.ciqfunctions.udf.CIQ(A411, "IQ_LASTSALEPRICE", F411)</f>
        <v>9.67</v>
      </c>
      <c r="M411">
        <f>_xll.ciqfunctions.udf.CIQ(A411, "IQ_LASTSALEPRICE", WORKDAY(F411,5))</f>
        <v>9.7899999999999991</v>
      </c>
      <c r="N411">
        <f t="shared" si="12"/>
        <v>1.3534824005007979E-2</v>
      </c>
      <c r="O411">
        <f t="shared" si="13"/>
        <v>2.5867971082223815E-2</v>
      </c>
      <c r="P411">
        <f>LN(_xll.ciqfunctions.udf.CIQ("XBI", "IQ_LASTSALEPRICE", WORKDAY(F411,-1))/_xll.ciqfunctions.udf.CIQ("XBI", "IQ_LASTSALEPRICE", WORKDAY(F411,1)))</f>
        <v>6.7591682302096702E-3</v>
      </c>
      <c r="Q411">
        <f>LN(_xll.ciqfunctions.udf.CIQ("XBI", "IQ_LASTSALEPRICE", WORKDAY(F411,-1))/_xll.ciqfunctions.udf.CIQ("XBI", "IQ_LASTSALEPRICE", WORKDAY(F411,5)))</f>
        <v>2.4014177989313216E-2</v>
      </c>
      <c r="R411">
        <f>_xll.ciqfunctions.udf.CIQ(A411, "IQ_SHORT_INTEREST_PERCENT", F411)</f>
        <v>0.15459999999999999</v>
      </c>
      <c r="S411">
        <f>_xll.ciqfunctions.udf.CIQ(A411, "IQ_BETA_1YR_RSQ", F411)</f>
        <v>2.3600000000000001E-3</v>
      </c>
      <c r="T411">
        <f>_xll.ciqfunctions.udf.CIQ(A411, "IQ_VALUE_TRADED", F411)</f>
        <v>0.78756999999999999</v>
      </c>
    </row>
    <row r="412" spans="1:20" x14ac:dyDescent="0.3">
      <c r="A412" t="s">
        <v>1305</v>
      </c>
      <c r="B412">
        <v>9.23</v>
      </c>
      <c r="C412" t="s">
        <v>1306</v>
      </c>
      <c r="D412" t="s">
        <v>1307</v>
      </c>
      <c r="E412" t="s">
        <v>76</v>
      </c>
      <c r="F412" s="1">
        <v>45357</v>
      </c>
      <c r="G412" t="s">
        <v>1308</v>
      </c>
      <c r="H412">
        <v>369</v>
      </c>
      <c r="I412">
        <f>_xll.ciqfunctions.udf.CIQ(A412, "IQ_MARKETCAP", F412)</f>
        <v>3372.7523299999998</v>
      </c>
      <c r="J412">
        <f>_xll.ciqfunctions.udf.CIQ(A412, "IQ_PRICE_VOL_HIST_6MTH", F412)</f>
        <v>42.382399999999997</v>
      </c>
      <c r="K412">
        <f>_xll.ciqfunctions.udf.CIQ(A412, "IQ_LASTSALEPRICE", WORKDAY(F412,-1))</f>
        <v>9.56</v>
      </c>
      <c r="L412">
        <f>_xll.ciqfunctions.udf.CIQ(A412, "IQ_LASTSALEPRICE", F412)</f>
        <v>9.23</v>
      </c>
      <c r="M412">
        <f>_xll.ciqfunctions.udf.CIQ(A412, "IQ_LASTSALEPRICE", WORKDAY(F412,5))</f>
        <v>9.2799999999999994</v>
      </c>
      <c r="N412">
        <f t="shared" si="12"/>
        <v>-3.5128678548549092E-2</v>
      </c>
      <c r="O412">
        <f t="shared" si="13"/>
        <v>-2.9726180265200849E-2</v>
      </c>
      <c r="P412">
        <f>LN(_xll.ciqfunctions.udf.CIQ("XBI", "IQ_LASTSALEPRICE", WORKDAY(F412,-1))/_xll.ciqfunctions.udf.CIQ("XBI", "IQ_LASTSALEPRICE", WORKDAY(F412,1)))</f>
        <v>6.7591682302096702E-3</v>
      </c>
      <c r="Q412">
        <f>LN(_xll.ciqfunctions.udf.CIQ("XBI", "IQ_LASTSALEPRICE", WORKDAY(F412,-1))/_xll.ciqfunctions.udf.CIQ("XBI", "IQ_LASTSALEPRICE", WORKDAY(F412,5)))</f>
        <v>2.4014177989313216E-2</v>
      </c>
      <c r="R412">
        <f>_xll.ciqfunctions.udf.CIQ(A412, "IQ_SHORT_INTEREST_PERCENT", F412)</f>
        <v>5.8908100000000001</v>
      </c>
      <c r="S412">
        <f>_xll.ciqfunctions.udf.CIQ(A412, "IQ_BETA_1YR_RSQ", F412)</f>
        <v>0.16950999999999999</v>
      </c>
      <c r="T412">
        <f>_xll.ciqfunctions.udf.CIQ(A412, "IQ_VALUE_TRADED", F412)</f>
        <v>24.560739999999999</v>
      </c>
    </row>
    <row r="413" spans="1:20" x14ac:dyDescent="0.3">
      <c r="A413" t="s">
        <v>385</v>
      </c>
      <c r="B413">
        <v>972.1</v>
      </c>
      <c r="C413" t="s">
        <v>386</v>
      </c>
      <c r="D413" t="s">
        <v>253</v>
      </c>
      <c r="E413" t="s">
        <v>76</v>
      </c>
      <c r="F413" s="1">
        <v>45357</v>
      </c>
      <c r="G413" t="s">
        <v>1309</v>
      </c>
      <c r="H413">
        <v>105</v>
      </c>
      <c r="I413">
        <f>_xll.ciqfunctions.udf.CIQ(A413, "IQ_MARKETCAP", F413)</f>
        <v>104463.70909999999</v>
      </c>
      <c r="J413">
        <f>_xll.ciqfunctions.udf.CIQ(A413, "IQ_PRICE_VOL_HIST_6MTH", F413)</f>
        <v>17.2866</v>
      </c>
      <c r="K413">
        <f>_xll.ciqfunctions.udf.CIQ(A413, "IQ_LASTSALEPRICE", WORKDAY(F413,-1))</f>
        <v>965.21</v>
      </c>
      <c r="L413">
        <f>_xll.ciqfunctions.udf.CIQ(A413, "IQ_LASTSALEPRICE", F413)</f>
        <v>972.1</v>
      </c>
      <c r="M413">
        <f>_xll.ciqfunctions.udf.CIQ(A413, "IQ_LASTSALEPRICE", WORKDAY(F413,5))</f>
        <v>965.47</v>
      </c>
      <c r="N413">
        <f t="shared" si="12"/>
        <v>7.1129855827797937E-3</v>
      </c>
      <c r="O413">
        <f t="shared" si="13"/>
        <v>2.6933515815332322E-4</v>
      </c>
      <c r="P413">
        <f>LN(_xll.ciqfunctions.udf.CIQ("XBI", "IQ_LASTSALEPRICE", WORKDAY(F413,-1))/_xll.ciqfunctions.udf.CIQ("XBI", "IQ_LASTSALEPRICE", WORKDAY(F413,1)))</f>
        <v>6.7591682302096702E-3</v>
      </c>
      <c r="Q413">
        <f>LN(_xll.ciqfunctions.udf.CIQ("XBI", "IQ_LASTSALEPRICE", WORKDAY(F413,-1))/_xll.ciqfunctions.udf.CIQ("XBI", "IQ_LASTSALEPRICE", WORKDAY(F413,5)))</f>
        <v>2.4014177989313216E-2</v>
      </c>
      <c r="R413">
        <f>_xll.ciqfunctions.udf.CIQ(A413, "IQ_SHORT_INTEREST_PERCENT", F413)</f>
        <v>1.2752699999999999</v>
      </c>
      <c r="S413">
        <f>_xll.ciqfunctions.udf.CIQ(A413, "IQ_BETA_1YR_RSQ", F413)</f>
        <v>0.13250999999999999</v>
      </c>
      <c r="T413">
        <f>_xll.ciqfunctions.udf.CIQ(A413, "IQ_VALUE_TRADED", F413)</f>
        <v>356.59933000000001</v>
      </c>
    </row>
    <row r="414" spans="1:20" x14ac:dyDescent="0.3">
      <c r="A414" t="s">
        <v>388</v>
      </c>
      <c r="B414">
        <v>1.47</v>
      </c>
      <c r="C414" t="s">
        <v>386</v>
      </c>
      <c r="D414" t="s">
        <v>253</v>
      </c>
      <c r="E414" t="s">
        <v>76</v>
      </c>
      <c r="F414" s="1">
        <v>45357</v>
      </c>
      <c r="G414" t="s">
        <v>1309</v>
      </c>
      <c r="H414">
        <v>32</v>
      </c>
      <c r="I414">
        <f>_xll.ciqfunctions.udf.CIQ(A414, "IQ_MARKETCAP", F414)</f>
        <v>24.96979</v>
      </c>
      <c r="J414">
        <f>_xll.ciqfunctions.udf.CIQ(A414, "IQ_PRICE_VOL_HIST_6MTH", F414)</f>
        <v>123.0616</v>
      </c>
      <c r="K414">
        <f>_xll.ciqfunctions.udf.CIQ(A414, "IQ_LASTSALEPRICE", WORKDAY(F414,-1))</f>
        <v>1.48</v>
      </c>
      <c r="L414">
        <f>_xll.ciqfunctions.udf.CIQ(A414, "IQ_LASTSALEPRICE", F414)</f>
        <v>1.47</v>
      </c>
      <c r="M414">
        <f>_xll.ciqfunctions.udf.CIQ(A414, "IQ_LASTSALEPRICE", WORKDAY(F414,5))</f>
        <v>1.3401000000000001</v>
      </c>
      <c r="N414">
        <f t="shared" si="12"/>
        <v>-6.7796869853788038E-3</v>
      </c>
      <c r="O414">
        <f t="shared" si="13"/>
        <v>-9.9297849731978013E-2</v>
      </c>
      <c r="P414">
        <f>LN(_xll.ciqfunctions.udf.CIQ("XBI", "IQ_LASTSALEPRICE", WORKDAY(F414,-1))/_xll.ciqfunctions.udf.CIQ("XBI", "IQ_LASTSALEPRICE", WORKDAY(F414,1)))</f>
        <v>6.7591682302096702E-3</v>
      </c>
      <c r="Q414">
        <f>LN(_xll.ciqfunctions.udf.CIQ("XBI", "IQ_LASTSALEPRICE", WORKDAY(F414,-1))/_xll.ciqfunctions.udf.CIQ("XBI", "IQ_LASTSALEPRICE", WORKDAY(F414,5)))</f>
        <v>2.4014177989313216E-2</v>
      </c>
      <c r="R414">
        <f>_xll.ciqfunctions.udf.CIQ(A414, "IQ_SHORT_INTEREST_PERCENT", F414)</f>
        <v>2.5577999999999999</v>
      </c>
      <c r="S414">
        <f>_xll.ciqfunctions.udf.CIQ(A414, "IQ_BETA_1YR_RSQ", F414)</f>
        <v>1.8400000000000001E-3</v>
      </c>
      <c r="T414">
        <f>_xll.ciqfunctions.udf.CIQ(A414, "IQ_VALUE_TRADED", F414)</f>
        <v>3.23699</v>
      </c>
    </row>
    <row r="415" spans="1:20" x14ac:dyDescent="0.3">
      <c r="A415" t="s">
        <v>478</v>
      </c>
      <c r="B415">
        <v>71.040000000000006</v>
      </c>
      <c r="C415" t="s">
        <v>1310</v>
      </c>
      <c r="D415" t="s">
        <v>1311</v>
      </c>
      <c r="E415" t="s">
        <v>76</v>
      </c>
      <c r="F415" s="1">
        <v>45357</v>
      </c>
      <c r="G415" t="s">
        <v>1312</v>
      </c>
      <c r="I415">
        <f>_xll.ciqfunctions.udf.CIQ(A415, "IQ_MARKETCAP", F415)</f>
        <v>90480.610360000006</v>
      </c>
      <c r="J415">
        <f>_xll.ciqfunctions.udf.CIQ(A415, "IQ_PRICE_VOL_HIST_6MTH", F415)</f>
        <v>25.0199</v>
      </c>
      <c r="K415">
        <f>_xll.ciqfunctions.udf.CIQ(A415, "IQ_LASTSALEPRICE", WORKDAY(F415,-1))</f>
        <v>72.989999999999995</v>
      </c>
      <c r="L415">
        <f>_xll.ciqfunctions.udf.CIQ(A415, "IQ_LASTSALEPRICE", F415)</f>
        <v>72.63</v>
      </c>
      <c r="M415">
        <f>_xll.ciqfunctions.udf.CIQ(A415, "IQ_LASTSALEPRICE", WORKDAY(F415,5))</f>
        <v>75.94</v>
      </c>
      <c r="N415">
        <f t="shared" si="12"/>
        <v>-4.944385845464078E-3</v>
      </c>
      <c r="O415">
        <f t="shared" si="13"/>
        <v>3.9621109340115465E-2</v>
      </c>
      <c r="P415">
        <f>LN(_xll.ciqfunctions.udf.CIQ("XBI", "IQ_LASTSALEPRICE", WORKDAY(F415,-1))/_xll.ciqfunctions.udf.CIQ("XBI", "IQ_LASTSALEPRICE", WORKDAY(F415,1)))</f>
        <v>6.7591682302096702E-3</v>
      </c>
      <c r="Q415">
        <f>LN(_xll.ciqfunctions.udf.CIQ("XBI", "IQ_LASTSALEPRICE", WORKDAY(F415,-1))/_xll.ciqfunctions.udf.CIQ("XBI", "IQ_LASTSALEPRICE", WORKDAY(F415,5)))</f>
        <v>2.4014177989313216E-2</v>
      </c>
      <c r="R415">
        <f>_xll.ciqfunctions.udf.CIQ(A415, "IQ_SHORT_INTEREST_PERCENT", F415)</f>
        <v>1.59581</v>
      </c>
      <c r="S415">
        <f>_xll.ciqfunctions.udf.CIQ(A415, "IQ_BETA_1YR_RSQ", F415)</f>
        <v>7.9119999999999996E-2</v>
      </c>
      <c r="T415">
        <f>_xll.ciqfunctions.udf.CIQ(A415, "IQ_VALUE_TRADED", F415)</f>
        <v>448.15091999999999</v>
      </c>
    </row>
    <row r="416" spans="1:20" x14ac:dyDescent="0.3">
      <c r="A416" t="s">
        <v>130</v>
      </c>
      <c r="B416">
        <v>122.23</v>
      </c>
      <c r="C416" t="s">
        <v>1310</v>
      </c>
      <c r="D416" t="s">
        <v>1311</v>
      </c>
      <c r="E416" t="s">
        <v>76</v>
      </c>
      <c r="F416" s="1">
        <v>45357</v>
      </c>
      <c r="G416" t="s">
        <v>1312</v>
      </c>
      <c r="I416">
        <f>_xll.ciqfunctions.udf.CIQ(A416, "IQ_MARKETCAP", F416)</f>
        <v>313414.67916</v>
      </c>
      <c r="J416">
        <f>_xll.ciqfunctions.udf.CIQ(A416, "IQ_PRICE_VOL_HIST_6MTH", F416)</f>
        <v>16.129200000000001</v>
      </c>
      <c r="K416">
        <f>_xll.ciqfunctions.udf.CIQ(A416, "IQ_LASTSALEPRICE", WORKDAY(F416,-1))</f>
        <v>122.83</v>
      </c>
      <c r="L416">
        <f>_xll.ciqfunctions.udf.CIQ(A416, "IQ_LASTSALEPRICE", F416)</f>
        <v>123.75</v>
      </c>
      <c r="M416">
        <f>_xll.ciqfunctions.udf.CIQ(A416, "IQ_LASTSALEPRICE", WORKDAY(F416,5))</f>
        <v>122.16</v>
      </c>
      <c r="N416">
        <f t="shared" si="12"/>
        <v>7.4621158977966227E-3</v>
      </c>
      <c r="O416">
        <f t="shared" si="13"/>
        <v>-5.4696246406259743E-3</v>
      </c>
      <c r="P416">
        <f>LN(_xll.ciqfunctions.udf.CIQ("XBI", "IQ_LASTSALEPRICE", WORKDAY(F416,-1))/_xll.ciqfunctions.udf.CIQ("XBI", "IQ_LASTSALEPRICE", WORKDAY(F416,1)))</f>
        <v>6.7591682302096702E-3</v>
      </c>
      <c r="Q416">
        <f>LN(_xll.ciqfunctions.udf.CIQ("XBI", "IQ_LASTSALEPRICE", WORKDAY(F416,-1))/_xll.ciqfunctions.udf.CIQ("XBI", "IQ_LASTSALEPRICE", WORKDAY(F416,5)))</f>
        <v>2.4014177989313216E-2</v>
      </c>
      <c r="R416">
        <f>_xll.ciqfunctions.udf.CIQ(A416, "IQ_SHORT_INTEREST_PERCENT", F416)</f>
        <v>0.66405999999999998</v>
      </c>
      <c r="S416">
        <f>_xll.ciqfunctions.udf.CIQ(A416, "IQ_BETA_1YR_RSQ", F416)</f>
        <v>5.9999999999999995E-4</v>
      </c>
      <c r="T416">
        <f>_xll.ciqfunctions.udf.CIQ(A416, "IQ_VALUE_TRADED", F416)</f>
        <v>1021.10605</v>
      </c>
    </row>
    <row r="417" spans="1:20" x14ac:dyDescent="0.3">
      <c r="A417" t="s">
        <v>146</v>
      </c>
      <c r="B417">
        <v>42.27</v>
      </c>
      <c r="C417" t="s">
        <v>993</v>
      </c>
      <c r="D417" t="s">
        <v>994</v>
      </c>
      <c r="E417" t="s">
        <v>36</v>
      </c>
      <c r="F417" s="1">
        <v>45357</v>
      </c>
      <c r="G417" t="s">
        <v>1313</v>
      </c>
      <c r="I417">
        <f>_xll.ciqfunctions.udf.CIQ(A417, "IQ_MARKETCAP", F417)</f>
        <v>67902.074139999997</v>
      </c>
      <c r="J417">
        <f>_xll.ciqfunctions.udf.CIQ(A417, "IQ_PRICE_VOL_HIST_6MTH", F417)</f>
        <v>17.8764</v>
      </c>
      <c r="K417">
        <f>_xll.ciqfunctions.udf.CIQ(A417, "IQ_LASTSALEPRICE", WORKDAY(F417,-1))</f>
        <v>16.834</v>
      </c>
      <c r="L417">
        <f>_xll.ciqfunctions.udf.CIQ(A417, "IQ_LASTSALEPRICE", F417)</f>
        <v>16.731999999999999</v>
      </c>
      <c r="M417">
        <f>_xll.ciqfunctions.udf.CIQ(A417, "IQ_LASTSALEPRICE", WORKDAY(F417,5))</f>
        <v>16.952000000000002</v>
      </c>
      <c r="N417">
        <f t="shared" si="12"/>
        <v>-6.0775972094324372E-3</v>
      </c>
      <c r="O417">
        <f t="shared" si="13"/>
        <v>6.9851701766138006E-3</v>
      </c>
      <c r="P417">
        <f>LN(_xll.ciqfunctions.udf.CIQ("XBI", "IQ_LASTSALEPRICE", WORKDAY(F417,-1))/_xll.ciqfunctions.udf.CIQ("XBI", "IQ_LASTSALEPRICE", WORKDAY(F417,1)))</f>
        <v>6.7591682302096702E-3</v>
      </c>
      <c r="Q417">
        <f>LN(_xll.ciqfunctions.udf.CIQ("XBI", "IQ_LASTSALEPRICE", WORKDAY(F417,-1))/_xll.ciqfunctions.udf.CIQ("XBI", "IQ_LASTSALEPRICE", WORKDAY(F417,5)))</f>
        <v>2.4014177989313216E-2</v>
      </c>
      <c r="R417">
        <f>_xll.ciqfunctions.udf.CIQ(A417, "IQ_SHORT_INTEREST_PERCENT", F417)</f>
        <v>0</v>
      </c>
      <c r="S417">
        <f>_xll.ciqfunctions.udf.CIQ(A417, "IQ_BETA_1YR_RSQ", F417)</f>
        <v>1.0300000000000001E-3</v>
      </c>
      <c r="T417">
        <f>_xll.ciqfunctions.udf.CIQ(A417, "IQ_VALUE_TRADED", F417)</f>
        <v>101.39758999999999</v>
      </c>
    </row>
    <row r="418" spans="1:20" x14ac:dyDescent="0.3">
      <c r="A418" t="s">
        <v>429</v>
      </c>
      <c r="B418">
        <v>19.8</v>
      </c>
      <c r="C418" t="s">
        <v>1314</v>
      </c>
      <c r="D418" t="s">
        <v>1315</v>
      </c>
      <c r="E418" t="s">
        <v>36</v>
      </c>
      <c r="F418" s="1">
        <v>45357</v>
      </c>
      <c r="G418" t="s">
        <v>1316</v>
      </c>
      <c r="H418">
        <v>109</v>
      </c>
      <c r="I418">
        <f>_xll.ciqfunctions.udf.CIQ(A418, "IQ_MARKETCAP", F418)</f>
        <v>1954.6069600000001</v>
      </c>
      <c r="J418">
        <f>_xll.ciqfunctions.udf.CIQ(A418, "IQ_PRICE_VOL_HIST_6MTH", F418)</f>
        <v>57.1708</v>
      </c>
      <c r="K418">
        <f>_xll.ciqfunctions.udf.CIQ(A418, "IQ_LASTSALEPRICE", WORKDAY(F418,-1))</f>
        <v>18.91</v>
      </c>
      <c r="L418">
        <f>_xll.ciqfunctions.udf.CIQ(A418, "IQ_LASTSALEPRICE", F418)</f>
        <v>19.8</v>
      </c>
      <c r="M418">
        <f>_xll.ciqfunctions.udf.CIQ(A418, "IQ_LASTSALEPRICE", WORKDAY(F418,5))</f>
        <v>20.16</v>
      </c>
      <c r="N418">
        <f t="shared" si="12"/>
        <v>4.5991055030123441E-2</v>
      </c>
      <c r="O418">
        <f t="shared" si="13"/>
        <v>6.4009560532801657E-2</v>
      </c>
      <c r="P418">
        <f>LN(_xll.ciqfunctions.udf.CIQ("XBI", "IQ_LASTSALEPRICE", WORKDAY(F418,-1))/_xll.ciqfunctions.udf.CIQ("XBI", "IQ_LASTSALEPRICE", WORKDAY(F418,1)))</f>
        <v>6.7591682302096702E-3</v>
      </c>
      <c r="Q418">
        <f>LN(_xll.ciqfunctions.udf.CIQ("XBI", "IQ_LASTSALEPRICE", WORKDAY(F418,-1))/_xll.ciqfunctions.udf.CIQ("XBI", "IQ_LASTSALEPRICE", WORKDAY(F418,5)))</f>
        <v>2.4014177989313216E-2</v>
      </c>
      <c r="R418">
        <f>_xll.ciqfunctions.udf.CIQ(A418, "IQ_SHORT_INTEREST_PERCENT", F418)</f>
        <v>4.7498100000000001</v>
      </c>
      <c r="S418">
        <f>_xll.ciqfunctions.udf.CIQ(A418, "IQ_BETA_1YR_RSQ", F418)</f>
        <v>0.18804999999999999</v>
      </c>
      <c r="T418">
        <f>_xll.ciqfunctions.udf.CIQ(A418, "IQ_VALUE_TRADED", F418)</f>
        <v>8.3594399999999993</v>
      </c>
    </row>
    <row r="419" spans="1:20" x14ac:dyDescent="0.3">
      <c r="A419" t="s">
        <v>478</v>
      </c>
      <c r="B419">
        <v>71.040000000000006</v>
      </c>
      <c r="C419" t="s">
        <v>1317</v>
      </c>
      <c r="D419" t="s">
        <v>1318</v>
      </c>
      <c r="E419" t="s">
        <v>36</v>
      </c>
      <c r="F419" s="1">
        <v>45357</v>
      </c>
      <c r="G419" t="s">
        <v>1319</v>
      </c>
      <c r="I419">
        <f>_xll.ciqfunctions.udf.CIQ(A419, "IQ_MARKETCAP", F419)</f>
        <v>90480.610360000006</v>
      </c>
      <c r="J419">
        <f>_xll.ciqfunctions.udf.CIQ(A419, "IQ_PRICE_VOL_HIST_6MTH", F419)</f>
        <v>25.0199</v>
      </c>
      <c r="K419">
        <f>_xll.ciqfunctions.udf.CIQ(A419, "IQ_LASTSALEPRICE", WORKDAY(F419,-1))</f>
        <v>72.989999999999995</v>
      </c>
      <c r="L419">
        <f>_xll.ciqfunctions.udf.CIQ(A419, "IQ_LASTSALEPRICE", F419)</f>
        <v>72.63</v>
      </c>
      <c r="M419">
        <f>_xll.ciqfunctions.udf.CIQ(A419, "IQ_LASTSALEPRICE", WORKDAY(F419,5))</f>
        <v>75.94</v>
      </c>
      <c r="N419">
        <f t="shared" si="12"/>
        <v>-4.944385845464078E-3</v>
      </c>
      <c r="O419">
        <f t="shared" si="13"/>
        <v>3.9621109340115465E-2</v>
      </c>
      <c r="P419">
        <f>LN(_xll.ciqfunctions.udf.CIQ("XBI", "IQ_LASTSALEPRICE", WORKDAY(F419,-1))/_xll.ciqfunctions.udf.CIQ("XBI", "IQ_LASTSALEPRICE", WORKDAY(F419,1)))</f>
        <v>6.7591682302096702E-3</v>
      </c>
      <c r="Q419">
        <f>LN(_xll.ciqfunctions.udf.CIQ("XBI", "IQ_LASTSALEPRICE", WORKDAY(F419,-1))/_xll.ciqfunctions.udf.CIQ("XBI", "IQ_LASTSALEPRICE", WORKDAY(F419,5)))</f>
        <v>2.4014177989313216E-2</v>
      </c>
      <c r="R419">
        <f>_xll.ciqfunctions.udf.CIQ(A419, "IQ_SHORT_INTEREST_PERCENT", F419)</f>
        <v>1.59581</v>
      </c>
      <c r="S419">
        <f>_xll.ciqfunctions.udf.CIQ(A419, "IQ_BETA_1YR_RSQ", F419)</f>
        <v>7.9119999999999996E-2</v>
      </c>
      <c r="T419">
        <f>_xll.ciqfunctions.udf.CIQ(A419, "IQ_VALUE_TRADED", F419)</f>
        <v>448.15091999999999</v>
      </c>
    </row>
    <row r="420" spans="1:20" x14ac:dyDescent="0.3">
      <c r="A420" t="s">
        <v>57</v>
      </c>
      <c r="B420">
        <v>26.78</v>
      </c>
      <c r="C420" t="s">
        <v>61</v>
      </c>
      <c r="D420" t="s">
        <v>62</v>
      </c>
      <c r="E420" t="s">
        <v>17</v>
      </c>
      <c r="F420" s="1">
        <v>45357</v>
      </c>
      <c r="G420" t="s">
        <v>1320</v>
      </c>
      <c r="H420">
        <v>142</v>
      </c>
      <c r="I420">
        <f>_xll.ciqfunctions.udf.CIQ(A420, "IQ_MARKETCAP", F420)</f>
        <v>2194.8370599999998</v>
      </c>
      <c r="J420">
        <f>_xll.ciqfunctions.udf.CIQ(A420, "IQ_PRICE_VOL_HIST_6MTH", F420)</f>
        <v>95.714200000000005</v>
      </c>
      <c r="K420">
        <f>_xll.ciqfunctions.udf.CIQ(A420, "IQ_LASTSALEPRICE", WORKDAY(F420,-1))</f>
        <v>25.87</v>
      </c>
      <c r="L420">
        <f>_xll.ciqfunctions.udf.CIQ(A420, "IQ_LASTSALEPRICE", F420)</f>
        <v>26.78</v>
      </c>
      <c r="M420">
        <f>_xll.ciqfunctions.udf.CIQ(A420, "IQ_LASTSALEPRICE", WORKDAY(F420,5))</f>
        <v>27.77</v>
      </c>
      <c r="N420">
        <f t="shared" si="12"/>
        <v>3.4571344065088723E-2</v>
      </c>
      <c r="O420">
        <f t="shared" si="13"/>
        <v>7.0872305120770404E-2</v>
      </c>
      <c r="P420">
        <f>LN(_xll.ciqfunctions.udf.CIQ("XBI", "IQ_LASTSALEPRICE", WORKDAY(F420,-1))/_xll.ciqfunctions.udf.CIQ("XBI", "IQ_LASTSALEPRICE", WORKDAY(F420,1)))</f>
        <v>6.7591682302096702E-3</v>
      </c>
      <c r="Q420">
        <f>LN(_xll.ciqfunctions.udf.CIQ("XBI", "IQ_LASTSALEPRICE", WORKDAY(F420,-1))/_xll.ciqfunctions.udf.CIQ("XBI", "IQ_LASTSALEPRICE", WORKDAY(F420,5)))</f>
        <v>2.4014177989313216E-2</v>
      </c>
      <c r="R420">
        <f>_xll.ciqfunctions.udf.CIQ(A420, "IQ_SHORT_INTEREST_PERCENT", F420)</f>
        <v>8.8436599999999999</v>
      </c>
      <c r="S420">
        <f>_xll.ciqfunctions.udf.CIQ(A420, "IQ_BETA_1YR_RSQ", F420)</f>
        <v>6.8540000000000004E-2</v>
      </c>
      <c r="T420">
        <f>_xll.ciqfunctions.udf.CIQ(A420, "IQ_VALUE_TRADED", F420)</f>
        <v>30.818529999999999</v>
      </c>
    </row>
    <row r="421" spans="1:20" x14ac:dyDescent="0.3">
      <c r="A421" t="s">
        <v>203</v>
      </c>
      <c r="B421">
        <v>51.88</v>
      </c>
      <c r="C421" t="s">
        <v>1321</v>
      </c>
      <c r="D421" t="s">
        <v>1322</v>
      </c>
      <c r="E421" t="s">
        <v>160</v>
      </c>
      <c r="F421" s="1">
        <v>45358</v>
      </c>
      <c r="G421" t="s">
        <v>1323</v>
      </c>
      <c r="I421">
        <f>_xll.ciqfunctions.udf.CIQ(A421, "IQ_MARKETCAP", F421)</f>
        <v>107742.46494000001</v>
      </c>
      <c r="J421">
        <f>_xll.ciqfunctions.udf.CIQ(A421, "IQ_PRICE_VOL_HIST_6MTH", F421)</f>
        <v>21.498699999999999</v>
      </c>
      <c r="K421">
        <f>_xll.ciqfunctions.udf.CIQ(A421, "IQ_LASTSALEPRICE", WORKDAY(F421,-1))</f>
        <v>53.38</v>
      </c>
      <c r="L421">
        <f>_xll.ciqfunctions.udf.CIQ(A421, "IQ_LASTSALEPRICE", F421)</f>
        <v>53.28</v>
      </c>
      <c r="M421">
        <f>_xll.ciqfunctions.udf.CIQ(A421, "IQ_LASTSALEPRICE", WORKDAY(F421,5))</f>
        <v>52.49</v>
      </c>
      <c r="N421">
        <f t="shared" si="12"/>
        <v>-1.8751177442444145E-3</v>
      </c>
      <c r="O421">
        <f t="shared" si="13"/>
        <v>-1.6813468712169682E-2</v>
      </c>
      <c r="P421">
        <f>LN(_xll.ciqfunctions.udf.CIQ("XBI", "IQ_LASTSALEPRICE", WORKDAY(F421,-1))/_xll.ciqfunctions.udf.CIQ("XBI", "IQ_LASTSALEPRICE", WORKDAY(F421,1)))</f>
        <v>1.1754794514998668E-2</v>
      </c>
      <c r="Q421">
        <f>LN(_xll.ciqfunctions.udf.CIQ("XBI", "IQ_LASTSALEPRICE", WORKDAY(F421,-1))/_xll.ciqfunctions.udf.CIQ("XBI", "IQ_LASTSALEPRICE", WORKDAY(F421,5)))</f>
        <v>5.8298872616054993E-2</v>
      </c>
      <c r="R421">
        <f>_xll.ciqfunctions.udf.CIQ(A421, "IQ_SHORT_INTEREST_PERCENT", F421)</f>
        <v>1.5574300000000001</v>
      </c>
      <c r="S421">
        <f>_xll.ciqfunctions.udf.CIQ(A421, "IQ_BETA_1YR_RSQ", F421)</f>
        <v>0.12182999999999999</v>
      </c>
      <c r="T421">
        <f>_xll.ciqfunctions.udf.CIQ(A421, "IQ_VALUE_TRADED", F421)</f>
        <v>918.17754000000002</v>
      </c>
    </row>
    <row r="422" spans="1:20" x14ac:dyDescent="0.3">
      <c r="A422" t="s">
        <v>220</v>
      </c>
      <c r="B422">
        <v>9</v>
      </c>
      <c r="C422" t="s">
        <v>221</v>
      </c>
      <c r="D422" t="s">
        <v>1324</v>
      </c>
      <c r="E422" t="s">
        <v>197</v>
      </c>
      <c r="F422" s="1">
        <v>45358</v>
      </c>
      <c r="G422" t="s">
        <v>1325</v>
      </c>
      <c r="H422">
        <v>75</v>
      </c>
      <c r="I422">
        <f>_xll.ciqfunctions.udf.CIQ(A422, "IQ_MARKETCAP", F422)</f>
        <v>372.00876</v>
      </c>
      <c r="J422">
        <f>_xll.ciqfunctions.udf.CIQ(A422, "IQ_PRICE_VOL_HIST_6MTH", F422)</f>
        <v>94.805099999999996</v>
      </c>
      <c r="K422">
        <f>_xll.ciqfunctions.udf.CIQ(A422, "IQ_LASTSALEPRICE", WORKDAY(F422,-1))</f>
        <v>5.94</v>
      </c>
      <c r="L422">
        <f>_xll.ciqfunctions.udf.CIQ(A422, "IQ_LASTSALEPRICE", F422)</f>
        <v>9</v>
      </c>
      <c r="M422">
        <f>_xll.ciqfunctions.udf.CIQ(A422, "IQ_LASTSALEPRICE", WORKDAY(F422,5))</f>
        <v>8.14</v>
      </c>
      <c r="N422">
        <f t="shared" si="12"/>
        <v>0.41551544396166579</v>
      </c>
      <c r="O422">
        <f t="shared" si="13"/>
        <v>0.31508104663989545</v>
      </c>
      <c r="P422">
        <f>LN(_xll.ciqfunctions.udf.CIQ("XBI", "IQ_LASTSALEPRICE", WORKDAY(F422,-1))/_xll.ciqfunctions.udf.CIQ("XBI", "IQ_LASTSALEPRICE", WORKDAY(F422,1)))</f>
        <v>1.1754794514998668E-2</v>
      </c>
      <c r="Q422">
        <f>LN(_xll.ciqfunctions.udf.CIQ("XBI", "IQ_LASTSALEPRICE", WORKDAY(F422,-1))/_xll.ciqfunctions.udf.CIQ("XBI", "IQ_LASTSALEPRICE", WORKDAY(F422,5)))</f>
        <v>5.8298872616054993E-2</v>
      </c>
      <c r="R422">
        <f>_xll.ciqfunctions.udf.CIQ(A422, "IQ_SHORT_INTEREST_PERCENT", F422)</f>
        <v>8.2948699999999995</v>
      </c>
      <c r="S422">
        <f>_xll.ciqfunctions.udf.CIQ(A422, "IQ_BETA_1YR_RSQ", F422)</f>
        <v>0.22287000000000001</v>
      </c>
      <c r="T422">
        <f>_xll.ciqfunctions.udf.CIQ(A422, "IQ_VALUE_TRADED", F422)</f>
        <v>342.94968999999998</v>
      </c>
    </row>
    <row r="423" spans="1:20" x14ac:dyDescent="0.3">
      <c r="A423" t="s">
        <v>151</v>
      </c>
      <c r="B423">
        <v>2.0699999999999998</v>
      </c>
      <c r="C423" t="s">
        <v>1326</v>
      </c>
      <c r="D423" t="s">
        <v>1327</v>
      </c>
      <c r="E423" t="s">
        <v>22</v>
      </c>
      <c r="F423" s="1">
        <v>45358</v>
      </c>
      <c r="G423" t="s">
        <v>1328</v>
      </c>
      <c r="H423">
        <v>29</v>
      </c>
      <c r="I423">
        <f>_xll.ciqfunctions.udf.CIQ(A423, "IQ_MARKETCAP", F423)</f>
        <v>38.039870000000001</v>
      </c>
      <c r="J423">
        <f>_xll.ciqfunctions.udf.CIQ(A423, "IQ_PRICE_VOL_HIST_6MTH", F423)</f>
        <v>151.881</v>
      </c>
      <c r="K423">
        <f>_xll.ciqfunctions.udf.CIQ(A423, "IQ_LASTSALEPRICE", WORKDAY(F423,-1))</f>
        <v>2.2149999999999999</v>
      </c>
      <c r="L423">
        <f>_xll.ciqfunctions.udf.CIQ(A423, "IQ_LASTSALEPRICE", F423)</f>
        <v>2.0699999999999998</v>
      </c>
      <c r="M423">
        <f>_xll.ciqfunctions.udf.CIQ(A423, "IQ_LASTSALEPRICE", WORKDAY(F423,5))</f>
        <v>1.68</v>
      </c>
      <c r="N423">
        <f t="shared" si="12"/>
        <v>-6.7703796219821283E-2</v>
      </c>
      <c r="O423">
        <f t="shared" si="13"/>
        <v>-0.27645861008193134</v>
      </c>
      <c r="P423">
        <f>LN(_xll.ciqfunctions.udf.CIQ("XBI", "IQ_LASTSALEPRICE", WORKDAY(F423,-1))/_xll.ciqfunctions.udf.CIQ("XBI", "IQ_LASTSALEPRICE", WORKDAY(F423,1)))</f>
        <v>1.1754794514998668E-2</v>
      </c>
      <c r="Q423">
        <f>LN(_xll.ciqfunctions.udf.CIQ("XBI", "IQ_LASTSALEPRICE", WORKDAY(F423,-1))/_xll.ciqfunctions.udf.CIQ("XBI", "IQ_LASTSALEPRICE", WORKDAY(F423,5)))</f>
        <v>5.8298872616054993E-2</v>
      </c>
      <c r="R423">
        <f>_xll.ciqfunctions.udf.CIQ(A423, "IQ_SHORT_INTEREST_PERCENT", F423)</f>
        <v>8.9279399999999995</v>
      </c>
      <c r="S423">
        <f>_xll.ciqfunctions.udf.CIQ(A423, "IQ_BETA_1YR_RSQ", F423)</f>
        <v>9.8390000000000005E-2</v>
      </c>
      <c r="T423">
        <f>_xll.ciqfunctions.udf.CIQ(A423, "IQ_VALUE_TRADED", F423)</f>
        <v>0.60511999999999999</v>
      </c>
    </row>
    <row r="424" spans="1:20" x14ac:dyDescent="0.3">
      <c r="A424" t="s">
        <v>1329</v>
      </c>
      <c r="B424">
        <v>1.39</v>
      </c>
      <c r="C424" t="s">
        <v>1326</v>
      </c>
      <c r="D424" t="s">
        <v>1327</v>
      </c>
      <c r="E424" t="s">
        <v>22</v>
      </c>
      <c r="F424" s="1">
        <v>45358</v>
      </c>
      <c r="G424" t="s">
        <v>1328</v>
      </c>
      <c r="H424">
        <v>7</v>
      </c>
      <c r="I424">
        <f>_xll.ciqfunctions.udf.CIQ(A424, "IQ_MARKETCAP", F424)</f>
        <v>70.301130000000001</v>
      </c>
      <c r="J424">
        <f>_xll.ciqfunctions.udf.CIQ(A424, "IQ_PRICE_VOL_HIST_6MTH", F424)</f>
        <v>59.907800000000002</v>
      </c>
      <c r="K424">
        <f>_xll.ciqfunctions.udf.CIQ(A424, "IQ_LASTSALEPRICE", WORKDAY(F424,-1))</f>
        <v>66</v>
      </c>
      <c r="L424">
        <f>_xll.ciqfunctions.udf.CIQ(A424, "IQ_LASTSALEPRICE", F424)</f>
        <v>69.5</v>
      </c>
      <c r="M424">
        <f>_xll.ciqfunctions.udf.CIQ(A424, "IQ_LASTSALEPRICE", WORKDAY(F424,5))</f>
        <v>49.734999999999999</v>
      </c>
      <c r="N424">
        <f t="shared" si="12"/>
        <v>5.1672010544320857E-2</v>
      </c>
      <c r="O424">
        <f t="shared" si="13"/>
        <v>-0.28294583142204832</v>
      </c>
      <c r="P424">
        <f>LN(_xll.ciqfunctions.udf.CIQ("XBI", "IQ_LASTSALEPRICE", WORKDAY(F424,-1))/_xll.ciqfunctions.udf.CIQ("XBI", "IQ_LASTSALEPRICE", WORKDAY(F424,1)))</f>
        <v>1.1754794514998668E-2</v>
      </c>
      <c r="Q424">
        <f>LN(_xll.ciqfunctions.udf.CIQ("XBI", "IQ_LASTSALEPRICE", WORKDAY(F424,-1))/_xll.ciqfunctions.udf.CIQ("XBI", "IQ_LASTSALEPRICE", WORKDAY(F424,5)))</f>
        <v>5.8298872616054993E-2</v>
      </c>
      <c r="R424">
        <f>_xll.ciqfunctions.udf.CIQ(A424, "IQ_SHORT_INTEREST_PERCENT", F424)</f>
        <v>8.4379999999999997E-2</v>
      </c>
      <c r="S424">
        <f>_xll.ciqfunctions.udf.CIQ(A424, "IQ_BETA_1YR_RSQ", F424)</f>
        <v>0.11008999999999999</v>
      </c>
      <c r="T424">
        <f>_xll.ciqfunctions.udf.CIQ(A424, "IQ_VALUE_TRADED", F424)</f>
        <v>5.5413699999999997</v>
      </c>
    </row>
    <row r="425" spans="1:20" x14ac:dyDescent="0.3">
      <c r="A425" t="s">
        <v>146</v>
      </c>
      <c r="B425">
        <v>43.22</v>
      </c>
      <c r="C425" t="s">
        <v>1330</v>
      </c>
      <c r="D425" t="s">
        <v>1331</v>
      </c>
      <c r="E425" t="s">
        <v>36</v>
      </c>
      <c r="F425" s="1">
        <v>45358</v>
      </c>
      <c r="G425" t="s">
        <v>1332</v>
      </c>
      <c r="I425">
        <f>_xll.ciqfunctions.udf.CIQ(A425, "IQ_MARKETCAP", F425)</f>
        <v>69444.196320000003</v>
      </c>
      <c r="J425">
        <f>_xll.ciqfunctions.udf.CIQ(A425, "IQ_PRICE_VOL_HIST_6MTH", F425)</f>
        <v>18.0914</v>
      </c>
      <c r="K425">
        <f>_xll.ciqfunctions.udf.CIQ(A425, "IQ_LASTSALEPRICE", WORKDAY(F425,-1))</f>
        <v>16.731999999999999</v>
      </c>
      <c r="L425">
        <f>_xll.ciqfunctions.udf.CIQ(A425, "IQ_LASTSALEPRICE", F425)</f>
        <v>17.111999999999998</v>
      </c>
      <c r="M425">
        <f>_xll.ciqfunctions.udf.CIQ(A425, "IQ_LASTSALEPRICE", WORKDAY(F425,5))</f>
        <v>16.878</v>
      </c>
      <c r="N425">
        <f t="shared" si="12"/>
        <v>2.2456918200152418E-2</v>
      </c>
      <c r="O425">
        <f t="shared" si="13"/>
        <v>8.6879451558227495E-3</v>
      </c>
      <c r="P425">
        <f>LN(_xll.ciqfunctions.udf.CIQ("XBI", "IQ_LASTSALEPRICE", WORKDAY(F425,-1))/_xll.ciqfunctions.udf.CIQ("XBI", "IQ_LASTSALEPRICE", WORKDAY(F425,1)))</f>
        <v>1.1754794514998668E-2</v>
      </c>
      <c r="Q425">
        <f>LN(_xll.ciqfunctions.udf.CIQ("XBI", "IQ_LASTSALEPRICE", WORKDAY(F425,-1))/_xll.ciqfunctions.udf.CIQ("XBI", "IQ_LASTSALEPRICE", WORKDAY(F425,5)))</f>
        <v>5.8298872616054993E-2</v>
      </c>
      <c r="R425">
        <f>_xll.ciqfunctions.udf.CIQ(A425, "IQ_SHORT_INTEREST_PERCENT", F425)</f>
        <v>0</v>
      </c>
      <c r="S425">
        <f>_xll.ciqfunctions.udf.CIQ(A425, "IQ_BETA_1YR_RSQ", F425)</f>
        <v>1.0300000000000001E-3</v>
      </c>
      <c r="T425">
        <f>_xll.ciqfunctions.udf.CIQ(A425, "IQ_VALUE_TRADED", F425)</f>
        <v>174.20889</v>
      </c>
    </row>
    <row r="426" spans="1:20" x14ac:dyDescent="0.3">
      <c r="A426" t="s">
        <v>1333</v>
      </c>
      <c r="B426">
        <v>4.55</v>
      </c>
      <c r="C426" t="s">
        <v>1334</v>
      </c>
      <c r="D426" t="s">
        <v>1335</v>
      </c>
      <c r="E426" t="s">
        <v>76</v>
      </c>
      <c r="F426" s="1">
        <v>45358</v>
      </c>
      <c r="G426" t="s">
        <v>1336</v>
      </c>
      <c r="H426">
        <v>6</v>
      </c>
      <c r="I426">
        <f>_xll.ciqfunctions.udf.CIQ(A426, "IQ_MARKETCAP", F426)</f>
        <v>28.474789999999999</v>
      </c>
      <c r="J426">
        <f>_xll.ciqfunctions.udf.CIQ(A426, "IQ_PRICE_VOL_HIST_6MTH", F426)</f>
        <v>157.80709999999999</v>
      </c>
      <c r="K426">
        <f>_xll.ciqfunctions.udf.CIQ(A426, "IQ_LASTSALEPRICE", WORKDAY(F426,-1))</f>
        <v>1.6500999999999999</v>
      </c>
      <c r="L426">
        <f>_xll.ciqfunctions.udf.CIQ(A426, "IQ_LASTSALEPRICE", F426)</f>
        <v>4.55</v>
      </c>
      <c r="M426">
        <f>_xll.ciqfunctions.udf.CIQ(A426, "IQ_LASTSALEPRICE", WORKDAY(F426,5))</f>
        <v>2.82</v>
      </c>
      <c r="N426">
        <f t="shared" si="12"/>
        <v>1.0142913408262368</v>
      </c>
      <c r="O426">
        <f t="shared" si="13"/>
        <v>0.53590099281339998</v>
      </c>
      <c r="P426">
        <f>LN(_xll.ciqfunctions.udf.CIQ("XBI", "IQ_LASTSALEPRICE", WORKDAY(F426,-1))/_xll.ciqfunctions.udf.CIQ("XBI", "IQ_LASTSALEPRICE", WORKDAY(F426,1)))</f>
        <v>1.1754794514998668E-2</v>
      </c>
      <c r="Q426">
        <f>LN(_xll.ciqfunctions.udf.CIQ("XBI", "IQ_LASTSALEPRICE", WORKDAY(F426,-1))/_xll.ciqfunctions.udf.CIQ("XBI", "IQ_LASTSALEPRICE", WORKDAY(F426,5)))</f>
        <v>5.8298872616054993E-2</v>
      </c>
      <c r="R426">
        <f>_xll.ciqfunctions.udf.CIQ(A426, "IQ_SHORT_INTEREST_PERCENT", F426)</f>
        <v>0</v>
      </c>
      <c r="S426">
        <f>_xll.ciqfunctions.udf.CIQ(A426, "IQ_BETA_1YR_RSQ", F426)</f>
        <v>0</v>
      </c>
      <c r="T426">
        <f>_xll.ciqfunctions.udf.CIQ(A426, "IQ_VALUE_TRADED", F426)</f>
        <v>244.68915999999999</v>
      </c>
    </row>
    <row r="427" spans="1:20" x14ac:dyDescent="0.3">
      <c r="A427" t="s">
        <v>1337</v>
      </c>
      <c r="B427">
        <v>8.6999999999999993</v>
      </c>
      <c r="C427" t="s">
        <v>1338</v>
      </c>
      <c r="D427" t="s">
        <v>1339</v>
      </c>
      <c r="E427" t="s">
        <v>89</v>
      </c>
      <c r="F427" s="1">
        <v>45358</v>
      </c>
      <c r="G427" t="s">
        <v>1340</v>
      </c>
      <c r="H427">
        <v>32</v>
      </c>
      <c r="I427">
        <f>_xll.ciqfunctions.udf.CIQ(A427, "IQ_MARKETCAP", F427)</f>
        <v>257.60538000000003</v>
      </c>
      <c r="J427">
        <f>_xll.ciqfunctions.udf.CIQ(A427, "IQ_PRICE_VOL_HIST_6MTH", F427)</f>
        <v>0</v>
      </c>
      <c r="K427">
        <f>_xll.ciqfunctions.udf.CIQ(A427, "IQ_LASTSALEPRICE", WORKDAY(F427,-1))</f>
        <v>8.76</v>
      </c>
      <c r="L427">
        <f>_xll.ciqfunctions.udf.CIQ(A427, "IQ_LASTSALEPRICE", F427)</f>
        <v>8.6999999999999993</v>
      </c>
      <c r="M427">
        <f>_xll.ciqfunctions.udf.CIQ(A427, "IQ_LASTSALEPRICE", WORKDAY(F427,5))</f>
        <v>6.51</v>
      </c>
      <c r="N427">
        <f t="shared" si="12"/>
        <v>-6.8728792877620643E-3</v>
      </c>
      <c r="O427">
        <f t="shared" si="13"/>
        <v>-0.29685644872782224</v>
      </c>
      <c r="P427">
        <f>LN(_xll.ciqfunctions.udf.CIQ("XBI", "IQ_LASTSALEPRICE", WORKDAY(F427,-1))/_xll.ciqfunctions.udf.CIQ("XBI", "IQ_LASTSALEPRICE", WORKDAY(F427,1)))</f>
        <v>1.1754794514998668E-2</v>
      </c>
      <c r="Q427">
        <f>LN(_xll.ciqfunctions.udf.CIQ("XBI", "IQ_LASTSALEPRICE", WORKDAY(F427,-1))/_xll.ciqfunctions.udf.CIQ("XBI", "IQ_LASTSALEPRICE", WORKDAY(F427,5)))</f>
        <v>5.8298872616054993E-2</v>
      </c>
      <c r="R427">
        <f>_xll.ciqfunctions.udf.CIQ(A427, "IQ_SHORT_INTEREST_PERCENT", F427)</f>
        <v>1.001E-2</v>
      </c>
      <c r="S427">
        <f>_xll.ciqfunctions.udf.CIQ(A427, "IQ_BETA_1YR_RSQ", F427)</f>
        <v>0.86973</v>
      </c>
      <c r="T427">
        <f>_xll.ciqfunctions.udf.CIQ(A427, "IQ_VALUE_TRADED", F427)</f>
        <v>0.30181999999999998</v>
      </c>
    </row>
    <row r="428" spans="1:20" x14ac:dyDescent="0.3">
      <c r="A428" t="s">
        <v>1341</v>
      </c>
      <c r="B428">
        <v>6.6</v>
      </c>
      <c r="C428" t="s">
        <v>1342</v>
      </c>
      <c r="D428" t="s">
        <v>104</v>
      </c>
      <c r="E428" t="s">
        <v>22</v>
      </c>
      <c r="F428" s="1">
        <v>45358</v>
      </c>
      <c r="G428" t="s">
        <v>1343</v>
      </c>
      <c r="H428">
        <v>3</v>
      </c>
      <c r="I428">
        <f>_xll.ciqfunctions.udf.CIQ(A428, "IQ_MARKETCAP", F428)</f>
        <v>3.5164800000000001</v>
      </c>
      <c r="J428">
        <f>_xll.ciqfunctions.udf.CIQ(A428, "IQ_PRICE_VOL_HIST_6MTH", F428)</f>
        <v>91.068899999999999</v>
      </c>
      <c r="K428">
        <f>_xll.ciqfunctions.udf.CIQ(A428, "IQ_LASTSALEPRICE", WORKDAY(F428,-1))</f>
        <v>4736.0047400000003</v>
      </c>
      <c r="L428">
        <f>_xll.ciqfunctions.udf.CIQ(A428, "IQ_LASTSALEPRICE", F428)</f>
        <v>4884.0048800000004</v>
      </c>
      <c r="M428">
        <f>_xll.ciqfunctions.udf.CIQ(A428, "IQ_LASTSALEPRICE", WORKDAY(F428,5))</f>
        <v>3729.6037299999998</v>
      </c>
      <c r="N428">
        <f t="shared" si="12"/>
        <v>3.077165700315998E-2</v>
      </c>
      <c r="O428">
        <f t="shared" si="13"/>
        <v>-0.23889190901969282</v>
      </c>
      <c r="P428">
        <f>LN(_xll.ciqfunctions.udf.CIQ("XBI", "IQ_LASTSALEPRICE", WORKDAY(F428,-1))/_xll.ciqfunctions.udf.CIQ("XBI", "IQ_LASTSALEPRICE", WORKDAY(F428,1)))</f>
        <v>1.1754794514998668E-2</v>
      </c>
      <c r="Q428">
        <f>LN(_xll.ciqfunctions.udf.CIQ("XBI", "IQ_LASTSALEPRICE", WORKDAY(F428,-1))/_xll.ciqfunctions.udf.CIQ("XBI", "IQ_LASTSALEPRICE", WORKDAY(F428,5)))</f>
        <v>5.8298872616054993E-2</v>
      </c>
      <c r="R428">
        <f>_xll.ciqfunctions.udf.CIQ(A428, "IQ_SHORT_INTEREST_PERCENT", F428)</f>
        <v>8.3779999999999993E-2</v>
      </c>
      <c r="S428">
        <f>_xll.ciqfunctions.udf.CIQ(A428, "IQ_BETA_1YR_RSQ", F428)</f>
        <v>7.3830000000000007E-2</v>
      </c>
      <c r="T428">
        <f>_xll.ciqfunctions.udf.CIQ(A428, "IQ_VALUE_TRADED", F428)</f>
        <v>23.99023</v>
      </c>
    </row>
    <row r="429" spans="1:20" x14ac:dyDescent="0.3">
      <c r="A429" t="s">
        <v>64</v>
      </c>
      <c r="B429">
        <v>3.58</v>
      </c>
      <c r="C429" t="s">
        <v>1344</v>
      </c>
      <c r="D429" t="s">
        <v>1345</v>
      </c>
      <c r="E429" t="s">
        <v>76</v>
      </c>
      <c r="F429" s="1">
        <v>45359</v>
      </c>
      <c r="G429" t="s">
        <v>1346</v>
      </c>
      <c r="H429">
        <v>3</v>
      </c>
      <c r="I429">
        <f>_xll.ciqfunctions.udf.CIQ(A429, "IQ_MARKETCAP", F429)</f>
        <v>137.20940999999999</v>
      </c>
      <c r="J429">
        <f>_xll.ciqfunctions.udf.CIQ(A429, "IQ_PRICE_VOL_HIST_6MTH", F429)</f>
        <v>79.426900000000003</v>
      </c>
      <c r="K429">
        <f>_xll.ciqfunctions.udf.CIQ(A429, "IQ_LASTSALEPRICE", WORKDAY(F429,-1))</f>
        <v>41.5</v>
      </c>
      <c r="L429">
        <f>_xll.ciqfunctions.udf.CIQ(A429, "IQ_LASTSALEPRICE", F429)</f>
        <v>35.799999999999997</v>
      </c>
      <c r="M429">
        <f>_xll.ciqfunctions.udf.CIQ(A429, "IQ_LASTSALEPRICE", WORKDAY(F429,5))</f>
        <v>26.2</v>
      </c>
      <c r="N429">
        <f t="shared" si="12"/>
        <v>-0.14774553382999803</v>
      </c>
      <c r="O429">
        <f t="shared" si="13"/>
        <v>-0.45993401646960153</v>
      </c>
      <c r="P429">
        <f>LN(_xll.ciqfunctions.udf.CIQ("XBI", "IQ_LASTSALEPRICE", WORKDAY(F429,-1))/_xll.ciqfunctions.udf.CIQ("XBI", "IQ_LASTSALEPRICE", WORKDAY(F429,1)))</f>
        <v>2.003952143294295E-2</v>
      </c>
      <c r="Q429">
        <f>LN(_xll.ciqfunctions.udf.CIQ("XBI", "IQ_LASTSALEPRICE", WORKDAY(F429,-1))/_xll.ciqfunctions.udf.CIQ("XBI", "IQ_LASTSALEPRICE", WORKDAY(F429,5)))</f>
        <v>4.2176793818372714E-2</v>
      </c>
      <c r="R429">
        <f>_xll.ciqfunctions.udf.CIQ(A429, "IQ_SHORT_INTEREST_PERCENT", F429)</f>
        <v>1.6968099999999999</v>
      </c>
      <c r="S429">
        <f>_xll.ciqfunctions.udf.CIQ(A429, "IQ_BETA_1YR_RSQ", F429)</f>
        <v>3.1469999999999998E-2</v>
      </c>
      <c r="T429">
        <f>_xll.ciqfunctions.udf.CIQ(A429, "IQ_VALUE_TRADED", F429)</f>
        <v>6.6452999999999998</v>
      </c>
    </row>
    <row r="430" spans="1:20" x14ac:dyDescent="0.3">
      <c r="A430" t="s">
        <v>753</v>
      </c>
      <c r="B430">
        <v>3.36</v>
      </c>
      <c r="C430" t="s">
        <v>1347</v>
      </c>
      <c r="D430" t="s">
        <v>1348</v>
      </c>
      <c r="E430" t="s">
        <v>36</v>
      </c>
      <c r="F430" s="1">
        <v>45359</v>
      </c>
      <c r="G430" t="s">
        <v>1349</v>
      </c>
      <c r="H430">
        <v>89</v>
      </c>
      <c r="I430">
        <f>_xll.ciqfunctions.udf.CIQ(A430, "IQ_MARKETCAP", F430)</f>
        <v>227.74798999999999</v>
      </c>
      <c r="J430">
        <f>_xll.ciqfunctions.udf.CIQ(A430, "IQ_PRICE_VOL_HIST_6MTH", F430)</f>
        <v>256.53980000000001</v>
      </c>
      <c r="K430">
        <f>_xll.ciqfunctions.udf.CIQ(A430, "IQ_LASTSALEPRICE", WORKDAY(F430,-1))</f>
        <v>18.97</v>
      </c>
      <c r="L430">
        <f>_xll.ciqfunctions.udf.CIQ(A430, "IQ_LASTSALEPRICE", F430)</f>
        <v>3.36</v>
      </c>
      <c r="M430">
        <f>_xll.ciqfunctions.udf.CIQ(A430, "IQ_LASTSALEPRICE", WORKDAY(F430,5))</f>
        <v>3.24</v>
      </c>
      <c r="N430">
        <f t="shared" si="12"/>
        <v>-1.7309178099718099</v>
      </c>
      <c r="O430">
        <f t="shared" si="13"/>
        <v>-1.7672854541426846</v>
      </c>
      <c r="P430">
        <f>LN(_xll.ciqfunctions.udf.CIQ("XBI", "IQ_LASTSALEPRICE", WORKDAY(F430,-1))/_xll.ciqfunctions.udf.CIQ("XBI", "IQ_LASTSALEPRICE", WORKDAY(F430,1)))</f>
        <v>2.003952143294295E-2</v>
      </c>
      <c r="Q430">
        <f>LN(_xll.ciqfunctions.udf.CIQ("XBI", "IQ_LASTSALEPRICE", WORKDAY(F430,-1))/_xll.ciqfunctions.udf.CIQ("XBI", "IQ_LASTSALEPRICE", WORKDAY(F430,5)))</f>
        <v>4.2176793818372714E-2</v>
      </c>
      <c r="R430">
        <f>_xll.ciqfunctions.udf.CIQ(A430, "IQ_SHORT_INTEREST_PERCENT", F430)</f>
        <v>7.3462100000000001</v>
      </c>
      <c r="S430">
        <f>_xll.ciqfunctions.udf.CIQ(A430, "IQ_BETA_1YR_RSQ", F430)</f>
        <v>3.78E-2</v>
      </c>
      <c r="T430">
        <f>_xll.ciqfunctions.udf.CIQ(A430, "IQ_VALUE_TRADED", F430)</f>
        <v>206.52855</v>
      </c>
    </row>
    <row r="431" spans="1:20" x14ac:dyDescent="0.3">
      <c r="A431" t="s">
        <v>1350</v>
      </c>
      <c r="B431">
        <v>28.67</v>
      </c>
      <c r="C431" t="s">
        <v>1351</v>
      </c>
      <c r="D431" t="s">
        <v>1352</v>
      </c>
      <c r="E431" t="s">
        <v>22</v>
      </c>
      <c r="F431" s="1">
        <v>45359</v>
      </c>
      <c r="G431" t="s">
        <v>1353</v>
      </c>
      <c r="H431">
        <v>43</v>
      </c>
      <c r="I431">
        <f>_xll.ciqfunctions.udf.CIQ(A431, "IQ_MARKETCAP", F431)</f>
        <v>1221.7927500000001</v>
      </c>
      <c r="J431">
        <f>_xll.ciqfunctions.udf.CIQ(A431, "IQ_PRICE_VOL_HIST_6MTH", F431)</f>
        <v>0</v>
      </c>
      <c r="K431">
        <f>_xll.ciqfunctions.udf.CIQ(A431, "IQ_LASTSALEPRICE", WORKDAY(F431,-1))</f>
        <v>28.78</v>
      </c>
      <c r="L431">
        <f>_xll.ciqfunctions.udf.CIQ(A431, "IQ_LASTSALEPRICE", F431)</f>
        <v>28.67</v>
      </c>
      <c r="M431">
        <f>_xll.ciqfunctions.udf.CIQ(A431, "IQ_LASTSALEPRICE", WORKDAY(F431,5))</f>
        <v>29.71</v>
      </c>
      <c r="N431">
        <f t="shared" si="12"/>
        <v>-3.8294215639432163E-3</v>
      </c>
      <c r="O431">
        <f t="shared" si="13"/>
        <v>3.1802988015294409E-2</v>
      </c>
      <c r="P431">
        <f>LN(_xll.ciqfunctions.udf.CIQ("XBI", "IQ_LASTSALEPRICE", WORKDAY(F431,-1))/_xll.ciqfunctions.udf.CIQ("XBI", "IQ_LASTSALEPRICE", WORKDAY(F431,1)))</f>
        <v>2.003952143294295E-2</v>
      </c>
      <c r="Q431">
        <f>LN(_xll.ciqfunctions.udf.CIQ("XBI", "IQ_LASTSALEPRICE", WORKDAY(F431,-1))/_xll.ciqfunctions.udf.CIQ("XBI", "IQ_LASTSALEPRICE", WORKDAY(F431,5)))</f>
        <v>4.2176793818372714E-2</v>
      </c>
      <c r="R431">
        <f>_xll.ciqfunctions.udf.CIQ(A431, "IQ_SHORT_INTEREST_PERCENT", F431)</f>
        <v>1.36724</v>
      </c>
      <c r="S431">
        <f>_xll.ciqfunctions.udf.CIQ(A431, "IQ_BETA_1YR_RSQ", F431)</f>
        <v>0.45612999999999998</v>
      </c>
      <c r="T431">
        <f>_xll.ciqfunctions.udf.CIQ(A431, "IQ_VALUE_TRADED", F431)</f>
        <v>7.6461699999999997</v>
      </c>
    </row>
    <row r="432" spans="1:20" x14ac:dyDescent="0.3">
      <c r="A432" t="s">
        <v>216</v>
      </c>
      <c r="B432">
        <v>132.12</v>
      </c>
      <c r="C432" t="s">
        <v>1354</v>
      </c>
      <c r="D432" t="s">
        <v>1355</v>
      </c>
      <c r="E432" t="s">
        <v>160</v>
      </c>
      <c r="F432" s="1">
        <v>45359</v>
      </c>
      <c r="G432" t="s">
        <v>1356</v>
      </c>
      <c r="I432">
        <f>_xll.ciqfunctions.udf.CIQ(A432, "IQ_MARKETCAP", F432)</f>
        <v>4038684.4876700002</v>
      </c>
      <c r="J432">
        <f>_xll.ciqfunctions.udf.CIQ(A432, "IQ_PRICE_VOL_HIST_6MTH", F432)</f>
        <v>30.504899999999999</v>
      </c>
      <c r="K432">
        <f>_xll.ciqfunctions.udf.CIQ(A432, "IQ_LASTSALEPRICE", WORKDAY(F432,-1))</f>
        <v>135.91999999999999</v>
      </c>
      <c r="L432">
        <f>_xll.ciqfunctions.udf.CIQ(A432, "IQ_LASTSALEPRICE", F432)</f>
        <v>133.07</v>
      </c>
      <c r="M432">
        <f>_xll.ciqfunctions.udf.CIQ(A432, "IQ_LASTSALEPRICE", WORKDAY(F432,5))</f>
        <v>132.37</v>
      </c>
      <c r="N432">
        <f t="shared" si="12"/>
        <v>-2.1191171808025405E-2</v>
      </c>
      <c r="O432">
        <f t="shared" si="13"/>
        <v>-2.6465445637997031E-2</v>
      </c>
      <c r="P432">
        <f>LN(_xll.ciqfunctions.udf.CIQ("XBI", "IQ_LASTSALEPRICE", WORKDAY(F432,-1))/_xll.ciqfunctions.udf.CIQ("XBI", "IQ_LASTSALEPRICE", WORKDAY(F432,1)))</f>
        <v>2.003952143294295E-2</v>
      </c>
      <c r="Q432">
        <f>LN(_xll.ciqfunctions.udf.CIQ("XBI", "IQ_LASTSALEPRICE", WORKDAY(F432,-1))/_xll.ciqfunctions.udf.CIQ("XBI", "IQ_LASTSALEPRICE", WORKDAY(F432,5)))</f>
        <v>4.2176793818372714E-2</v>
      </c>
      <c r="R432">
        <f>_xll.ciqfunctions.udf.CIQ(A432, "IQ_SHORT_INTEREST_PERCENT", F432)</f>
        <v>0</v>
      </c>
      <c r="S432">
        <f>_xll.ciqfunctions.udf.CIQ(A432, "IQ_BETA_1YR_RSQ", F432)</f>
        <v>0</v>
      </c>
      <c r="T432">
        <f>_xll.ciqfunctions.udf.CIQ(A432, "IQ_VALUE_TRADED", F432)</f>
        <v>1698.6441400000001</v>
      </c>
    </row>
    <row r="433" spans="1:20" x14ac:dyDescent="0.3">
      <c r="A433" t="s">
        <v>1357</v>
      </c>
      <c r="B433">
        <v>4.37</v>
      </c>
      <c r="C433" t="s">
        <v>1358</v>
      </c>
      <c r="D433" t="s">
        <v>900</v>
      </c>
      <c r="E433" t="s">
        <v>22</v>
      </c>
      <c r="F433" s="1">
        <v>45359</v>
      </c>
      <c r="G433" t="s">
        <v>1359</v>
      </c>
      <c r="H433">
        <v>60</v>
      </c>
      <c r="I433">
        <f>_xll.ciqfunctions.udf.CIQ(A433, "IQ_MARKETCAP", F433)</f>
        <v>253.06872000000001</v>
      </c>
      <c r="J433">
        <f>_xll.ciqfunctions.udf.CIQ(A433, "IQ_PRICE_VOL_HIST_6MTH", F433)</f>
        <v>86.230599999999995</v>
      </c>
      <c r="K433">
        <f>_xll.ciqfunctions.udf.CIQ(A433, "IQ_LASTSALEPRICE", WORKDAY(F433,-1))</f>
        <v>4.37</v>
      </c>
      <c r="L433">
        <f>_xll.ciqfunctions.udf.CIQ(A433, "IQ_LASTSALEPRICE", F433)</f>
        <v>4.37</v>
      </c>
      <c r="M433">
        <f>_xll.ciqfunctions.udf.CIQ(A433, "IQ_LASTSALEPRICE", WORKDAY(F433,5))</f>
        <v>4.18</v>
      </c>
      <c r="N433">
        <f t="shared" si="12"/>
        <v>0</v>
      </c>
      <c r="O433">
        <f t="shared" si="13"/>
        <v>-4.4451762570833921E-2</v>
      </c>
      <c r="P433">
        <f>LN(_xll.ciqfunctions.udf.CIQ("XBI", "IQ_LASTSALEPRICE", WORKDAY(F433,-1))/_xll.ciqfunctions.udf.CIQ("XBI", "IQ_LASTSALEPRICE", WORKDAY(F433,1)))</f>
        <v>2.003952143294295E-2</v>
      </c>
      <c r="Q433">
        <f>LN(_xll.ciqfunctions.udf.CIQ("XBI", "IQ_LASTSALEPRICE", WORKDAY(F433,-1))/_xll.ciqfunctions.udf.CIQ("XBI", "IQ_LASTSALEPRICE", WORKDAY(F433,5)))</f>
        <v>4.2176793818372714E-2</v>
      </c>
      <c r="R433">
        <f>_xll.ciqfunctions.udf.CIQ(A433, "IQ_SHORT_INTEREST_PERCENT", F433)</f>
        <v>1.17377</v>
      </c>
      <c r="S433">
        <f>_xll.ciqfunctions.udf.CIQ(A433, "IQ_BETA_1YR_RSQ", F433)</f>
        <v>5.985E-2</v>
      </c>
      <c r="T433">
        <f>_xll.ciqfunctions.udf.CIQ(A433, "IQ_VALUE_TRADED", F433)</f>
        <v>1.48282</v>
      </c>
    </row>
    <row r="434" spans="1:20" x14ac:dyDescent="0.3">
      <c r="A434" t="s">
        <v>935</v>
      </c>
      <c r="B434">
        <v>5.27</v>
      </c>
      <c r="C434" t="s">
        <v>1360</v>
      </c>
      <c r="D434" t="s">
        <v>1213</v>
      </c>
      <c r="E434" t="s">
        <v>36</v>
      </c>
      <c r="F434" s="1">
        <v>45359</v>
      </c>
      <c r="G434" t="s">
        <v>1361</v>
      </c>
      <c r="H434">
        <v>306</v>
      </c>
      <c r="I434">
        <f>_xll.ciqfunctions.udf.CIQ(A434, "IQ_MARKETCAP", F434)</f>
        <v>1425.1039900000001</v>
      </c>
      <c r="J434">
        <f>_xll.ciqfunctions.udf.CIQ(A434, "IQ_PRICE_VOL_HIST_6MTH", F434)</f>
        <v>57.243600000000001</v>
      </c>
      <c r="K434">
        <f>_xll.ciqfunctions.udf.CIQ(A434, "IQ_LASTSALEPRICE", WORKDAY(F434,-1))</f>
        <v>5.15</v>
      </c>
      <c r="L434">
        <f>_xll.ciqfunctions.udf.CIQ(A434, "IQ_LASTSALEPRICE", F434)</f>
        <v>5.27</v>
      </c>
      <c r="M434">
        <f>_xll.ciqfunctions.udf.CIQ(A434, "IQ_LASTSALEPRICE", WORKDAY(F434,5))</f>
        <v>4.47</v>
      </c>
      <c r="N434">
        <f t="shared" si="12"/>
        <v>2.3033647877626129E-2</v>
      </c>
      <c r="O434">
        <f t="shared" si="13"/>
        <v>-0.14160830605016742</v>
      </c>
      <c r="P434">
        <f>LN(_xll.ciqfunctions.udf.CIQ("XBI", "IQ_LASTSALEPRICE", WORKDAY(F434,-1))/_xll.ciqfunctions.udf.CIQ("XBI", "IQ_LASTSALEPRICE", WORKDAY(F434,1)))</f>
        <v>2.003952143294295E-2</v>
      </c>
      <c r="Q434">
        <f>LN(_xll.ciqfunctions.udf.CIQ("XBI", "IQ_LASTSALEPRICE", WORKDAY(F434,-1))/_xll.ciqfunctions.udf.CIQ("XBI", "IQ_LASTSALEPRICE", WORKDAY(F434,5)))</f>
        <v>4.2176793818372714E-2</v>
      </c>
      <c r="R434">
        <f>_xll.ciqfunctions.udf.CIQ(A434, "IQ_SHORT_INTEREST_PERCENT", F434)</f>
        <v>12.81512</v>
      </c>
      <c r="S434">
        <f>_xll.ciqfunctions.udf.CIQ(A434, "IQ_BETA_1YR_RSQ", F434)</f>
        <v>2.1520000000000001E-2</v>
      </c>
      <c r="T434">
        <f>_xll.ciqfunctions.udf.CIQ(A434, "IQ_VALUE_TRADED", F434)</f>
        <v>27.057279999999999</v>
      </c>
    </row>
    <row r="435" spans="1:20" x14ac:dyDescent="0.3">
      <c r="A435" t="s">
        <v>1362</v>
      </c>
      <c r="B435">
        <v>0.49</v>
      </c>
      <c r="C435" t="s">
        <v>1363</v>
      </c>
      <c r="D435" t="s">
        <v>1364</v>
      </c>
      <c r="E435" t="s">
        <v>22</v>
      </c>
      <c r="F435" s="1">
        <v>45359</v>
      </c>
      <c r="G435" t="s">
        <v>1365</v>
      </c>
      <c r="H435">
        <v>111</v>
      </c>
      <c r="I435">
        <f>_xll.ciqfunctions.udf.CIQ(A435, "IQ_MARKETCAP", F435)</f>
        <v>48.849910000000001</v>
      </c>
      <c r="J435">
        <f>_xll.ciqfunctions.udf.CIQ(A435, "IQ_PRICE_VOL_HIST_6MTH", F435)</f>
        <v>57.436399999999999</v>
      </c>
      <c r="K435">
        <f>_xll.ciqfunctions.udf.CIQ(A435, "IQ_LASTSALEPRICE", WORKDAY(F435,-1))</f>
        <v>0.51870000000000005</v>
      </c>
      <c r="L435">
        <f>_xll.ciqfunctions.udf.CIQ(A435, "IQ_LASTSALEPRICE", F435)</f>
        <v>0.48699999999999999</v>
      </c>
      <c r="M435">
        <f>_xll.ciqfunctions.udf.CIQ(A435, "IQ_LASTSALEPRICE", WORKDAY(F435,5))</f>
        <v>0.49969999999999998</v>
      </c>
      <c r="N435">
        <f t="shared" si="12"/>
        <v>-6.3061558274764798E-2</v>
      </c>
      <c r="O435">
        <f t="shared" si="13"/>
        <v>-3.7317763007195276E-2</v>
      </c>
      <c r="P435">
        <f>LN(_xll.ciqfunctions.udf.CIQ("XBI", "IQ_LASTSALEPRICE", WORKDAY(F435,-1))/_xll.ciqfunctions.udf.CIQ("XBI", "IQ_LASTSALEPRICE", WORKDAY(F435,1)))</f>
        <v>2.003952143294295E-2</v>
      </c>
      <c r="Q435">
        <f>LN(_xll.ciqfunctions.udf.CIQ("XBI", "IQ_LASTSALEPRICE", WORKDAY(F435,-1))/_xll.ciqfunctions.udf.CIQ("XBI", "IQ_LASTSALEPRICE", WORKDAY(F435,5)))</f>
        <v>4.2176793818372714E-2</v>
      </c>
      <c r="R435">
        <f>_xll.ciqfunctions.udf.CIQ(A435, "IQ_SHORT_INTEREST_PERCENT", F435)</f>
        <v>0.30575999999999998</v>
      </c>
      <c r="S435">
        <f>_xll.ciqfunctions.udf.CIQ(A435, "IQ_BETA_1YR_RSQ", F435)</f>
        <v>1.9650000000000001E-2</v>
      </c>
      <c r="T435">
        <f>_xll.ciqfunctions.udf.CIQ(A435, "IQ_VALUE_TRADED", F435)</f>
        <v>3.9350000000000003E-2</v>
      </c>
    </row>
    <row r="436" spans="1:20" x14ac:dyDescent="0.3">
      <c r="A436" t="s">
        <v>331</v>
      </c>
      <c r="B436">
        <v>11.15</v>
      </c>
      <c r="C436" t="s">
        <v>1366</v>
      </c>
      <c r="D436" t="s">
        <v>1367</v>
      </c>
      <c r="E436" t="s">
        <v>36</v>
      </c>
      <c r="F436" s="1">
        <v>45360</v>
      </c>
      <c r="G436" t="s">
        <v>1368</v>
      </c>
      <c r="H436">
        <v>119</v>
      </c>
      <c r="I436">
        <f>_xll.ciqfunctions.udf.CIQ(A436, "IQ_MARKETCAP", F436)</f>
        <v>1281.9295300000001</v>
      </c>
      <c r="J436">
        <f>_xll.ciqfunctions.udf.CIQ(A436, "IQ_PRICE_VOL_HIST_6MTH", F436)</f>
        <v>109.4401</v>
      </c>
      <c r="K436">
        <f>_xll.ciqfunctions.udf.CIQ(A436, "IQ_LASTSALEPRICE", WORKDAY(F436,-1))</f>
        <v>11.15</v>
      </c>
      <c r="L436">
        <f>_xll.ciqfunctions.udf.CIQ(A436, "IQ_LASTSALEPRICE", F436)</f>
        <v>11.15</v>
      </c>
      <c r="M436">
        <f>_xll.ciqfunctions.udf.CIQ(A436, "IQ_LASTSALEPRICE", WORKDAY(F436,5))</f>
        <v>10.66</v>
      </c>
      <c r="N436">
        <f t="shared" si="12"/>
        <v>0</v>
      </c>
      <c r="O436">
        <f t="shared" si="13"/>
        <v>-4.4941079168429321E-2</v>
      </c>
      <c r="P436">
        <f>LN(_xll.ciqfunctions.udf.CIQ("XBI", "IQ_LASTSALEPRICE", WORKDAY(F436,-1))/_xll.ciqfunctions.udf.CIQ("XBI", "IQ_LASTSALEPRICE", WORKDAY(F436,1)))</f>
        <v>2.1657808425135035E-2</v>
      </c>
      <c r="Q436">
        <f>LN(_xll.ciqfunctions.udf.CIQ("XBI", "IQ_LASTSALEPRICE", WORKDAY(F436,-1))/_xll.ciqfunctions.udf.CIQ("XBI", "IQ_LASTSALEPRICE", WORKDAY(F436,5)))</f>
        <v>4.3795080810564831E-2</v>
      </c>
      <c r="R436">
        <f>_xll.ciqfunctions.udf.CIQ(A436, "IQ_SHORT_INTEREST_PERCENT", F436)</f>
        <v>14.736090000000001</v>
      </c>
      <c r="S436">
        <f>_xll.ciqfunctions.udf.CIQ(A436, "IQ_BETA_1YR_RSQ", F436)</f>
        <v>9.4070000000000001E-2</v>
      </c>
      <c r="T436">
        <f>_xll.ciqfunctions.udf.CIQ(A436, "IQ_VALUE_TRADED", F436)</f>
        <v>0</v>
      </c>
    </row>
    <row r="437" spans="1:20" x14ac:dyDescent="0.3">
      <c r="A437" t="s">
        <v>1369</v>
      </c>
      <c r="B437">
        <v>47.05</v>
      </c>
      <c r="C437" t="s">
        <v>1370</v>
      </c>
      <c r="D437" t="s">
        <v>1371</v>
      </c>
      <c r="E437" t="s">
        <v>197</v>
      </c>
      <c r="F437" s="1">
        <v>45361</v>
      </c>
      <c r="G437" t="s">
        <v>1372</v>
      </c>
      <c r="H437">
        <v>64</v>
      </c>
      <c r="I437">
        <f>_xll.ciqfunctions.udf.CIQ(A437, "IQ_MARKETCAP", F437)</f>
        <v>2867.7121900000002</v>
      </c>
      <c r="J437">
        <f>_xll.ciqfunctions.udf.CIQ(A437, "IQ_PRICE_VOL_HIST_6MTH", F437)</f>
        <v>82.388400000000004</v>
      </c>
      <c r="K437">
        <f>_xll.ciqfunctions.udf.CIQ(A437, "IQ_LASTSALEPRICE", WORKDAY(F437,-1))</f>
        <v>45.61</v>
      </c>
      <c r="L437">
        <f>_xll.ciqfunctions.udf.CIQ(A437, "IQ_LASTSALEPRICE", F437)</f>
        <v>45.61</v>
      </c>
      <c r="M437">
        <f>_xll.ciqfunctions.udf.CIQ(A437, "IQ_LASTSALEPRICE", WORKDAY(F437,5))</f>
        <v>47.25</v>
      </c>
      <c r="N437">
        <f t="shared" si="12"/>
        <v>0</v>
      </c>
      <c r="O437">
        <f t="shared" si="13"/>
        <v>3.5325663216142722E-2</v>
      </c>
      <c r="P437">
        <f>LN(_xll.ciqfunctions.udf.CIQ("XBI", "IQ_LASTSALEPRICE", WORKDAY(F437,-1))/_xll.ciqfunctions.udf.CIQ("XBI", "IQ_LASTSALEPRICE", WORKDAY(F437,1)))</f>
        <v>2.1657808425135035E-2</v>
      </c>
      <c r="Q437">
        <f>LN(_xll.ciqfunctions.udf.CIQ("XBI", "IQ_LASTSALEPRICE", WORKDAY(F437,-1))/_xll.ciqfunctions.udf.CIQ("XBI", "IQ_LASTSALEPRICE", WORKDAY(F437,5)))</f>
        <v>4.3795080810564831E-2</v>
      </c>
      <c r="R437">
        <f>_xll.ciqfunctions.udf.CIQ(A437, "IQ_SHORT_INTEREST_PERCENT", F437)</f>
        <v>10.51676</v>
      </c>
      <c r="S437">
        <f>_xll.ciqfunctions.udf.CIQ(A437, "IQ_BETA_1YR_RSQ", F437)</f>
        <v>3.1119999999999998E-2</v>
      </c>
      <c r="T437">
        <f>_xll.ciqfunctions.udf.CIQ(A437, "IQ_VALUE_TRADED", F437)</f>
        <v>0</v>
      </c>
    </row>
    <row r="438" spans="1:20" x14ac:dyDescent="0.3">
      <c r="A438" t="s">
        <v>331</v>
      </c>
      <c r="B438">
        <v>10.039999999999999</v>
      </c>
      <c r="C438" t="s">
        <v>1373</v>
      </c>
      <c r="D438" t="s">
        <v>1374</v>
      </c>
      <c r="E438" t="s">
        <v>36</v>
      </c>
      <c r="F438" s="1">
        <v>45361</v>
      </c>
      <c r="G438" t="s">
        <v>1375</v>
      </c>
      <c r="H438">
        <v>119</v>
      </c>
      <c r="I438">
        <f>_xll.ciqfunctions.udf.CIQ(A438, "IQ_MARKETCAP", F438)</f>
        <v>1281.9295300000001</v>
      </c>
      <c r="J438">
        <f>_xll.ciqfunctions.udf.CIQ(A438, "IQ_PRICE_VOL_HIST_6MTH", F438)</f>
        <v>109.4401</v>
      </c>
      <c r="K438">
        <f>_xll.ciqfunctions.udf.CIQ(A438, "IQ_LASTSALEPRICE", WORKDAY(F438,-1))</f>
        <v>11.15</v>
      </c>
      <c r="L438">
        <f>_xll.ciqfunctions.udf.CIQ(A438, "IQ_LASTSALEPRICE", F438)</f>
        <v>11.15</v>
      </c>
      <c r="M438">
        <f>_xll.ciqfunctions.udf.CIQ(A438, "IQ_LASTSALEPRICE", WORKDAY(F438,5))</f>
        <v>10.66</v>
      </c>
      <c r="N438">
        <f t="shared" si="12"/>
        <v>0</v>
      </c>
      <c r="O438">
        <f t="shared" si="13"/>
        <v>-4.4941079168429321E-2</v>
      </c>
      <c r="P438">
        <f>LN(_xll.ciqfunctions.udf.CIQ("XBI", "IQ_LASTSALEPRICE", WORKDAY(F438,-1))/_xll.ciqfunctions.udf.CIQ("XBI", "IQ_LASTSALEPRICE", WORKDAY(F438,1)))</f>
        <v>2.1657808425135035E-2</v>
      </c>
      <c r="Q438">
        <f>LN(_xll.ciqfunctions.udf.CIQ("XBI", "IQ_LASTSALEPRICE", WORKDAY(F438,-1))/_xll.ciqfunctions.udf.CIQ("XBI", "IQ_LASTSALEPRICE", WORKDAY(F438,5)))</f>
        <v>4.3795080810564831E-2</v>
      </c>
      <c r="R438">
        <f>_xll.ciqfunctions.udf.CIQ(A438, "IQ_SHORT_INTEREST_PERCENT", F438)</f>
        <v>14.736090000000001</v>
      </c>
      <c r="S438">
        <f>_xll.ciqfunctions.udf.CIQ(A438, "IQ_BETA_1YR_RSQ", F438)</f>
        <v>9.4070000000000001E-2</v>
      </c>
      <c r="T438">
        <f>_xll.ciqfunctions.udf.CIQ(A438, "IQ_VALUE_TRADED", F438)</f>
        <v>0</v>
      </c>
    </row>
    <row r="439" spans="1:20" x14ac:dyDescent="0.3">
      <c r="A439" t="s">
        <v>1376</v>
      </c>
      <c r="B439">
        <v>2.81</v>
      </c>
      <c r="C439" t="s">
        <v>1377</v>
      </c>
      <c r="D439" t="s">
        <v>1378</v>
      </c>
      <c r="E439" t="s">
        <v>154</v>
      </c>
      <c r="F439" s="1">
        <v>45362</v>
      </c>
      <c r="G439" t="s">
        <v>1379</v>
      </c>
      <c r="H439">
        <v>363</v>
      </c>
      <c r="I439">
        <f>_xll.ciqfunctions.udf.CIQ(A439, "IQ_MARKETCAP", F439)</f>
        <v>685.70938999999998</v>
      </c>
      <c r="J439">
        <f>_xll.ciqfunctions.udf.CIQ(A439, "IQ_PRICE_VOL_HIST_6MTH", F439)</f>
        <v>107.50320000000001</v>
      </c>
      <c r="K439">
        <f>_xll.ciqfunctions.udf.CIQ(A439, "IQ_LASTSALEPRICE", WORKDAY(F439,-1))</f>
        <v>2.17</v>
      </c>
      <c r="L439">
        <f>_xll.ciqfunctions.udf.CIQ(A439, "IQ_LASTSALEPRICE", F439)</f>
        <v>2.81</v>
      </c>
      <c r="M439">
        <f>_xll.ciqfunctions.udf.CIQ(A439, "IQ_LASTSALEPRICE", WORKDAY(F439,5))</f>
        <v>2.52</v>
      </c>
      <c r="N439">
        <f t="shared" si="12"/>
        <v>0.25845731579328624</v>
      </c>
      <c r="O439">
        <f t="shared" si="13"/>
        <v>0.14953173397096384</v>
      </c>
      <c r="P439">
        <f>LN(_xll.ciqfunctions.udf.CIQ("XBI", "IQ_LASTSALEPRICE", WORKDAY(F439,-1))/_xll.ciqfunctions.udf.CIQ("XBI", "IQ_LASTSALEPRICE", WORKDAY(F439,1)))</f>
        <v>2.8185314376913836E-2</v>
      </c>
      <c r="Q439">
        <f>LN(_xll.ciqfunctions.udf.CIQ("XBI", "IQ_LASTSALEPRICE", WORKDAY(F439,-1))/_xll.ciqfunctions.udf.CIQ("XBI", "IQ_LASTSALEPRICE", WORKDAY(F439,5)))</f>
        <v>6.2552957881121682E-2</v>
      </c>
      <c r="R439">
        <f>_xll.ciqfunctions.udf.CIQ(A439, "IQ_SHORT_INTEREST_PERCENT", F439)</f>
        <v>8.6325299999999991</v>
      </c>
      <c r="S439">
        <f>_xll.ciqfunctions.udf.CIQ(A439, "IQ_BETA_1YR_RSQ", F439)</f>
        <v>3.61E-2</v>
      </c>
      <c r="T439">
        <f>_xll.ciqfunctions.udf.CIQ(A439, "IQ_VALUE_TRADED", F439)</f>
        <v>82.883499999999998</v>
      </c>
    </row>
    <row r="440" spans="1:20" x14ac:dyDescent="0.3">
      <c r="A440" t="s">
        <v>1380</v>
      </c>
      <c r="B440">
        <v>273.41000000000003</v>
      </c>
      <c r="C440" t="s">
        <v>1381</v>
      </c>
      <c r="D440" t="s">
        <v>1382</v>
      </c>
      <c r="E440" t="s">
        <v>36</v>
      </c>
      <c r="F440" s="1">
        <v>45362</v>
      </c>
      <c r="G440" t="s">
        <v>1383</v>
      </c>
      <c r="H440">
        <v>538</v>
      </c>
      <c r="I440">
        <f>_xll.ciqfunctions.udf.CIQ(A440, "IQ_MARKETCAP", F440)</f>
        <v>147570.62857999999</v>
      </c>
      <c r="J440">
        <f>_xll.ciqfunctions.udf.CIQ(A440, "IQ_PRICE_VOL_HIST_6MTH", F440)</f>
        <v>22.751000000000001</v>
      </c>
      <c r="K440">
        <f>_xll.ciqfunctions.udf.CIQ(A440, "IQ_LASTSALEPRICE", WORKDAY(F440,-1))</f>
        <v>273.75</v>
      </c>
      <c r="L440">
        <f>_xll.ciqfunctions.udf.CIQ(A440, "IQ_LASTSALEPRICE", F440)</f>
        <v>275.36</v>
      </c>
      <c r="M440">
        <f>_xll.ciqfunctions.udf.CIQ(A440, "IQ_LASTSALEPRICE", WORKDAY(F440,5))</f>
        <v>270.89999999999998</v>
      </c>
      <c r="N440">
        <f t="shared" si="12"/>
        <v>5.8640513325188539E-3</v>
      </c>
      <c r="O440">
        <f t="shared" si="13"/>
        <v>-1.0465532039661263E-2</v>
      </c>
      <c r="P440">
        <f>LN(_xll.ciqfunctions.udf.CIQ("XBI", "IQ_LASTSALEPRICE", WORKDAY(F440,-1))/_xll.ciqfunctions.udf.CIQ("XBI", "IQ_LASTSALEPRICE", WORKDAY(F440,1)))</f>
        <v>2.8185314376913836E-2</v>
      </c>
      <c r="Q440">
        <f>LN(_xll.ciqfunctions.udf.CIQ("XBI", "IQ_LASTSALEPRICE", WORKDAY(F440,-1))/_xll.ciqfunctions.udf.CIQ("XBI", "IQ_LASTSALEPRICE", WORKDAY(F440,5)))</f>
        <v>6.2552957881121682E-2</v>
      </c>
      <c r="R440">
        <f>_xll.ciqfunctions.udf.CIQ(A440, "IQ_SHORT_INTEREST_PERCENT", F440)</f>
        <v>2.0559400000000001</v>
      </c>
      <c r="S440">
        <f>_xll.ciqfunctions.udf.CIQ(A440, "IQ_BETA_1YR_RSQ", F440)</f>
        <v>1.736E-2</v>
      </c>
      <c r="T440">
        <f>_xll.ciqfunctions.udf.CIQ(A440, "IQ_VALUE_TRADED", F440)</f>
        <v>509.72550999999999</v>
      </c>
    </row>
    <row r="441" spans="1:20" x14ac:dyDescent="0.3">
      <c r="A441" t="s">
        <v>13</v>
      </c>
      <c r="B441">
        <v>60.79</v>
      </c>
      <c r="C441" t="s">
        <v>231</v>
      </c>
      <c r="D441" t="s">
        <v>232</v>
      </c>
      <c r="E441" t="s">
        <v>76</v>
      </c>
      <c r="F441" s="1">
        <v>45362</v>
      </c>
      <c r="G441" t="s">
        <v>1384</v>
      </c>
      <c r="H441">
        <v>195</v>
      </c>
      <c r="I441">
        <f>_xll.ciqfunctions.udf.CIQ(A441, "IQ_MARKETCAP", F441)</f>
        <v>13648.94332</v>
      </c>
      <c r="J441">
        <f>_xll.ciqfunctions.udf.CIQ(A441, "IQ_PRICE_VOL_HIST_6MTH", F441)</f>
        <v>27.945</v>
      </c>
      <c r="K441">
        <f>_xll.ciqfunctions.udf.CIQ(A441, "IQ_LASTSALEPRICE", WORKDAY(F441,-1))</f>
        <v>60.02</v>
      </c>
      <c r="L441">
        <f>_xll.ciqfunctions.udf.CIQ(A441, "IQ_LASTSALEPRICE", F441)</f>
        <v>60.79</v>
      </c>
      <c r="M441">
        <f>_xll.ciqfunctions.udf.CIQ(A441, "IQ_LASTSALEPRICE", WORKDAY(F441,5))</f>
        <v>57.34</v>
      </c>
      <c r="N441">
        <f t="shared" si="12"/>
        <v>1.2747461748410073E-2</v>
      </c>
      <c r="O441">
        <f t="shared" si="13"/>
        <v>-4.5679379556997295E-2</v>
      </c>
      <c r="P441">
        <f>LN(_xll.ciqfunctions.udf.CIQ("XBI", "IQ_LASTSALEPRICE", WORKDAY(F441,-1))/_xll.ciqfunctions.udf.CIQ("XBI", "IQ_LASTSALEPRICE", WORKDAY(F441,1)))</f>
        <v>2.8185314376913836E-2</v>
      </c>
      <c r="Q441">
        <f>LN(_xll.ciqfunctions.udf.CIQ("XBI", "IQ_LASTSALEPRICE", WORKDAY(F441,-1))/_xll.ciqfunctions.udf.CIQ("XBI", "IQ_LASTSALEPRICE", WORKDAY(F441,5)))</f>
        <v>6.2552957881121682E-2</v>
      </c>
      <c r="R441">
        <f>_xll.ciqfunctions.udf.CIQ(A441, "IQ_SHORT_INTEREST_PERCENT", F441)</f>
        <v>3.4624700000000002</v>
      </c>
      <c r="S441">
        <f>_xll.ciqfunctions.udf.CIQ(A441, "IQ_BETA_1YR_RSQ", F441)</f>
        <v>0.16217999999999999</v>
      </c>
      <c r="T441">
        <f>_xll.ciqfunctions.udf.CIQ(A441, "IQ_VALUE_TRADED", F441)</f>
        <v>133.32158999999999</v>
      </c>
    </row>
    <row r="442" spans="1:20" x14ac:dyDescent="0.3">
      <c r="A442" t="s">
        <v>13</v>
      </c>
      <c r="B442">
        <v>60.79</v>
      </c>
      <c r="C442" t="s">
        <v>1385</v>
      </c>
      <c r="D442" t="s">
        <v>1386</v>
      </c>
      <c r="E442" t="s">
        <v>76</v>
      </c>
      <c r="F442" s="1">
        <v>45362</v>
      </c>
      <c r="G442" t="s">
        <v>1387</v>
      </c>
      <c r="H442">
        <v>195</v>
      </c>
      <c r="I442">
        <f>_xll.ciqfunctions.udf.CIQ(A442, "IQ_MARKETCAP", F442)</f>
        <v>13648.94332</v>
      </c>
      <c r="J442">
        <f>_xll.ciqfunctions.udf.CIQ(A442, "IQ_PRICE_VOL_HIST_6MTH", F442)</f>
        <v>27.945</v>
      </c>
      <c r="K442">
        <f>_xll.ciqfunctions.udf.CIQ(A442, "IQ_LASTSALEPRICE", WORKDAY(F442,-1))</f>
        <v>60.02</v>
      </c>
      <c r="L442">
        <f>_xll.ciqfunctions.udf.CIQ(A442, "IQ_LASTSALEPRICE", F442)</f>
        <v>60.79</v>
      </c>
      <c r="M442">
        <f>_xll.ciqfunctions.udf.CIQ(A442, "IQ_LASTSALEPRICE", WORKDAY(F442,5))</f>
        <v>57.34</v>
      </c>
      <c r="N442">
        <f t="shared" si="12"/>
        <v>1.2747461748410073E-2</v>
      </c>
      <c r="O442">
        <f t="shared" si="13"/>
        <v>-4.5679379556997295E-2</v>
      </c>
      <c r="P442">
        <f>LN(_xll.ciqfunctions.udf.CIQ("XBI", "IQ_LASTSALEPRICE", WORKDAY(F442,-1))/_xll.ciqfunctions.udf.CIQ("XBI", "IQ_LASTSALEPRICE", WORKDAY(F442,1)))</f>
        <v>2.8185314376913836E-2</v>
      </c>
      <c r="Q442">
        <f>LN(_xll.ciqfunctions.udf.CIQ("XBI", "IQ_LASTSALEPRICE", WORKDAY(F442,-1))/_xll.ciqfunctions.udf.CIQ("XBI", "IQ_LASTSALEPRICE", WORKDAY(F442,5)))</f>
        <v>6.2552957881121682E-2</v>
      </c>
      <c r="R442">
        <f>_xll.ciqfunctions.udf.CIQ(A442, "IQ_SHORT_INTEREST_PERCENT", F442)</f>
        <v>3.4624700000000002</v>
      </c>
      <c r="S442">
        <f>_xll.ciqfunctions.udf.CIQ(A442, "IQ_BETA_1YR_RSQ", F442)</f>
        <v>0.16217999999999999</v>
      </c>
      <c r="T442">
        <f>_xll.ciqfunctions.udf.CIQ(A442, "IQ_VALUE_TRADED", F442)</f>
        <v>133.32158999999999</v>
      </c>
    </row>
    <row r="443" spans="1:20" x14ac:dyDescent="0.3">
      <c r="A443" t="s">
        <v>1297</v>
      </c>
      <c r="B443">
        <v>13.04</v>
      </c>
      <c r="C443" t="s">
        <v>1388</v>
      </c>
      <c r="D443" t="s">
        <v>1389</v>
      </c>
      <c r="E443" t="s">
        <v>197</v>
      </c>
      <c r="F443" s="1">
        <v>45362</v>
      </c>
      <c r="G443" t="s">
        <v>1390</v>
      </c>
      <c r="H443">
        <v>2</v>
      </c>
      <c r="I443" t="str">
        <f>_xll.ciqfunctions.udf.CIQ(A443, "IQ_MARKETCAP", F443)</f>
        <v>(Invalid Identifier)</v>
      </c>
      <c r="J443" t="str">
        <f>_xll.ciqfunctions.udf.CIQ(A443, "IQ_PRICE_VOL_HIST_6MTH", F443)</f>
        <v>(Invalid Identifier)</v>
      </c>
      <c r="K443" t="str">
        <f>_xll.ciqfunctions.udf.CIQ(A443, "IQ_LASTSALEPRICE", WORKDAY(F443,-1))</f>
        <v>(Invalid Identifier)</v>
      </c>
      <c r="L443" t="str">
        <f>_xll.ciqfunctions.udf.CIQ(A443, "IQ_LASTSALEPRICE", F443)</f>
        <v>(Invalid Identifier)</v>
      </c>
      <c r="M443" t="str">
        <f>_xll.ciqfunctions.udf.CIQ(A443, "IQ_LASTSALEPRICE", WORKDAY(F443,5))</f>
        <v>(Invalid Identifier)</v>
      </c>
      <c r="N443" t="e">
        <f t="shared" si="12"/>
        <v>#VALUE!</v>
      </c>
      <c r="O443" t="e">
        <f t="shared" si="13"/>
        <v>#VALUE!</v>
      </c>
      <c r="P443">
        <f>LN(_xll.ciqfunctions.udf.CIQ("XBI", "IQ_LASTSALEPRICE", WORKDAY(F443,-1))/_xll.ciqfunctions.udf.CIQ("XBI", "IQ_LASTSALEPRICE", WORKDAY(F443,1)))</f>
        <v>2.8185314376913836E-2</v>
      </c>
      <c r="Q443">
        <f>LN(_xll.ciqfunctions.udf.CIQ("XBI", "IQ_LASTSALEPRICE", WORKDAY(F443,-1))/_xll.ciqfunctions.udf.CIQ("XBI", "IQ_LASTSALEPRICE", WORKDAY(F443,5)))</f>
        <v>6.2552957881121682E-2</v>
      </c>
      <c r="R443" t="str">
        <f>_xll.ciqfunctions.udf.CIQ(A443, "IQ_SHORT_INTEREST_PERCENT", F443)</f>
        <v>(Invalid Identifier)</v>
      </c>
      <c r="S443" t="str">
        <f>_xll.ciqfunctions.udf.CIQ(A443, "IQ_BETA_1YR_RSQ", F443)</f>
        <v>(Invalid Identifier)</v>
      </c>
      <c r="T443" t="str">
        <f>_xll.ciqfunctions.udf.CIQ(A443, "IQ_VALUE_TRADED", F443)</f>
        <v>(Invalid Identifier)</v>
      </c>
    </row>
    <row r="444" spans="1:20" x14ac:dyDescent="0.3">
      <c r="A444" t="s">
        <v>224</v>
      </c>
      <c r="B444">
        <v>14.13</v>
      </c>
      <c r="C444" t="s">
        <v>225</v>
      </c>
      <c r="D444" t="s">
        <v>226</v>
      </c>
      <c r="E444" t="s">
        <v>46</v>
      </c>
      <c r="F444" s="1">
        <v>45362</v>
      </c>
      <c r="G444" t="s">
        <v>1391</v>
      </c>
      <c r="H444">
        <v>76</v>
      </c>
      <c r="I444">
        <f>_xll.ciqfunctions.udf.CIQ(A444, "IQ_MARKETCAP", F444)</f>
        <v>690.87341000000004</v>
      </c>
      <c r="J444">
        <f>_xll.ciqfunctions.udf.CIQ(A444, "IQ_PRICE_VOL_HIST_6MTH", F444)</f>
        <v>85.708799999999997</v>
      </c>
      <c r="K444">
        <f>_xll.ciqfunctions.udf.CIQ(A444, "IQ_LASTSALEPRICE", WORKDAY(F444,-1))</f>
        <v>14.85</v>
      </c>
      <c r="L444">
        <f>_xll.ciqfunctions.udf.CIQ(A444, "IQ_LASTSALEPRICE", F444)</f>
        <v>14.13</v>
      </c>
      <c r="M444">
        <f>_xll.ciqfunctions.udf.CIQ(A444, "IQ_LASTSALEPRICE", WORKDAY(F444,5))</f>
        <v>12.84</v>
      </c>
      <c r="N444">
        <f t="shared" si="12"/>
        <v>-4.9699668552272529E-2</v>
      </c>
      <c r="O444">
        <f t="shared" si="13"/>
        <v>-0.1454345669868935</v>
      </c>
      <c r="P444">
        <f>LN(_xll.ciqfunctions.udf.CIQ("XBI", "IQ_LASTSALEPRICE", WORKDAY(F444,-1))/_xll.ciqfunctions.udf.CIQ("XBI", "IQ_LASTSALEPRICE", WORKDAY(F444,1)))</f>
        <v>2.8185314376913836E-2</v>
      </c>
      <c r="Q444">
        <f>LN(_xll.ciqfunctions.udf.CIQ("XBI", "IQ_LASTSALEPRICE", WORKDAY(F444,-1))/_xll.ciqfunctions.udf.CIQ("XBI", "IQ_LASTSALEPRICE", WORKDAY(F444,5)))</f>
        <v>6.2552957881121682E-2</v>
      </c>
      <c r="R444">
        <f>_xll.ciqfunctions.udf.CIQ(A444, "IQ_SHORT_INTEREST_PERCENT", F444)</f>
        <v>14.00249</v>
      </c>
      <c r="S444">
        <f>_xll.ciqfunctions.udf.CIQ(A444, "IQ_BETA_1YR_RSQ", F444)</f>
        <v>0.1782</v>
      </c>
      <c r="T444">
        <f>_xll.ciqfunctions.udf.CIQ(A444, "IQ_VALUE_TRADED", F444)</f>
        <v>12.81804</v>
      </c>
    </row>
    <row r="445" spans="1:20" x14ac:dyDescent="0.3">
      <c r="A445" t="s">
        <v>1392</v>
      </c>
      <c r="B445">
        <v>2.0699999999999998</v>
      </c>
      <c r="C445" t="s">
        <v>1393</v>
      </c>
      <c r="D445" t="s">
        <v>1394</v>
      </c>
      <c r="E445" t="s">
        <v>17</v>
      </c>
      <c r="F445" s="1">
        <v>45362</v>
      </c>
      <c r="G445" t="s">
        <v>1395</v>
      </c>
      <c r="H445">
        <v>6</v>
      </c>
      <c r="I445">
        <f>_xll.ciqfunctions.udf.CIQ(A445, "IQ_MARKETCAP", F445)</f>
        <v>6.3538899999999998</v>
      </c>
      <c r="J445">
        <f>_xll.ciqfunctions.udf.CIQ(A445, "IQ_PRICE_VOL_HIST_6MTH", F445)</f>
        <v>97.785499999999999</v>
      </c>
      <c r="K445">
        <f>_xll.ciqfunctions.udf.CIQ(A445, "IQ_LASTSALEPRICE", WORKDAY(F445,-1))</f>
        <v>14.8</v>
      </c>
      <c r="L445">
        <f>_xll.ciqfunctions.udf.CIQ(A445, "IQ_LASTSALEPRICE", F445)</f>
        <v>16.559999999999999</v>
      </c>
      <c r="M445">
        <f>_xll.ciqfunctions.udf.CIQ(A445, "IQ_LASTSALEPRICE", WORKDAY(F445,5))</f>
        <v>18.079999999999998</v>
      </c>
      <c r="N445">
        <f t="shared" si="12"/>
        <v>0.11236296818704417</v>
      </c>
      <c r="O445">
        <f t="shared" si="13"/>
        <v>0.20017917419396083</v>
      </c>
      <c r="P445">
        <f>LN(_xll.ciqfunctions.udf.CIQ("XBI", "IQ_LASTSALEPRICE", WORKDAY(F445,-1))/_xll.ciqfunctions.udf.CIQ("XBI", "IQ_LASTSALEPRICE", WORKDAY(F445,1)))</f>
        <v>2.8185314376913836E-2</v>
      </c>
      <c r="Q445">
        <f>LN(_xll.ciqfunctions.udf.CIQ("XBI", "IQ_LASTSALEPRICE", WORKDAY(F445,-1))/_xll.ciqfunctions.udf.CIQ("XBI", "IQ_LASTSALEPRICE", WORKDAY(F445,5)))</f>
        <v>6.2552957881121682E-2</v>
      </c>
      <c r="R445">
        <f>_xll.ciqfunctions.udf.CIQ(A445, "IQ_SHORT_INTEREST_PERCENT", F445)</f>
        <v>8.2773400000000006</v>
      </c>
      <c r="S445">
        <f>_xll.ciqfunctions.udf.CIQ(A445, "IQ_BETA_1YR_RSQ", F445)</f>
        <v>4.156E-2</v>
      </c>
      <c r="T445">
        <f>_xll.ciqfunctions.udf.CIQ(A445, "IQ_VALUE_TRADED", F445)</f>
        <v>6.5385999999999997</v>
      </c>
    </row>
    <row r="446" spans="1:20" x14ac:dyDescent="0.3">
      <c r="A446" t="s">
        <v>1396</v>
      </c>
      <c r="B446">
        <v>6.77</v>
      </c>
      <c r="C446" t="s">
        <v>1397</v>
      </c>
      <c r="D446" t="s">
        <v>104</v>
      </c>
      <c r="E446" t="s">
        <v>184</v>
      </c>
      <c r="F446" s="1">
        <v>45362</v>
      </c>
      <c r="G446" t="s">
        <v>1398</v>
      </c>
      <c r="H446">
        <v>5</v>
      </c>
      <c r="I446">
        <f>_xll.ciqfunctions.udf.CIQ(A446, "IQ_MARKETCAP", F446)</f>
        <v>25.297280000000001</v>
      </c>
      <c r="J446">
        <f>_xll.ciqfunctions.udf.CIQ(A446, "IQ_PRICE_VOL_HIST_6MTH", F446)</f>
        <v>96.621799999999993</v>
      </c>
      <c r="K446">
        <f>_xll.ciqfunctions.udf.CIQ(A446, "IQ_LASTSALEPRICE", WORKDAY(F446,-1))</f>
        <v>7.13</v>
      </c>
      <c r="L446">
        <f>_xll.ciqfunctions.udf.CIQ(A446, "IQ_LASTSALEPRICE", F446)</f>
        <v>6.77</v>
      </c>
      <c r="M446">
        <f>_xll.ciqfunctions.udf.CIQ(A446, "IQ_LASTSALEPRICE", WORKDAY(F446,5))</f>
        <v>6.55</v>
      </c>
      <c r="N446">
        <f t="shared" si="12"/>
        <v>-5.181014750202094E-2</v>
      </c>
      <c r="O446">
        <f t="shared" si="13"/>
        <v>-8.484618477904407E-2</v>
      </c>
      <c r="P446">
        <f>LN(_xll.ciqfunctions.udf.CIQ("XBI", "IQ_LASTSALEPRICE", WORKDAY(F446,-1))/_xll.ciqfunctions.udf.CIQ("XBI", "IQ_LASTSALEPRICE", WORKDAY(F446,1)))</f>
        <v>2.8185314376913836E-2</v>
      </c>
      <c r="Q446">
        <f>LN(_xll.ciqfunctions.udf.CIQ("XBI", "IQ_LASTSALEPRICE", WORKDAY(F446,-1))/_xll.ciqfunctions.udf.CIQ("XBI", "IQ_LASTSALEPRICE", WORKDAY(F446,5)))</f>
        <v>6.2552957881121682E-2</v>
      </c>
      <c r="R446">
        <f>_xll.ciqfunctions.udf.CIQ(A446, "IQ_SHORT_INTEREST_PERCENT", F446)</f>
        <v>1.8774200000000001</v>
      </c>
      <c r="S446">
        <f>_xll.ciqfunctions.udf.CIQ(A446, "IQ_BETA_1YR_RSQ", F446)</f>
        <v>4.5080000000000002E-2</v>
      </c>
      <c r="T446">
        <f>_xll.ciqfunctions.udf.CIQ(A446, "IQ_VALUE_TRADED", F446)</f>
        <v>7.8027600000000001</v>
      </c>
    </row>
    <row r="447" spans="1:20" x14ac:dyDescent="0.3">
      <c r="A447" t="s">
        <v>488</v>
      </c>
      <c r="B447">
        <v>733.16</v>
      </c>
      <c r="C447" t="s">
        <v>1399</v>
      </c>
      <c r="D447" t="s">
        <v>1400</v>
      </c>
      <c r="E447" t="s">
        <v>36</v>
      </c>
      <c r="F447" s="1">
        <v>45362</v>
      </c>
      <c r="G447" t="s">
        <v>1401</v>
      </c>
      <c r="H447">
        <v>946</v>
      </c>
      <c r="I447">
        <f>_xll.ciqfunctions.udf.CIQ(A447, "IQ_MARKETCAP", F447)</f>
        <v>661053.76861999999</v>
      </c>
      <c r="J447">
        <f>_xll.ciqfunctions.udf.CIQ(A447, "IQ_PRICE_VOL_HIST_6MTH", F447)</f>
        <v>29.172000000000001</v>
      </c>
      <c r="K447">
        <f>_xll.ciqfunctions.udf.CIQ(A447, "IQ_LASTSALEPRICE", WORKDAY(F447,-1))</f>
        <v>762.14</v>
      </c>
      <c r="L447">
        <f>_xll.ciqfunctions.udf.CIQ(A447, "IQ_LASTSALEPRICE", F447)</f>
        <v>734.37</v>
      </c>
      <c r="M447">
        <f>_xll.ciqfunctions.udf.CIQ(A447, "IQ_LASTSALEPRICE", WORKDAY(F447,5))</f>
        <v>762.66</v>
      </c>
      <c r="N447">
        <f t="shared" si="12"/>
        <v>-3.7117277046314998E-2</v>
      </c>
      <c r="O447">
        <f t="shared" si="13"/>
        <v>6.8205668961005765E-4</v>
      </c>
      <c r="P447">
        <f>LN(_xll.ciqfunctions.udf.CIQ("XBI", "IQ_LASTSALEPRICE", WORKDAY(F447,-1))/_xll.ciqfunctions.udf.CIQ("XBI", "IQ_LASTSALEPRICE", WORKDAY(F447,1)))</f>
        <v>2.8185314376913836E-2</v>
      </c>
      <c r="Q447">
        <f>LN(_xll.ciqfunctions.udf.CIQ("XBI", "IQ_LASTSALEPRICE", WORKDAY(F447,-1))/_xll.ciqfunctions.udf.CIQ("XBI", "IQ_LASTSALEPRICE", WORKDAY(F447,5)))</f>
        <v>6.2552957881121682E-2</v>
      </c>
      <c r="R447">
        <f>_xll.ciqfunctions.udf.CIQ(A447, "IQ_SHORT_INTEREST_PERCENT", F447)</f>
        <v>0.60248999999999997</v>
      </c>
      <c r="S447">
        <f>_xll.ciqfunctions.udf.CIQ(A447, "IQ_BETA_1YR_RSQ", F447)</f>
        <v>4.2300000000000003E-3</v>
      </c>
      <c r="T447">
        <f>_xll.ciqfunctions.udf.CIQ(A447, "IQ_VALUE_TRADED", F447)</f>
        <v>2914.6073099999999</v>
      </c>
    </row>
    <row r="448" spans="1:20" x14ac:dyDescent="0.3">
      <c r="A448" t="s">
        <v>1032</v>
      </c>
      <c r="B448">
        <v>8.0399999999999991</v>
      </c>
      <c r="C448" t="s">
        <v>1402</v>
      </c>
      <c r="D448" t="s">
        <v>1170</v>
      </c>
      <c r="E448" t="s">
        <v>22</v>
      </c>
      <c r="F448" s="1">
        <v>45362</v>
      </c>
      <c r="G448" t="s">
        <v>1403</v>
      </c>
      <c r="H448">
        <v>71</v>
      </c>
      <c r="I448">
        <f>_xll.ciqfunctions.udf.CIQ(A448, "IQ_MARKETCAP", F448)</f>
        <v>476.28246999999999</v>
      </c>
      <c r="J448">
        <f>_xll.ciqfunctions.udf.CIQ(A448, "IQ_PRICE_VOL_HIST_6MTH", F448)</f>
        <v>265.95069999999998</v>
      </c>
      <c r="K448">
        <f>_xll.ciqfunctions.udf.CIQ(A448, "IQ_LASTSALEPRICE", WORKDAY(F448,-1))</f>
        <v>9.92</v>
      </c>
      <c r="L448">
        <f>_xll.ciqfunctions.udf.CIQ(A448, "IQ_LASTSALEPRICE", F448)</f>
        <v>8.0399999999999991</v>
      </c>
      <c r="M448">
        <f>_xll.ciqfunctions.udf.CIQ(A448, "IQ_LASTSALEPRICE", WORKDAY(F448,5))</f>
        <v>7.98</v>
      </c>
      <c r="N448">
        <f t="shared" si="12"/>
        <v>-0.21012383810590649</v>
      </c>
      <c r="O448">
        <f t="shared" si="13"/>
        <v>-0.21761450983506403</v>
      </c>
      <c r="P448">
        <f>LN(_xll.ciqfunctions.udf.CIQ("XBI", "IQ_LASTSALEPRICE", WORKDAY(F448,-1))/_xll.ciqfunctions.udf.CIQ("XBI", "IQ_LASTSALEPRICE", WORKDAY(F448,1)))</f>
        <v>2.8185314376913836E-2</v>
      </c>
      <c r="Q448">
        <f>LN(_xll.ciqfunctions.udf.CIQ("XBI", "IQ_LASTSALEPRICE", WORKDAY(F448,-1))/_xll.ciqfunctions.udf.CIQ("XBI", "IQ_LASTSALEPRICE", WORKDAY(F448,5)))</f>
        <v>6.2552957881121682E-2</v>
      </c>
      <c r="R448">
        <f>_xll.ciqfunctions.udf.CIQ(A448, "IQ_SHORT_INTEREST_PERCENT", F448)</f>
        <v>15.517440000000001</v>
      </c>
      <c r="S448">
        <f>_xll.ciqfunctions.udf.CIQ(A448, "IQ_BETA_1YR_RSQ", F448)</f>
        <v>1.312E-2</v>
      </c>
      <c r="T448">
        <f>_xll.ciqfunctions.udf.CIQ(A448, "IQ_VALUE_TRADED", F448)</f>
        <v>62.196269999999998</v>
      </c>
    </row>
    <row r="449" spans="1:20" x14ac:dyDescent="0.3">
      <c r="A449" t="s">
        <v>1032</v>
      </c>
      <c r="B449">
        <v>8.0399999999999991</v>
      </c>
      <c r="C449" t="s">
        <v>1404</v>
      </c>
      <c r="D449" t="s">
        <v>1405</v>
      </c>
      <c r="E449" t="s">
        <v>76</v>
      </c>
      <c r="F449" s="1">
        <v>45362</v>
      </c>
      <c r="G449" t="s">
        <v>1406</v>
      </c>
      <c r="H449">
        <v>71</v>
      </c>
      <c r="I449">
        <f>_xll.ciqfunctions.udf.CIQ(A449, "IQ_MARKETCAP", F449)</f>
        <v>476.28246999999999</v>
      </c>
      <c r="J449">
        <f>_xll.ciqfunctions.udf.CIQ(A449, "IQ_PRICE_VOL_HIST_6MTH", F449)</f>
        <v>265.95069999999998</v>
      </c>
      <c r="K449">
        <f>_xll.ciqfunctions.udf.CIQ(A449, "IQ_LASTSALEPRICE", WORKDAY(F449,-1))</f>
        <v>9.92</v>
      </c>
      <c r="L449">
        <f>_xll.ciqfunctions.udf.CIQ(A449, "IQ_LASTSALEPRICE", F449)</f>
        <v>8.0399999999999991</v>
      </c>
      <c r="M449">
        <f>_xll.ciqfunctions.udf.CIQ(A449, "IQ_LASTSALEPRICE", WORKDAY(F449,5))</f>
        <v>7.98</v>
      </c>
      <c r="N449">
        <f t="shared" si="12"/>
        <v>-0.21012383810590649</v>
      </c>
      <c r="O449">
        <f t="shared" si="13"/>
        <v>-0.21761450983506403</v>
      </c>
      <c r="P449">
        <f>LN(_xll.ciqfunctions.udf.CIQ("XBI", "IQ_LASTSALEPRICE", WORKDAY(F449,-1))/_xll.ciqfunctions.udf.CIQ("XBI", "IQ_LASTSALEPRICE", WORKDAY(F449,1)))</f>
        <v>2.8185314376913836E-2</v>
      </c>
      <c r="Q449">
        <f>LN(_xll.ciqfunctions.udf.CIQ("XBI", "IQ_LASTSALEPRICE", WORKDAY(F449,-1))/_xll.ciqfunctions.udf.CIQ("XBI", "IQ_LASTSALEPRICE", WORKDAY(F449,5)))</f>
        <v>6.2552957881121682E-2</v>
      </c>
      <c r="R449">
        <f>_xll.ciqfunctions.udf.CIQ(A449, "IQ_SHORT_INTEREST_PERCENT", F449)</f>
        <v>15.517440000000001</v>
      </c>
      <c r="S449">
        <f>_xll.ciqfunctions.udf.CIQ(A449, "IQ_BETA_1YR_RSQ", F449)</f>
        <v>1.312E-2</v>
      </c>
      <c r="T449">
        <f>_xll.ciqfunctions.udf.CIQ(A449, "IQ_VALUE_TRADED", F449)</f>
        <v>62.196269999999998</v>
      </c>
    </row>
    <row r="450" spans="1:20" x14ac:dyDescent="0.3">
      <c r="A450" t="s">
        <v>1032</v>
      </c>
      <c r="B450">
        <v>8.0399999999999991</v>
      </c>
      <c r="C450" t="s">
        <v>1033</v>
      </c>
      <c r="D450" t="s">
        <v>188</v>
      </c>
      <c r="E450" t="s">
        <v>76</v>
      </c>
      <c r="F450" s="1">
        <v>45362</v>
      </c>
      <c r="G450" t="s">
        <v>1407</v>
      </c>
      <c r="H450">
        <v>71</v>
      </c>
      <c r="I450">
        <f>_xll.ciqfunctions.udf.CIQ(A450, "IQ_MARKETCAP", F450)</f>
        <v>476.28246999999999</v>
      </c>
      <c r="J450">
        <f>_xll.ciqfunctions.udf.CIQ(A450, "IQ_PRICE_VOL_HIST_6MTH", F450)</f>
        <v>265.95069999999998</v>
      </c>
      <c r="K450">
        <f>_xll.ciqfunctions.udf.CIQ(A450, "IQ_LASTSALEPRICE", WORKDAY(F450,-1))</f>
        <v>9.92</v>
      </c>
      <c r="L450">
        <f>_xll.ciqfunctions.udf.CIQ(A450, "IQ_LASTSALEPRICE", F450)</f>
        <v>8.0399999999999991</v>
      </c>
      <c r="M450">
        <f>_xll.ciqfunctions.udf.CIQ(A450, "IQ_LASTSALEPRICE", WORKDAY(F450,5))</f>
        <v>7.98</v>
      </c>
      <c r="N450">
        <f t="shared" si="12"/>
        <v>-0.21012383810590649</v>
      </c>
      <c r="O450">
        <f t="shared" si="13"/>
        <v>-0.21761450983506403</v>
      </c>
      <c r="P450">
        <f>LN(_xll.ciqfunctions.udf.CIQ("XBI", "IQ_LASTSALEPRICE", WORKDAY(F450,-1))/_xll.ciqfunctions.udf.CIQ("XBI", "IQ_LASTSALEPRICE", WORKDAY(F450,1)))</f>
        <v>2.8185314376913836E-2</v>
      </c>
      <c r="Q450">
        <f>LN(_xll.ciqfunctions.udf.CIQ("XBI", "IQ_LASTSALEPRICE", WORKDAY(F450,-1))/_xll.ciqfunctions.udf.CIQ("XBI", "IQ_LASTSALEPRICE", WORKDAY(F450,5)))</f>
        <v>6.2552957881121682E-2</v>
      </c>
      <c r="R450">
        <f>_xll.ciqfunctions.udf.CIQ(A450, "IQ_SHORT_INTEREST_PERCENT", F450)</f>
        <v>15.517440000000001</v>
      </c>
      <c r="S450">
        <f>_xll.ciqfunctions.udf.CIQ(A450, "IQ_BETA_1YR_RSQ", F450)</f>
        <v>1.312E-2</v>
      </c>
      <c r="T450">
        <f>_xll.ciqfunctions.udf.CIQ(A450, "IQ_VALUE_TRADED", F450)</f>
        <v>62.196269999999998</v>
      </c>
    </row>
    <row r="451" spans="1:20" x14ac:dyDescent="0.3">
      <c r="A451" t="s">
        <v>1408</v>
      </c>
      <c r="B451">
        <v>15.99</v>
      </c>
      <c r="C451" t="s">
        <v>1409</v>
      </c>
      <c r="D451" t="s">
        <v>1410</v>
      </c>
      <c r="E451" t="s">
        <v>36</v>
      </c>
      <c r="F451" s="1">
        <v>45362</v>
      </c>
      <c r="G451" t="s">
        <v>1411</v>
      </c>
      <c r="H451">
        <v>111</v>
      </c>
      <c r="I451">
        <f>_xll.ciqfunctions.udf.CIQ(A451, "IQ_MARKETCAP", F451)</f>
        <v>1712.42398</v>
      </c>
      <c r="J451">
        <f>_xll.ciqfunctions.udf.CIQ(A451, "IQ_PRICE_VOL_HIST_6MTH", F451)</f>
        <v>68.110699999999994</v>
      </c>
      <c r="K451">
        <f>_xll.ciqfunctions.udf.CIQ(A451, "IQ_LASTSALEPRICE", WORKDAY(F451,-1))</f>
        <v>16.54</v>
      </c>
      <c r="L451">
        <f>_xll.ciqfunctions.udf.CIQ(A451, "IQ_LASTSALEPRICE", F451)</f>
        <v>15.99</v>
      </c>
      <c r="M451">
        <f>_xll.ciqfunctions.udf.CIQ(A451, "IQ_LASTSALEPRICE", WORKDAY(F451,5))</f>
        <v>13.82</v>
      </c>
      <c r="N451">
        <f t="shared" ref="N451:N514" si="14">LN(L451/K451)</f>
        <v>-3.3818162749682322E-2</v>
      </c>
      <c r="O451">
        <f t="shared" ref="O451:O514" si="15">LN(M451/K451)</f>
        <v>-0.17966487125602135</v>
      </c>
      <c r="P451">
        <f>LN(_xll.ciqfunctions.udf.CIQ("XBI", "IQ_LASTSALEPRICE", WORKDAY(F451,-1))/_xll.ciqfunctions.udf.CIQ("XBI", "IQ_LASTSALEPRICE", WORKDAY(F451,1)))</f>
        <v>2.8185314376913836E-2</v>
      </c>
      <c r="Q451">
        <f>LN(_xll.ciqfunctions.udf.CIQ("XBI", "IQ_LASTSALEPRICE", WORKDAY(F451,-1))/_xll.ciqfunctions.udf.CIQ("XBI", "IQ_LASTSALEPRICE", WORKDAY(F451,5)))</f>
        <v>6.2552957881121682E-2</v>
      </c>
      <c r="R451">
        <f>_xll.ciqfunctions.udf.CIQ(A451, "IQ_SHORT_INTEREST_PERCENT", F451)</f>
        <v>5.2674000000000003</v>
      </c>
      <c r="S451">
        <f>_xll.ciqfunctions.udf.CIQ(A451, "IQ_BETA_1YR_RSQ", F451)</f>
        <v>5.0560000000000001E-2</v>
      </c>
      <c r="T451">
        <f>_xll.ciqfunctions.udf.CIQ(A451, "IQ_VALUE_TRADED", F451)</f>
        <v>18.106259999999999</v>
      </c>
    </row>
    <row r="452" spans="1:20" x14ac:dyDescent="0.3">
      <c r="A452" t="s">
        <v>1412</v>
      </c>
      <c r="B452">
        <v>7.99</v>
      </c>
      <c r="C452" t="s">
        <v>1413</v>
      </c>
      <c r="D452" t="s">
        <v>1414</v>
      </c>
      <c r="E452" t="s">
        <v>1415</v>
      </c>
      <c r="F452" s="1">
        <v>45362</v>
      </c>
      <c r="G452" t="s">
        <v>1416</v>
      </c>
      <c r="H452">
        <v>89</v>
      </c>
      <c r="I452">
        <f>_xll.ciqfunctions.udf.CIQ(A452, "IQ_MARKETCAP", F452)</f>
        <v>608.02689999999996</v>
      </c>
      <c r="J452">
        <f>_xll.ciqfunctions.udf.CIQ(A452, "IQ_PRICE_VOL_HIST_6MTH", F452)</f>
        <v>105.6802</v>
      </c>
      <c r="K452">
        <f>_xll.ciqfunctions.udf.CIQ(A452, "IQ_LASTSALEPRICE", WORKDAY(F452,-1))</f>
        <v>8.66</v>
      </c>
      <c r="L452">
        <f>_xll.ciqfunctions.udf.CIQ(A452, "IQ_LASTSALEPRICE", F452)</f>
        <v>7.99</v>
      </c>
      <c r="M452">
        <f>_xll.ciqfunctions.udf.CIQ(A452, "IQ_LASTSALEPRICE", WORKDAY(F452,5))</f>
        <v>7.18</v>
      </c>
      <c r="N452">
        <f t="shared" si="14"/>
        <v>-8.0523962796160448E-2</v>
      </c>
      <c r="O452">
        <f t="shared" si="15"/>
        <v>-0.18741533951421102</v>
      </c>
      <c r="P452">
        <f>LN(_xll.ciqfunctions.udf.CIQ("XBI", "IQ_LASTSALEPRICE", WORKDAY(F452,-1))/_xll.ciqfunctions.udf.CIQ("XBI", "IQ_LASTSALEPRICE", WORKDAY(F452,1)))</f>
        <v>2.8185314376913836E-2</v>
      </c>
      <c r="Q452">
        <f>LN(_xll.ciqfunctions.udf.CIQ("XBI", "IQ_LASTSALEPRICE", WORKDAY(F452,-1))/_xll.ciqfunctions.udf.CIQ("XBI", "IQ_LASTSALEPRICE", WORKDAY(F452,5)))</f>
        <v>6.2552957881121682E-2</v>
      </c>
      <c r="R452">
        <f>_xll.ciqfunctions.udf.CIQ(A452, "IQ_SHORT_INTEREST_PERCENT", F452)</f>
        <v>13.483700000000001</v>
      </c>
      <c r="S452">
        <f>_xll.ciqfunctions.udf.CIQ(A452, "IQ_BETA_1YR_RSQ", F452)</f>
        <v>0.14398</v>
      </c>
      <c r="T452">
        <f>_xll.ciqfunctions.udf.CIQ(A452, "IQ_VALUE_TRADED", F452)</f>
        <v>8.94008</v>
      </c>
    </row>
    <row r="453" spans="1:20" x14ac:dyDescent="0.3">
      <c r="A453" t="s">
        <v>162</v>
      </c>
      <c r="B453">
        <v>72.25</v>
      </c>
      <c r="C453" t="s">
        <v>1413</v>
      </c>
      <c r="D453" t="s">
        <v>1414</v>
      </c>
      <c r="E453" t="s">
        <v>1415</v>
      </c>
      <c r="F453" s="1">
        <v>45362</v>
      </c>
      <c r="G453" t="s">
        <v>1416</v>
      </c>
      <c r="H453">
        <v>19</v>
      </c>
      <c r="I453">
        <f>_xll.ciqfunctions.udf.CIQ(A453, "IQ_MARKETCAP", F453)</f>
        <v>1279.2069899999999</v>
      </c>
      <c r="J453">
        <f>_xll.ciqfunctions.udf.CIQ(A453, "IQ_PRICE_VOL_HIST_6MTH", F453)</f>
        <v>42.447299999999998</v>
      </c>
      <c r="K453">
        <f>_xll.ciqfunctions.udf.CIQ(A453, "IQ_LASTSALEPRICE", WORKDAY(F453,-1))</f>
        <v>73.77</v>
      </c>
      <c r="L453">
        <f>_xll.ciqfunctions.udf.CIQ(A453, "IQ_LASTSALEPRICE", F453)</f>
        <v>72.25</v>
      </c>
      <c r="M453">
        <f>_xll.ciqfunctions.udf.CIQ(A453, "IQ_LASTSALEPRICE", WORKDAY(F453,5))</f>
        <v>72.14</v>
      </c>
      <c r="N453">
        <f t="shared" si="14"/>
        <v>-2.0819817903669321E-2</v>
      </c>
      <c r="O453">
        <f t="shared" si="15"/>
        <v>-2.2343469420817868E-2</v>
      </c>
      <c r="P453">
        <f>LN(_xll.ciqfunctions.udf.CIQ("XBI", "IQ_LASTSALEPRICE", WORKDAY(F453,-1))/_xll.ciqfunctions.udf.CIQ("XBI", "IQ_LASTSALEPRICE", WORKDAY(F453,1)))</f>
        <v>2.8185314376913836E-2</v>
      </c>
      <c r="Q453">
        <f>LN(_xll.ciqfunctions.udf.CIQ("XBI", "IQ_LASTSALEPRICE", WORKDAY(F453,-1))/_xll.ciqfunctions.udf.CIQ("XBI", "IQ_LASTSALEPRICE", WORKDAY(F453,5)))</f>
        <v>6.2552957881121682E-2</v>
      </c>
      <c r="R453">
        <f>_xll.ciqfunctions.udf.CIQ(A453, "IQ_SHORT_INTEREST_PERCENT", F453)</f>
        <v>4.30741</v>
      </c>
      <c r="S453">
        <f>_xll.ciqfunctions.udf.CIQ(A453, "IQ_BETA_1YR_RSQ", F453)</f>
        <v>0.38777</v>
      </c>
      <c r="T453">
        <f>_xll.ciqfunctions.udf.CIQ(A453, "IQ_VALUE_TRADED", F453)</f>
        <v>8.4060000000000006</v>
      </c>
    </row>
    <row r="454" spans="1:20" x14ac:dyDescent="0.3">
      <c r="A454" t="s">
        <v>989</v>
      </c>
      <c r="B454">
        <v>159.91999999999999</v>
      </c>
      <c r="C454" t="s">
        <v>1417</v>
      </c>
      <c r="D454" t="s">
        <v>1367</v>
      </c>
      <c r="E454" t="s">
        <v>197</v>
      </c>
      <c r="F454" s="1">
        <v>45362</v>
      </c>
      <c r="G454" t="s">
        <v>1418</v>
      </c>
      <c r="I454">
        <f>_xll.ciqfunctions.udf.CIQ(A454, "IQ_MARKETCAP", F454)</f>
        <v>388365.54016999999</v>
      </c>
      <c r="J454">
        <f>_xll.ciqfunctions.udf.CIQ(A454, "IQ_PRICE_VOL_HIST_6MTH", F454)</f>
        <v>13.0223</v>
      </c>
      <c r="K454">
        <f>_xll.ciqfunctions.udf.CIQ(A454, "IQ_LASTSALEPRICE", WORKDAY(F454,-1))</f>
        <v>159.52000000000001</v>
      </c>
      <c r="L454">
        <f>_xll.ciqfunctions.udf.CIQ(A454, "IQ_LASTSALEPRICE", F454)</f>
        <v>161.22999999999999</v>
      </c>
      <c r="M454">
        <f>_xll.ciqfunctions.udf.CIQ(A454, "IQ_LASTSALEPRICE", WORKDAY(F454,5))</f>
        <v>156.76</v>
      </c>
      <c r="N454">
        <f t="shared" si="14"/>
        <v>1.0662610762120146E-2</v>
      </c>
      <c r="O454">
        <f t="shared" si="15"/>
        <v>-1.7453332882097661E-2</v>
      </c>
      <c r="P454">
        <f>LN(_xll.ciqfunctions.udf.CIQ("XBI", "IQ_LASTSALEPRICE", WORKDAY(F454,-1))/_xll.ciqfunctions.udf.CIQ("XBI", "IQ_LASTSALEPRICE", WORKDAY(F454,1)))</f>
        <v>2.8185314376913836E-2</v>
      </c>
      <c r="Q454">
        <f>LN(_xll.ciqfunctions.udf.CIQ("XBI", "IQ_LASTSALEPRICE", WORKDAY(F454,-1))/_xll.ciqfunctions.udf.CIQ("XBI", "IQ_LASTSALEPRICE", WORKDAY(F454,5)))</f>
        <v>6.2552957881121682E-2</v>
      </c>
      <c r="R454">
        <f>_xll.ciqfunctions.udf.CIQ(A454, "IQ_SHORT_INTEREST_PERCENT", F454)</f>
        <v>0.61650000000000005</v>
      </c>
      <c r="S454">
        <f>_xll.ciqfunctions.udf.CIQ(A454, "IQ_BETA_1YR_RSQ", F454)</f>
        <v>0.11902</v>
      </c>
      <c r="T454">
        <f>_xll.ciqfunctions.udf.CIQ(A454, "IQ_VALUE_TRADED", F454)</f>
        <v>745.01577999999995</v>
      </c>
    </row>
    <row r="455" spans="1:20" x14ac:dyDescent="0.3">
      <c r="A455" t="s">
        <v>1419</v>
      </c>
      <c r="B455">
        <v>30.12</v>
      </c>
      <c r="C455" t="s">
        <v>1417</v>
      </c>
      <c r="D455" t="s">
        <v>1367</v>
      </c>
      <c r="E455" t="s">
        <v>197</v>
      </c>
      <c r="F455" s="1">
        <v>45362</v>
      </c>
      <c r="G455" t="s">
        <v>1418</v>
      </c>
      <c r="H455">
        <v>62</v>
      </c>
      <c r="I455">
        <f>_xll.ciqfunctions.udf.CIQ(A455, "IQ_MARKETCAP", F455)</f>
        <v>1755.2429400000001</v>
      </c>
      <c r="J455">
        <f>_xll.ciqfunctions.udf.CIQ(A455, "IQ_PRICE_VOL_HIST_6MTH", F455)</f>
        <v>52.340400000000002</v>
      </c>
      <c r="K455">
        <f>_xll.ciqfunctions.udf.CIQ(A455, "IQ_LASTSALEPRICE", WORKDAY(F455,-1))</f>
        <v>30.32</v>
      </c>
      <c r="L455">
        <f>_xll.ciqfunctions.udf.CIQ(A455, "IQ_LASTSALEPRICE", F455)</f>
        <v>30.12</v>
      </c>
      <c r="M455">
        <f>_xll.ciqfunctions.udf.CIQ(A455, "IQ_LASTSALEPRICE", WORKDAY(F455,5))</f>
        <v>28.46</v>
      </c>
      <c r="N455">
        <f t="shared" si="14"/>
        <v>-6.6181578424780053E-3</v>
      </c>
      <c r="O455">
        <f t="shared" si="15"/>
        <v>-6.3307968112464544E-2</v>
      </c>
      <c r="P455">
        <f>LN(_xll.ciqfunctions.udf.CIQ("XBI", "IQ_LASTSALEPRICE", WORKDAY(F455,-1))/_xll.ciqfunctions.udf.CIQ("XBI", "IQ_LASTSALEPRICE", WORKDAY(F455,1)))</f>
        <v>2.8185314376913836E-2</v>
      </c>
      <c r="Q455">
        <f>LN(_xll.ciqfunctions.udf.CIQ("XBI", "IQ_LASTSALEPRICE", WORKDAY(F455,-1))/_xll.ciqfunctions.udf.CIQ("XBI", "IQ_LASTSALEPRICE", WORKDAY(F455,5)))</f>
        <v>6.2552957881121682E-2</v>
      </c>
      <c r="R455">
        <f>_xll.ciqfunctions.udf.CIQ(A455, "IQ_SHORT_INTEREST_PERCENT", F455)</f>
        <v>5.0376099999999999</v>
      </c>
      <c r="S455">
        <f>_xll.ciqfunctions.udf.CIQ(A455, "IQ_BETA_1YR_RSQ", F455)</f>
        <v>9.3280000000000002E-2</v>
      </c>
      <c r="T455">
        <f>_xll.ciqfunctions.udf.CIQ(A455, "IQ_VALUE_TRADED", F455)</f>
        <v>17.568639999999998</v>
      </c>
    </row>
    <row r="456" spans="1:20" x14ac:dyDescent="0.3">
      <c r="A456" t="s">
        <v>989</v>
      </c>
      <c r="B456">
        <v>159.91999999999999</v>
      </c>
      <c r="C456" t="s">
        <v>1417</v>
      </c>
      <c r="D456" t="s">
        <v>1367</v>
      </c>
      <c r="E456" t="s">
        <v>197</v>
      </c>
      <c r="F456" s="1">
        <v>45362</v>
      </c>
      <c r="G456" t="s">
        <v>1420</v>
      </c>
      <c r="I456">
        <f>_xll.ciqfunctions.udf.CIQ(A456, "IQ_MARKETCAP", F456)</f>
        <v>388365.54016999999</v>
      </c>
      <c r="J456">
        <f>_xll.ciqfunctions.udf.CIQ(A456, "IQ_PRICE_VOL_HIST_6MTH", F456)</f>
        <v>13.0223</v>
      </c>
      <c r="K456">
        <f>_xll.ciqfunctions.udf.CIQ(A456, "IQ_LASTSALEPRICE", WORKDAY(F456,-1))</f>
        <v>159.52000000000001</v>
      </c>
      <c r="L456">
        <f>_xll.ciqfunctions.udf.CIQ(A456, "IQ_LASTSALEPRICE", F456)</f>
        <v>161.22999999999999</v>
      </c>
      <c r="M456">
        <f>_xll.ciqfunctions.udf.CIQ(A456, "IQ_LASTSALEPRICE", WORKDAY(F456,5))</f>
        <v>156.76</v>
      </c>
      <c r="N456">
        <f t="shared" si="14"/>
        <v>1.0662610762120146E-2</v>
      </c>
      <c r="O456">
        <f t="shared" si="15"/>
        <v>-1.7453332882097661E-2</v>
      </c>
      <c r="P456">
        <f>LN(_xll.ciqfunctions.udf.CIQ("XBI", "IQ_LASTSALEPRICE", WORKDAY(F456,-1))/_xll.ciqfunctions.udf.CIQ("XBI", "IQ_LASTSALEPRICE", WORKDAY(F456,1)))</f>
        <v>2.8185314376913836E-2</v>
      </c>
      <c r="Q456">
        <f>LN(_xll.ciqfunctions.udf.CIQ("XBI", "IQ_LASTSALEPRICE", WORKDAY(F456,-1))/_xll.ciqfunctions.udf.CIQ("XBI", "IQ_LASTSALEPRICE", WORKDAY(F456,5)))</f>
        <v>6.2552957881121682E-2</v>
      </c>
      <c r="R456">
        <f>_xll.ciqfunctions.udf.CIQ(A456, "IQ_SHORT_INTEREST_PERCENT", F456)</f>
        <v>0.61650000000000005</v>
      </c>
      <c r="S456">
        <f>_xll.ciqfunctions.udf.CIQ(A456, "IQ_BETA_1YR_RSQ", F456)</f>
        <v>0.11902</v>
      </c>
      <c r="T456">
        <f>_xll.ciqfunctions.udf.CIQ(A456, "IQ_VALUE_TRADED", F456)</f>
        <v>745.01577999999995</v>
      </c>
    </row>
    <row r="457" spans="1:20" x14ac:dyDescent="0.3">
      <c r="A457" t="s">
        <v>1419</v>
      </c>
      <c r="B457">
        <v>30.12</v>
      </c>
      <c r="C457" t="s">
        <v>1417</v>
      </c>
      <c r="D457" t="s">
        <v>1367</v>
      </c>
      <c r="E457" t="s">
        <v>197</v>
      </c>
      <c r="F457" s="1">
        <v>45362</v>
      </c>
      <c r="G457" t="s">
        <v>1420</v>
      </c>
      <c r="H457">
        <v>62</v>
      </c>
      <c r="I457">
        <f>_xll.ciqfunctions.udf.CIQ(A457, "IQ_MARKETCAP", F457)</f>
        <v>1755.2429400000001</v>
      </c>
      <c r="J457">
        <f>_xll.ciqfunctions.udf.CIQ(A457, "IQ_PRICE_VOL_HIST_6MTH", F457)</f>
        <v>52.340400000000002</v>
      </c>
      <c r="K457">
        <f>_xll.ciqfunctions.udf.CIQ(A457, "IQ_LASTSALEPRICE", WORKDAY(F457,-1))</f>
        <v>30.32</v>
      </c>
      <c r="L457">
        <f>_xll.ciqfunctions.udf.CIQ(A457, "IQ_LASTSALEPRICE", F457)</f>
        <v>30.12</v>
      </c>
      <c r="M457">
        <f>_xll.ciqfunctions.udf.CIQ(A457, "IQ_LASTSALEPRICE", WORKDAY(F457,5))</f>
        <v>28.46</v>
      </c>
      <c r="N457">
        <f t="shared" si="14"/>
        <v>-6.6181578424780053E-3</v>
      </c>
      <c r="O457">
        <f t="shared" si="15"/>
        <v>-6.3307968112464544E-2</v>
      </c>
      <c r="P457">
        <f>LN(_xll.ciqfunctions.udf.CIQ("XBI", "IQ_LASTSALEPRICE", WORKDAY(F457,-1))/_xll.ciqfunctions.udf.CIQ("XBI", "IQ_LASTSALEPRICE", WORKDAY(F457,1)))</f>
        <v>2.8185314376913836E-2</v>
      </c>
      <c r="Q457">
        <f>LN(_xll.ciqfunctions.udf.CIQ("XBI", "IQ_LASTSALEPRICE", WORKDAY(F457,-1))/_xll.ciqfunctions.udf.CIQ("XBI", "IQ_LASTSALEPRICE", WORKDAY(F457,5)))</f>
        <v>6.2552957881121682E-2</v>
      </c>
      <c r="R457">
        <f>_xll.ciqfunctions.udf.CIQ(A457, "IQ_SHORT_INTEREST_PERCENT", F457)</f>
        <v>5.0376099999999999</v>
      </c>
      <c r="S457">
        <f>_xll.ciqfunctions.udf.CIQ(A457, "IQ_BETA_1YR_RSQ", F457)</f>
        <v>9.3280000000000002E-2</v>
      </c>
      <c r="T457">
        <f>_xll.ciqfunctions.udf.CIQ(A457, "IQ_VALUE_TRADED", F457)</f>
        <v>17.568639999999998</v>
      </c>
    </row>
    <row r="458" spans="1:20" x14ac:dyDescent="0.3">
      <c r="A458" t="s">
        <v>1421</v>
      </c>
      <c r="B458" t="s">
        <v>43</v>
      </c>
      <c r="C458" t="s">
        <v>1422</v>
      </c>
      <c r="D458" t="s">
        <v>1423</v>
      </c>
      <c r="E458" t="s">
        <v>197</v>
      </c>
      <c r="F458" s="1">
        <v>45362</v>
      </c>
      <c r="G458" t="s">
        <v>1424</v>
      </c>
      <c r="H458">
        <v>104</v>
      </c>
      <c r="I458">
        <f>_xll.ciqfunctions.udf.CIQ(A458, "IQ_MARKETCAP", F458)</f>
        <v>0</v>
      </c>
      <c r="J458">
        <f>_xll.ciqfunctions.udf.CIQ(A458, "IQ_PRICE_VOL_HIST_6MTH", F458)</f>
        <v>0</v>
      </c>
      <c r="K458">
        <f>_xll.ciqfunctions.udf.CIQ(A458, "IQ_LASTSALEPRICE", WORKDAY(F458,-1))</f>
        <v>0</v>
      </c>
      <c r="L458">
        <f>_xll.ciqfunctions.udf.CIQ(A458, "IQ_LASTSALEPRICE", F458)</f>
        <v>0</v>
      </c>
      <c r="M458">
        <f>_xll.ciqfunctions.udf.CIQ(A458, "IQ_LASTSALEPRICE", WORKDAY(F458,5))</f>
        <v>0</v>
      </c>
      <c r="N458" t="e">
        <f t="shared" si="14"/>
        <v>#DIV/0!</v>
      </c>
      <c r="O458" t="e">
        <f t="shared" si="15"/>
        <v>#DIV/0!</v>
      </c>
      <c r="P458">
        <f>LN(_xll.ciqfunctions.udf.CIQ("XBI", "IQ_LASTSALEPRICE", WORKDAY(F458,-1))/_xll.ciqfunctions.udf.CIQ("XBI", "IQ_LASTSALEPRICE", WORKDAY(F458,1)))</f>
        <v>2.8185314376913836E-2</v>
      </c>
      <c r="Q458">
        <f>LN(_xll.ciqfunctions.udf.CIQ("XBI", "IQ_LASTSALEPRICE", WORKDAY(F458,-1))/_xll.ciqfunctions.udf.CIQ("XBI", "IQ_LASTSALEPRICE", WORKDAY(F458,5)))</f>
        <v>6.2552957881121682E-2</v>
      </c>
      <c r="R458">
        <f>_xll.ciqfunctions.udf.CIQ(A458, "IQ_SHORT_INTEREST_PERCENT", F458)</f>
        <v>0</v>
      </c>
      <c r="S458">
        <f>_xll.ciqfunctions.udf.CIQ(A458, "IQ_BETA_1YR_RSQ", F458)</f>
        <v>0</v>
      </c>
      <c r="T458">
        <f>_xll.ciqfunctions.udf.CIQ(A458, "IQ_VALUE_TRADED", F458)</f>
        <v>0</v>
      </c>
    </row>
    <row r="459" spans="1:20" x14ac:dyDescent="0.3">
      <c r="A459" t="s">
        <v>1421</v>
      </c>
      <c r="B459" t="s">
        <v>43</v>
      </c>
      <c r="C459" t="s">
        <v>1422</v>
      </c>
      <c r="D459" t="s">
        <v>1425</v>
      </c>
      <c r="E459" t="s">
        <v>76</v>
      </c>
      <c r="F459" s="1">
        <v>45362</v>
      </c>
      <c r="G459" t="s">
        <v>1387</v>
      </c>
      <c r="H459">
        <v>104</v>
      </c>
      <c r="I459">
        <f>_xll.ciqfunctions.udf.CIQ(A459, "IQ_MARKETCAP", F459)</f>
        <v>0</v>
      </c>
      <c r="J459">
        <f>_xll.ciqfunctions.udf.CIQ(A459, "IQ_PRICE_VOL_HIST_6MTH", F459)</f>
        <v>0</v>
      </c>
      <c r="K459">
        <f>_xll.ciqfunctions.udf.CIQ(A459, "IQ_LASTSALEPRICE", WORKDAY(F459,-1))</f>
        <v>0</v>
      </c>
      <c r="L459">
        <f>_xll.ciqfunctions.udf.CIQ(A459, "IQ_LASTSALEPRICE", F459)</f>
        <v>0</v>
      </c>
      <c r="M459">
        <f>_xll.ciqfunctions.udf.CIQ(A459, "IQ_LASTSALEPRICE", WORKDAY(F459,5))</f>
        <v>0</v>
      </c>
      <c r="N459" t="e">
        <f t="shared" si="14"/>
        <v>#DIV/0!</v>
      </c>
      <c r="O459" t="e">
        <f t="shared" si="15"/>
        <v>#DIV/0!</v>
      </c>
      <c r="P459">
        <f>LN(_xll.ciqfunctions.udf.CIQ("XBI", "IQ_LASTSALEPRICE", WORKDAY(F459,-1))/_xll.ciqfunctions.udf.CIQ("XBI", "IQ_LASTSALEPRICE", WORKDAY(F459,1)))</f>
        <v>2.8185314376913836E-2</v>
      </c>
      <c r="Q459">
        <f>LN(_xll.ciqfunctions.udf.CIQ("XBI", "IQ_LASTSALEPRICE", WORKDAY(F459,-1))/_xll.ciqfunctions.udf.CIQ("XBI", "IQ_LASTSALEPRICE", WORKDAY(F459,5)))</f>
        <v>6.2552957881121682E-2</v>
      </c>
      <c r="R459">
        <f>_xll.ciqfunctions.udf.CIQ(A459, "IQ_SHORT_INTEREST_PERCENT", F459)</f>
        <v>0</v>
      </c>
      <c r="S459">
        <f>_xll.ciqfunctions.udf.CIQ(A459, "IQ_BETA_1YR_RSQ", F459)</f>
        <v>0</v>
      </c>
      <c r="T459">
        <f>_xll.ciqfunctions.udf.CIQ(A459, "IQ_VALUE_TRADED", F459)</f>
        <v>0</v>
      </c>
    </row>
    <row r="460" spans="1:20" x14ac:dyDescent="0.3">
      <c r="A460" t="s">
        <v>1426</v>
      </c>
      <c r="B460">
        <v>11.84</v>
      </c>
      <c r="C460" t="s">
        <v>1427</v>
      </c>
      <c r="D460" t="s">
        <v>1428</v>
      </c>
      <c r="E460" t="s">
        <v>281</v>
      </c>
      <c r="F460" s="1">
        <v>45362</v>
      </c>
      <c r="G460" t="s">
        <v>1429</v>
      </c>
      <c r="I460">
        <f>_xll.ciqfunctions.udf.CIQ(A460, "IQ_MARKETCAP", F460)</f>
        <v>14215.20271</v>
      </c>
      <c r="J460">
        <f>_xll.ciqfunctions.udf.CIQ(A460, "IQ_PRICE_VOL_HIST_6MTH", F460)</f>
        <v>29.186199999999999</v>
      </c>
      <c r="K460">
        <f>_xll.ciqfunctions.udf.CIQ(A460, "IQ_LASTSALEPRICE", WORKDAY(F460,-1))</f>
        <v>12.26</v>
      </c>
      <c r="L460">
        <f>_xll.ciqfunctions.udf.CIQ(A460, "IQ_LASTSALEPRICE", F460)</f>
        <v>11.97</v>
      </c>
      <c r="M460">
        <f>_xll.ciqfunctions.udf.CIQ(A460, "IQ_LASTSALEPRICE", WORKDAY(F460,5))</f>
        <v>11.76</v>
      </c>
      <c r="N460">
        <f t="shared" si="14"/>
        <v>-2.3938410938183531E-2</v>
      </c>
      <c r="O460">
        <f t="shared" si="15"/>
        <v>-4.1637988037584464E-2</v>
      </c>
      <c r="P460">
        <f>LN(_xll.ciqfunctions.udf.CIQ("XBI", "IQ_LASTSALEPRICE", WORKDAY(F460,-1))/_xll.ciqfunctions.udf.CIQ("XBI", "IQ_LASTSALEPRICE", WORKDAY(F460,1)))</f>
        <v>2.8185314376913836E-2</v>
      </c>
      <c r="Q460">
        <f>LN(_xll.ciqfunctions.udf.CIQ("XBI", "IQ_LASTSALEPRICE", WORKDAY(F460,-1))/_xll.ciqfunctions.udf.CIQ("XBI", "IQ_LASTSALEPRICE", WORKDAY(F460,5)))</f>
        <v>6.2552957881121682E-2</v>
      </c>
      <c r="R460">
        <f>_xll.ciqfunctions.udf.CIQ(A460, "IQ_SHORT_INTEREST_PERCENT", F460)</f>
        <v>3.58073</v>
      </c>
      <c r="S460">
        <f>_xll.ciqfunctions.udf.CIQ(A460, "IQ_BETA_1YR_RSQ", F460)</f>
        <v>5.0479999999999997E-2</v>
      </c>
      <c r="T460">
        <f>_xll.ciqfunctions.udf.CIQ(A460, "IQ_VALUE_TRADED", F460)</f>
        <v>99.14716</v>
      </c>
    </row>
    <row r="461" spans="1:20" x14ac:dyDescent="0.3">
      <c r="A461" t="s">
        <v>1430</v>
      </c>
      <c r="B461">
        <v>24.13</v>
      </c>
      <c r="C461" t="s">
        <v>1431</v>
      </c>
      <c r="D461" t="s">
        <v>1432</v>
      </c>
      <c r="E461" t="s">
        <v>36</v>
      </c>
      <c r="F461" s="1">
        <v>45362</v>
      </c>
      <c r="G461" t="s">
        <v>1433</v>
      </c>
      <c r="H461">
        <v>168</v>
      </c>
      <c r="I461">
        <f>_xll.ciqfunctions.udf.CIQ(A461, "IQ_MARKETCAP", F461)</f>
        <v>3975.9367999999999</v>
      </c>
      <c r="J461">
        <f>_xll.ciqfunctions.udf.CIQ(A461, "IQ_PRICE_VOL_HIST_6MTH", F461)</f>
        <v>63.944400000000002</v>
      </c>
      <c r="K461">
        <f>_xll.ciqfunctions.udf.CIQ(A461, "IQ_LASTSALEPRICE", WORKDAY(F461,-1))</f>
        <v>23.44</v>
      </c>
      <c r="L461">
        <f>_xll.ciqfunctions.udf.CIQ(A461, "IQ_LASTSALEPRICE", F461)</f>
        <v>24.13</v>
      </c>
      <c r="M461">
        <f>_xll.ciqfunctions.udf.CIQ(A461, "IQ_LASTSALEPRICE", WORKDAY(F461,5))</f>
        <v>18.72</v>
      </c>
      <c r="N461">
        <f t="shared" si="14"/>
        <v>2.9011914928128411E-2</v>
      </c>
      <c r="O461">
        <f t="shared" si="15"/>
        <v>-0.22485149365936602</v>
      </c>
      <c r="P461">
        <f>LN(_xll.ciqfunctions.udf.CIQ("XBI", "IQ_LASTSALEPRICE", WORKDAY(F461,-1))/_xll.ciqfunctions.udf.CIQ("XBI", "IQ_LASTSALEPRICE", WORKDAY(F461,1)))</f>
        <v>2.8185314376913836E-2</v>
      </c>
      <c r="Q461">
        <f>LN(_xll.ciqfunctions.udf.CIQ("XBI", "IQ_LASTSALEPRICE", WORKDAY(F461,-1))/_xll.ciqfunctions.udf.CIQ("XBI", "IQ_LASTSALEPRICE", WORKDAY(F461,5)))</f>
        <v>6.2552957881121682E-2</v>
      </c>
      <c r="R461">
        <f>_xll.ciqfunctions.udf.CIQ(A461, "IQ_SHORT_INTEREST_PERCENT", F461)</f>
        <v>6.5578700000000003</v>
      </c>
      <c r="S461">
        <f>_xll.ciqfunctions.udf.CIQ(A461, "IQ_BETA_1YR_RSQ", F461)</f>
        <v>0.10196</v>
      </c>
      <c r="T461">
        <f>_xll.ciqfunctions.udf.CIQ(A461, "IQ_VALUE_TRADED", F461)</f>
        <v>50.128</v>
      </c>
    </row>
    <row r="462" spans="1:20" x14ac:dyDescent="0.3">
      <c r="A462" t="s">
        <v>1434</v>
      </c>
      <c r="B462">
        <v>7.43</v>
      </c>
      <c r="C462" t="s">
        <v>1435</v>
      </c>
      <c r="D462" t="s">
        <v>1436</v>
      </c>
      <c r="E462" t="s">
        <v>22</v>
      </c>
      <c r="F462" s="1">
        <v>45362</v>
      </c>
      <c r="G462" t="s">
        <v>1437</v>
      </c>
      <c r="H462">
        <v>87</v>
      </c>
      <c r="I462">
        <f>_xll.ciqfunctions.udf.CIQ(A462, "IQ_MARKETCAP", F462)</f>
        <v>459.13330000000002</v>
      </c>
      <c r="J462">
        <f>_xll.ciqfunctions.udf.CIQ(A462, "IQ_PRICE_VOL_HIST_6MTH", F462)</f>
        <v>83.384500000000003</v>
      </c>
      <c r="K462">
        <f>_xll.ciqfunctions.udf.CIQ(A462, "IQ_LASTSALEPRICE", WORKDAY(F462,-1))</f>
        <v>8.11</v>
      </c>
      <c r="L462">
        <f>_xll.ciqfunctions.udf.CIQ(A462, "IQ_LASTSALEPRICE", F462)</f>
        <v>7.43</v>
      </c>
      <c r="M462">
        <f>_xll.ciqfunctions.udf.CIQ(A462, "IQ_LASTSALEPRICE", WORKDAY(F462,5))</f>
        <v>6.085</v>
      </c>
      <c r="N462">
        <f t="shared" si="14"/>
        <v>-8.7572009397653763E-2</v>
      </c>
      <c r="O462">
        <f t="shared" si="15"/>
        <v>-0.28727114168783097</v>
      </c>
      <c r="P462">
        <f>LN(_xll.ciqfunctions.udf.CIQ("XBI", "IQ_LASTSALEPRICE", WORKDAY(F462,-1))/_xll.ciqfunctions.udf.CIQ("XBI", "IQ_LASTSALEPRICE", WORKDAY(F462,1)))</f>
        <v>2.8185314376913836E-2</v>
      </c>
      <c r="Q462">
        <f>LN(_xll.ciqfunctions.udf.CIQ("XBI", "IQ_LASTSALEPRICE", WORKDAY(F462,-1))/_xll.ciqfunctions.udf.CIQ("XBI", "IQ_LASTSALEPRICE", WORKDAY(F462,5)))</f>
        <v>6.2552957881121682E-2</v>
      </c>
      <c r="R462">
        <f>_xll.ciqfunctions.udf.CIQ(A462, "IQ_SHORT_INTEREST_PERCENT", F462)</f>
        <v>7.0912499999999996</v>
      </c>
      <c r="S462">
        <f>_xll.ciqfunctions.udf.CIQ(A462, "IQ_BETA_1YR_RSQ", F462)</f>
        <v>1.2999999999999999E-4</v>
      </c>
      <c r="T462">
        <f>_xll.ciqfunctions.udf.CIQ(A462, "IQ_VALUE_TRADED", F462)</f>
        <v>6.0196500000000004</v>
      </c>
    </row>
    <row r="463" spans="1:20" x14ac:dyDescent="0.3">
      <c r="A463" t="s">
        <v>785</v>
      </c>
      <c r="B463">
        <v>8.6300000000000008</v>
      </c>
      <c r="C463" t="s">
        <v>786</v>
      </c>
      <c r="D463" t="s">
        <v>787</v>
      </c>
      <c r="E463" t="s">
        <v>76</v>
      </c>
      <c r="F463" s="1">
        <v>45362</v>
      </c>
      <c r="G463" t="s">
        <v>1438</v>
      </c>
      <c r="H463">
        <v>85</v>
      </c>
      <c r="I463">
        <f>_xll.ciqfunctions.udf.CIQ(A463, "IQ_MARKETCAP", F463)</f>
        <v>549.23689000000002</v>
      </c>
      <c r="J463">
        <f>_xll.ciqfunctions.udf.CIQ(A463, "IQ_PRICE_VOL_HIST_6MTH", F463)</f>
        <v>99.518500000000003</v>
      </c>
      <c r="K463">
        <f>_xll.ciqfunctions.udf.CIQ(A463, "IQ_LASTSALEPRICE", WORKDAY(F463,-1))</f>
        <v>10.199999999999999</v>
      </c>
      <c r="L463">
        <f>_xll.ciqfunctions.udf.CIQ(A463, "IQ_LASTSALEPRICE", F463)</f>
        <v>8.6300000000000008</v>
      </c>
      <c r="M463">
        <f>_xll.ciqfunctions.udf.CIQ(A463, "IQ_LASTSALEPRICE", WORKDAY(F463,5))</f>
        <v>8.35</v>
      </c>
      <c r="N463">
        <f t="shared" si="14"/>
        <v>-0.1671432151948887</v>
      </c>
      <c r="O463">
        <f t="shared" si="15"/>
        <v>-0.2001261814274613</v>
      </c>
      <c r="P463">
        <f>LN(_xll.ciqfunctions.udf.CIQ("XBI", "IQ_LASTSALEPRICE", WORKDAY(F463,-1))/_xll.ciqfunctions.udf.CIQ("XBI", "IQ_LASTSALEPRICE", WORKDAY(F463,1)))</f>
        <v>2.8185314376913836E-2</v>
      </c>
      <c r="Q463">
        <f>LN(_xll.ciqfunctions.udf.CIQ("XBI", "IQ_LASTSALEPRICE", WORKDAY(F463,-1))/_xll.ciqfunctions.udf.CIQ("XBI", "IQ_LASTSALEPRICE", WORKDAY(F463,5)))</f>
        <v>6.2552957881121682E-2</v>
      </c>
      <c r="R463">
        <f>_xll.ciqfunctions.udf.CIQ(A463, "IQ_SHORT_INTEREST_PERCENT", F463)</f>
        <v>0.79634000000000005</v>
      </c>
      <c r="S463">
        <f>_xll.ciqfunctions.udf.CIQ(A463, "IQ_BETA_1YR_RSQ", F463)</f>
        <v>1.034E-2</v>
      </c>
      <c r="T463">
        <f>_xll.ciqfunctions.udf.CIQ(A463, "IQ_VALUE_TRADED", F463)</f>
        <v>15.254110000000001</v>
      </c>
    </row>
    <row r="464" spans="1:20" x14ac:dyDescent="0.3">
      <c r="A464" t="s">
        <v>1439</v>
      </c>
      <c r="B464">
        <v>1.61</v>
      </c>
      <c r="C464" t="s">
        <v>1440</v>
      </c>
      <c r="D464" t="s">
        <v>1441</v>
      </c>
      <c r="E464" t="s">
        <v>22</v>
      </c>
      <c r="F464" s="1">
        <v>45362</v>
      </c>
      <c r="G464" t="s">
        <v>1442</v>
      </c>
      <c r="H464">
        <v>99</v>
      </c>
      <c r="I464">
        <f>_xll.ciqfunctions.udf.CIQ(A464, "IQ_MARKETCAP", F464)</f>
        <v>6.8844900000000004</v>
      </c>
      <c r="J464">
        <f>_xll.ciqfunctions.udf.CIQ(A464, "IQ_PRICE_VOL_HIST_6MTH", F464)</f>
        <v>103.2547</v>
      </c>
      <c r="K464">
        <f>_xll.ciqfunctions.udf.CIQ(A464, "IQ_LASTSALEPRICE", WORKDAY(F464,-1))</f>
        <v>1.69</v>
      </c>
      <c r="L464">
        <f>_xll.ciqfunctions.udf.CIQ(A464, "IQ_LASTSALEPRICE", F464)</f>
        <v>1.61</v>
      </c>
      <c r="M464">
        <f>_xll.ciqfunctions.udf.CIQ(A464, "IQ_LASTSALEPRICE", WORKDAY(F464,5))</f>
        <v>1.72</v>
      </c>
      <c r="N464">
        <f t="shared" si="14"/>
        <v>-4.8494349938610383E-2</v>
      </c>
      <c r="O464">
        <f t="shared" si="15"/>
        <v>1.759576189037966E-2</v>
      </c>
      <c r="P464">
        <f>LN(_xll.ciqfunctions.udf.CIQ("XBI", "IQ_LASTSALEPRICE", WORKDAY(F464,-1))/_xll.ciqfunctions.udf.CIQ("XBI", "IQ_LASTSALEPRICE", WORKDAY(F464,1)))</f>
        <v>2.8185314376913836E-2</v>
      </c>
      <c r="Q464">
        <f>LN(_xll.ciqfunctions.udf.CIQ("XBI", "IQ_LASTSALEPRICE", WORKDAY(F464,-1))/_xll.ciqfunctions.udf.CIQ("XBI", "IQ_LASTSALEPRICE", WORKDAY(F464,5)))</f>
        <v>6.2552957881121682E-2</v>
      </c>
      <c r="R464">
        <f>_xll.ciqfunctions.udf.CIQ(A464, "IQ_SHORT_INTEREST_PERCENT", F464)</f>
        <v>0.95391000000000004</v>
      </c>
      <c r="S464">
        <f>_xll.ciqfunctions.udf.CIQ(A464, "IQ_BETA_1YR_RSQ", F464)</f>
        <v>0.10340000000000001</v>
      </c>
      <c r="T464">
        <f>_xll.ciqfunctions.udf.CIQ(A464, "IQ_VALUE_TRADED", F464)</f>
        <v>8.0399999999999999E-2</v>
      </c>
    </row>
    <row r="465" spans="1:20" x14ac:dyDescent="0.3">
      <c r="A465" t="s">
        <v>42</v>
      </c>
      <c r="B465" t="s">
        <v>43</v>
      </c>
      <c r="C465" t="s">
        <v>44</v>
      </c>
      <c r="D465" t="s">
        <v>45</v>
      </c>
      <c r="E465" t="s">
        <v>46</v>
      </c>
      <c r="F465" s="1">
        <v>45363</v>
      </c>
      <c r="G465" t="s">
        <v>1443</v>
      </c>
      <c r="I465">
        <f>_xll.ciqfunctions.udf.CIQ(A465, "IQ_MARKETCAP", F465)</f>
        <v>1250.4314099999999</v>
      </c>
      <c r="J465">
        <f>_xll.ciqfunctions.udf.CIQ(A465, "IQ_PRICE_VOL_HIST_6MTH", F465)</f>
        <v>54.014899999999997</v>
      </c>
      <c r="K465">
        <f>_xll.ciqfunctions.udf.CIQ(A465, "IQ_LASTSALEPRICE", WORKDAY(F465,-1))</f>
        <v>4.0999999999999996</v>
      </c>
      <c r="L465">
        <f>_xll.ciqfunctions.udf.CIQ(A465, "IQ_LASTSALEPRICE", F465)</f>
        <v>4.03</v>
      </c>
      <c r="M465">
        <f>_xll.ciqfunctions.udf.CIQ(A465, "IQ_LASTSALEPRICE", WORKDAY(F465,5))</f>
        <v>4.0199999999999996</v>
      </c>
      <c r="N465">
        <f t="shared" si="14"/>
        <v>-1.7220597751670407E-2</v>
      </c>
      <c r="O465">
        <f t="shared" si="15"/>
        <v>-1.9705071079332444E-2</v>
      </c>
      <c r="P465">
        <f>LN(_xll.ciqfunctions.udf.CIQ("XBI", "IQ_LASTSALEPRICE", WORKDAY(F465,-1))/_xll.ciqfunctions.udf.CIQ("XBI", "IQ_LASTSALEPRICE", WORKDAY(F465,1)))</f>
        <v>-2.7845116738394243E-3</v>
      </c>
      <c r="Q465">
        <f>LN(_xll.ciqfunctions.udf.CIQ("XBI", "IQ_LASTSALEPRICE", WORKDAY(F465,-1))/_xll.ciqfunctions.udf.CIQ("XBI", "IQ_LASTSALEPRICE", WORKDAY(F465,5)))</f>
        <v>3.1259100590921879E-2</v>
      </c>
      <c r="R465">
        <f>_xll.ciqfunctions.udf.CIQ(A465, "IQ_SHORT_INTEREST_PERCENT", F465)</f>
        <v>0</v>
      </c>
      <c r="S465">
        <f>_xll.ciqfunctions.udf.CIQ(A465, "IQ_BETA_1YR_RSQ", F465)</f>
        <v>2.0300000000000001E-3</v>
      </c>
      <c r="T465">
        <f>_xll.ciqfunctions.udf.CIQ(A465, "IQ_VALUE_TRADED", F465)</f>
        <v>0.14674999999999999</v>
      </c>
    </row>
    <row r="466" spans="1:20" x14ac:dyDescent="0.3">
      <c r="A466" t="s">
        <v>401</v>
      </c>
      <c r="B466">
        <v>27.23</v>
      </c>
      <c r="C466" t="s">
        <v>1444</v>
      </c>
      <c r="D466" t="s">
        <v>1445</v>
      </c>
      <c r="E466" t="s">
        <v>36</v>
      </c>
      <c r="F466" s="1">
        <v>45363</v>
      </c>
      <c r="G466" t="s">
        <v>1446</v>
      </c>
      <c r="I466">
        <f>_xll.ciqfunctions.udf.CIQ(A466, "IQ_MARKETCAP", F466)</f>
        <v>158166.26368</v>
      </c>
      <c r="J466">
        <f>_xll.ciqfunctions.udf.CIQ(A466, "IQ_PRICE_VOL_HIST_6MTH", F466)</f>
        <v>27.707899999999999</v>
      </c>
      <c r="K466">
        <f>_xll.ciqfunctions.udf.CIQ(A466, "IQ_LASTSALEPRICE", WORKDAY(F466,-1))</f>
        <v>28.37</v>
      </c>
      <c r="L466">
        <f>_xll.ciqfunctions.udf.CIQ(A466, "IQ_LASTSALEPRICE", F466)</f>
        <v>28.01</v>
      </c>
      <c r="M466">
        <f>_xll.ciqfunctions.udf.CIQ(A466, "IQ_LASTSALEPRICE", WORKDAY(F466,5))</f>
        <v>27.63</v>
      </c>
      <c r="N466">
        <f t="shared" si="14"/>
        <v>-1.2770659548742805E-2</v>
      </c>
      <c r="O466">
        <f t="shared" si="15"/>
        <v>-2.6430109885434878E-2</v>
      </c>
      <c r="P466">
        <f>LN(_xll.ciqfunctions.udf.CIQ("XBI", "IQ_LASTSALEPRICE", WORKDAY(F466,-1))/_xll.ciqfunctions.udf.CIQ("XBI", "IQ_LASTSALEPRICE", WORKDAY(F466,1)))</f>
        <v>-2.7845116738394243E-3</v>
      </c>
      <c r="Q466">
        <f>LN(_xll.ciqfunctions.udf.CIQ("XBI", "IQ_LASTSALEPRICE", WORKDAY(F466,-1))/_xll.ciqfunctions.udf.CIQ("XBI", "IQ_LASTSALEPRICE", WORKDAY(F466,5)))</f>
        <v>3.1259100590921879E-2</v>
      </c>
      <c r="R466">
        <f>_xll.ciqfunctions.udf.CIQ(A466, "IQ_SHORT_INTEREST_PERCENT", F466)</f>
        <v>1.17093</v>
      </c>
      <c r="S466">
        <f>_xll.ciqfunctions.udf.CIQ(A466, "IQ_BETA_1YR_RSQ", F466)</f>
        <v>4.5150000000000003E-2</v>
      </c>
      <c r="T466">
        <f>_xll.ciqfunctions.udf.CIQ(A466, "IQ_VALUE_TRADED", F466)</f>
        <v>1365.7179100000001</v>
      </c>
    </row>
    <row r="467" spans="1:20" x14ac:dyDescent="0.3">
      <c r="A467" t="s">
        <v>382</v>
      </c>
      <c r="B467" t="s">
        <v>43</v>
      </c>
      <c r="C467" t="s">
        <v>383</v>
      </c>
      <c r="D467" t="s">
        <v>104</v>
      </c>
      <c r="E467" t="s">
        <v>17</v>
      </c>
      <c r="F467" s="1">
        <v>45363</v>
      </c>
      <c r="G467" t="s">
        <v>1447</v>
      </c>
      <c r="H467">
        <v>13</v>
      </c>
      <c r="I467" t="str">
        <f>_xll.ciqfunctions.udf.CIQ(A467, "IQ_MARKETCAP", F467)</f>
        <v>(Invalid Identifier)</v>
      </c>
      <c r="J467" t="str">
        <f>_xll.ciqfunctions.udf.CIQ(A467, "IQ_PRICE_VOL_HIST_6MTH", F467)</f>
        <v>(Invalid Identifier)</v>
      </c>
      <c r="K467" t="str">
        <f>_xll.ciqfunctions.udf.CIQ(A467, "IQ_LASTSALEPRICE", WORKDAY(F467,-1))</f>
        <v>(Invalid Identifier)</v>
      </c>
      <c r="L467" t="str">
        <f>_xll.ciqfunctions.udf.CIQ(A467, "IQ_LASTSALEPRICE", F467)</f>
        <v>(Invalid Identifier)</v>
      </c>
      <c r="M467" t="str">
        <f>_xll.ciqfunctions.udf.CIQ(A467, "IQ_LASTSALEPRICE", WORKDAY(F467,5))</f>
        <v>(Invalid Identifier)</v>
      </c>
      <c r="N467" t="e">
        <f t="shared" si="14"/>
        <v>#VALUE!</v>
      </c>
      <c r="O467" t="e">
        <f t="shared" si="15"/>
        <v>#VALUE!</v>
      </c>
      <c r="P467">
        <f>LN(_xll.ciqfunctions.udf.CIQ("XBI", "IQ_LASTSALEPRICE", WORKDAY(F467,-1))/_xll.ciqfunctions.udf.CIQ("XBI", "IQ_LASTSALEPRICE", WORKDAY(F467,1)))</f>
        <v>-2.7845116738394243E-3</v>
      </c>
      <c r="Q467">
        <f>LN(_xll.ciqfunctions.udf.CIQ("XBI", "IQ_LASTSALEPRICE", WORKDAY(F467,-1))/_xll.ciqfunctions.udf.CIQ("XBI", "IQ_LASTSALEPRICE", WORKDAY(F467,5)))</f>
        <v>3.1259100590921879E-2</v>
      </c>
      <c r="R467" t="str">
        <f>_xll.ciqfunctions.udf.CIQ(A467, "IQ_SHORT_INTEREST_PERCENT", F467)</f>
        <v>(Invalid Identifier)</v>
      </c>
      <c r="S467" t="str">
        <f>_xll.ciqfunctions.udf.CIQ(A467, "IQ_BETA_1YR_RSQ", F467)</f>
        <v>(Invalid Identifier)</v>
      </c>
      <c r="T467" t="str">
        <f>_xll.ciqfunctions.udf.CIQ(A467, "IQ_VALUE_TRADED", F467)</f>
        <v>(Invalid Identifier)</v>
      </c>
    </row>
    <row r="468" spans="1:20" x14ac:dyDescent="0.3">
      <c r="A468" t="s">
        <v>1448</v>
      </c>
      <c r="B468">
        <v>40.75</v>
      </c>
      <c r="C468" t="s">
        <v>1449</v>
      </c>
      <c r="D468" t="s">
        <v>1450</v>
      </c>
      <c r="E468" t="s">
        <v>76</v>
      </c>
      <c r="F468" s="1">
        <v>45363</v>
      </c>
      <c r="G468" t="s">
        <v>1451</v>
      </c>
      <c r="H468">
        <v>94</v>
      </c>
      <c r="I468">
        <f>_xll.ciqfunctions.udf.CIQ(A468, "IQ_MARKETCAP", F468)</f>
        <v>3175.6285899999998</v>
      </c>
      <c r="J468">
        <f>_xll.ciqfunctions.udf.CIQ(A468, "IQ_PRICE_VOL_HIST_6MTH", F468)</f>
        <v>52.920699999999997</v>
      </c>
      <c r="K468">
        <f>_xll.ciqfunctions.udf.CIQ(A468, "IQ_LASTSALEPRICE", WORKDAY(F468,-1))</f>
        <v>41.57</v>
      </c>
      <c r="L468">
        <f>_xll.ciqfunctions.udf.CIQ(A468, "IQ_LASTSALEPRICE", F468)</f>
        <v>40.75</v>
      </c>
      <c r="M468">
        <f>_xll.ciqfunctions.udf.CIQ(A468, "IQ_LASTSALEPRICE", WORKDAY(F468,5))</f>
        <v>45.18</v>
      </c>
      <c r="N468">
        <f t="shared" si="14"/>
        <v>-1.9922913577674332E-2</v>
      </c>
      <c r="O468">
        <f t="shared" si="15"/>
        <v>8.3275757775311043E-2</v>
      </c>
      <c r="P468">
        <f>LN(_xll.ciqfunctions.udf.CIQ("XBI", "IQ_LASTSALEPRICE", WORKDAY(F468,-1))/_xll.ciqfunctions.udf.CIQ("XBI", "IQ_LASTSALEPRICE", WORKDAY(F468,1)))</f>
        <v>-2.7845116738394243E-3</v>
      </c>
      <c r="Q468">
        <f>LN(_xll.ciqfunctions.udf.CIQ("XBI", "IQ_LASTSALEPRICE", WORKDAY(F468,-1))/_xll.ciqfunctions.udf.CIQ("XBI", "IQ_LASTSALEPRICE", WORKDAY(F468,5)))</f>
        <v>3.1259100590921879E-2</v>
      </c>
      <c r="R468">
        <f>_xll.ciqfunctions.udf.CIQ(A468, "IQ_SHORT_INTEREST_PERCENT", F468)</f>
        <v>6.0855300000000003</v>
      </c>
      <c r="S468">
        <f>_xll.ciqfunctions.udf.CIQ(A468, "IQ_BETA_1YR_RSQ", F468)</f>
        <v>5.0200000000000002E-3</v>
      </c>
      <c r="T468">
        <f>_xll.ciqfunctions.udf.CIQ(A468, "IQ_VALUE_TRADED", F468)</f>
        <v>21.441179999999999</v>
      </c>
    </row>
    <row r="469" spans="1:20" x14ac:dyDescent="0.3">
      <c r="A469" t="s">
        <v>237</v>
      </c>
      <c r="B469">
        <v>0.42</v>
      </c>
      <c r="C469" t="s">
        <v>1452</v>
      </c>
      <c r="D469" t="s">
        <v>1453</v>
      </c>
      <c r="E469" t="s">
        <v>76</v>
      </c>
      <c r="F469" s="1">
        <v>45364</v>
      </c>
      <c r="G469" t="s">
        <v>1454</v>
      </c>
      <c r="H469">
        <v>23</v>
      </c>
      <c r="I469">
        <f>_xll.ciqfunctions.udf.CIQ(A469, "IQ_MARKETCAP", F469)</f>
        <v>172.73831000000001</v>
      </c>
      <c r="J469">
        <f>_xll.ciqfunctions.udf.CIQ(A469, "IQ_PRICE_VOL_HIST_6MTH", F469)</f>
        <v>100.39279999999999</v>
      </c>
      <c r="K469">
        <f>_xll.ciqfunctions.udf.CIQ(A469, "IQ_LASTSALEPRICE", WORKDAY(F469,-1))</f>
        <v>16.719989999999999</v>
      </c>
      <c r="L469">
        <f>_xll.ciqfunctions.udf.CIQ(A469, "IQ_LASTSALEPRICE", F469)</f>
        <v>15.959989999999999</v>
      </c>
      <c r="M469">
        <f>_xll.ciqfunctions.udf.CIQ(A469, "IQ_LASTSALEPRICE", WORKDAY(F469,5))</f>
        <v>15.959989999999999</v>
      </c>
      <c r="N469">
        <f t="shared" si="14"/>
        <v>-4.6520044115201914E-2</v>
      </c>
      <c r="O469">
        <f t="shared" si="15"/>
        <v>-4.6520044115201914E-2</v>
      </c>
      <c r="P469">
        <f>LN(_xll.ciqfunctions.udf.CIQ("XBI", "IQ_LASTSALEPRICE", WORKDAY(F469,-1))/_xll.ciqfunctions.udf.CIQ("XBI", "IQ_LASTSALEPRICE", WORKDAY(F469,1)))</f>
        <v>1.8358763724142243E-2</v>
      </c>
      <c r="Q469">
        <f>LN(_xll.ciqfunctions.udf.CIQ("XBI", "IQ_LASTSALEPRICE", WORKDAY(F469,-1))/_xll.ciqfunctions.udf.CIQ("XBI", "IQ_LASTSALEPRICE", WORKDAY(F469,5)))</f>
        <v>1.0869672236903891E-2</v>
      </c>
      <c r="R469">
        <f>_xll.ciqfunctions.udf.CIQ(A469, "IQ_SHORT_INTEREST_PERCENT", F469)</f>
        <v>2.27217</v>
      </c>
      <c r="S469">
        <f>_xll.ciqfunctions.udf.CIQ(A469, "IQ_BETA_1YR_RSQ", F469)</f>
        <v>4.7509999999999997E-2</v>
      </c>
      <c r="T469">
        <f>_xll.ciqfunctions.udf.CIQ(A469, "IQ_VALUE_TRADED", F469)</f>
        <v>19.115320000000001</v>
      </c>
    </row>
    <row r="470" spans="1:20" x14ac:dyDescent="0.3">
      <c r="A470" t="s">
        <v>1455</v>
      </c>
      <c r="B470">
        <v>25.61</v>
      </c>
      <c r="C470" t="s">
        <v>1456</v>
      </c>
      <c r="D470" t="s">
        <v>1457</v>
      </c>
      <c r="E470" t="s">
        <v>76</v>
      </c>
      <c r="F470" s="1">
        <v>45364</v>
      </c>
      <c r="G470" t="s">
        <v>1458</v>
      </c>
      <c r="H470">
        <v>46</v>
      </c>
      <c r="I470">
        <f>_xll.ciqfunctions.udf.CIQ(A470, "IQ_MARKETCAP", F470)</f>
        <v>1190.92319</v>
      </c>
      <c r="J470">
        <f>_xll.ciqfunctions.udf.CIQ(A470, "IQ_PRICE_VOL_HIST_6MTH", F470)</f>
        <v>71.352099999999993</v>
      </c>
      <c r="K470">
        <f>_xll.ciqfunctions.udf.CIQ(A470, "IQ_LASTSALEPRICE", WORKDAY(F470,-1))</f>
        <v>25.9</v>
      </c>
      <c r="L470">
        <f>_xll.ciqfunctions.udf.CIQ(A470, "IQ_LASTSALEPRICE", F470)</f>
        <v>25.61</v>
      </c>
      <c r="M470">
        <f>_xll.ciqfunctions.udf.CIQ(A470, "IQ_LASTSALEPRICE", WORKDAY(F470,5))</f>
        <v>22.91</v>
      </c>
      <c r="N470">
        <f t="shared" si="14"/>
        <v>-1.1260068494058122E-2</v>
      </c>
      <c r="O470">
        <f t="shared" si="15"/>
        <v>-0.12266947224008785</v>
      </c>
      <c r="P470">
        <f>LN(_xll.ciqfunctions.udf.CIQ("XBI", "IQ_LASTSALEPRICE", WORKDAY(F470,-1))/_xll.ciqfunctions.udf.CIQ("XBI", "IQ_LASTSALEPRICE", WORKDAY(F470,1)))</f>
        <v>1.8358763724142243E-2</v>
      </c>
      <c r="Q470">
        <f>LN(_xll.ciqfunctions.udf.CIQ("XBI", "IQ_LASTSALEPRICE", WORKDAY(F470,-1))/_xll.ciqfunctions.udf.CIQ("XBI", "IQ_LASTSALEPRICE", WORKDAY(F470,5)))</f>
        <v>1.0869672236903891E-2</v>
      </c>
      <c r="R470">
        <f>_xll.ciqfunctions.udf.CIQ(A470, "IQ_SHORT_INTEREST_PERCENT", F470)</f>
        <v>9.9339999999999998E-2</v>
      </c>
      <c r="S470">
        <f>_xll.ciqfunctions.udf.CIQ(A470, "IQ_BETA_1YR_RSQ", F470)</f>
        <v>3.3899999999999998E-3</v>
      </c>
      <c r="T470">
        <f>_xll.ciqfunctions.udf.CIQ(A470, "IQ_VALUE_TRADED", F470)</f>
        <v>14.08222</v>
      </c>
    </row>
    <row r="471" spans="1:20" x14ac:dyDescent="0.3">
      <c r="A471" t="s">
        <v>1459</v>
      </c>
      <c r="B471">
        <v>25.81</v>
      </c>
      <c r="C471" t="s">
        <v>1460</v>
      </c>
      <c r="D471" t="s">
        <v>1461</v>
      </c>
      <c r="E471" t="s">
        <v>46</v>
      </c>
      <c r="F471" s="1">
        <v>45364</v>
      </c>
      <c r="G471" t="s">
        <v>1462</v>
      </c>
      <c r="H471">
        <v>24</v>
      </c>
      <c r="I471">
        <f>_xll.ciqfunctions.udf.CIQ(A471, "IQ_MARKETCAP", F471)</f>
        <v>528.529</v>
      </c>
      <c r="J471">
        <f>_xll.ciqfunctions.udf.CIQ(A471, "IQ_PRICE_VOL_HIST_6MTH", F471)</f>
        <v>53.154699999999998</v>
      </c>
      <c r="K471">
        <f>_xll.ciqfunctions.udf.CIQ(A471, "IQ_LASTSALEPRICE", WORKDAY(F471,-1))</f>
        <v>2.0150000000000001</v>
      </c>
      <c r="L471">
        <f>_xll.ciqfunctions.udf.CIQ(A471, "IQ_LASTSALEPRICE", F471)</f>
        <v>1.956</v>
      </c>
      <c r="M471">
        <f>_xll.ciqfunctions.udf.CIQ(A471, "IQ_LASTSALEPRICE", WORKDAY(F471,5))</f>
        <v>2.19</v>
      </c>
      <c r="N471">
        <f t="shared" si="14"/>
        <v>-2.9717623786020747E-2</v>
      </c>
      <c r="O471">
        <f t="shared" si="15"/>
        <v>8.3282348429762981E-2</v>
      </c>
      <c r="P471">
        <f>LN(_xll.ciqfunctions.udf.CIQ("XBI", "IQ_LASTSALEPRICE", WORKDAY(F471,-1))/_xll.ciqfunctions.udf.CIQ("XBI", "IQ_LASTSALEPRICE", WORKDAY(F471,1)))</f>
        <v>1.8358763724142243E-2</v>
      </c>
      <c r="Q471">
        <f>LN(_xll.ciqfunctions.udf.CIQ("XBI", "IQ_LASTSALEPRICE", WORKDAY(F471,-1))/_xll.ciqfunctions.udf.CIQ("XBI", "IQ_LASTSALEPRICE", WORKDAY(F471,5)))</f>
        <v>1.0869672236903891E-2</v>
      </c>
      <c r="R471">
        <f>_xll.ciqfunctions.udf.CIQ(A471, "IQ_SHORT_INTEREST_PERCENT", F471)</f>
        <v>0</v>
      </c>
      <c r="S471">
        <f>_xll.ciqfunctions.udf.CIQ(A471, "IQ_BETA_1YR_RSQ", F471)</f>
        <v>8.9859999999999995E-2</v>
      </c>
      <c r="T471">
        <f>_xll.ciqfunctions.udf.CIQ(A471, "IQ_VALUE_TRADED", F471)</f>
        <v>0.80379</v>
      </c>
    </row>
    <row r="472" spans="1:20" x14ac:dyDescent="0.3">
      <c r="A472" t="s">
        <v>681</v>
      </c>
      <c r="B472">
        <v>0.79</v>
      </c>
      <c r="C472" t="s">
        <v>1463</v>
      </c>
      <c r="D472" t="s">
        <v>1464</v>
      </c>
      <c r="E472" t="s">
        <v>89</v>
      </c>
      <c r="F472" s="1">
        <v>45364</v>
      </c>
      <c r="G472" t="s">
        <v>1465</v>
      </c>
      <c r="H472">
        <v>301</v>
      </c>
      <c r="I472">
        <f>_xll.ciqfunctions.udf.CIQ(A472, "IQ_MARKETCAP", F472)</f>
        <v>140.45938000000001</v>
      </c>
      <c r="J472">
        <f>_xll.ciqfunctions.udf.CIQ(A472, "IQ_PRICE_VOL_HIST_6MTH", F472)</f>
        <v>142.0796</v>
      </c>
      <c r="K472">
        <f>_xll.ciqfunctions.udf.CIQ(A472, "IQ_LASTSALEPRICE", WORKDAY(F472,-1))</f>
        <v>0.86109999999999998</v>
      </c>
      <c r="L472">
        <f>_xll.ciqfunctions.udf.CIQ(A472, "IQ_LASTSALEPRICE", F472)</f>
        <v>0.78510000000000002</v>
      </c>
      <c r="M472">
        <f>_xll.ciqfunctions.udf.CIQ(A472, "IQ_LASTSALEPRICE", WORKDAY(F472,5))</f>
        <v>0.81610000000000005</v>
      </c>
      <c r="N472">
        <f t="shared" si="14"/>
        <v>-9.2399543497909645E-2</v>
      </c>
      <c r="O472">
        <f t="shared" si="15"/>
        <v>-5.3673745226922275E-2</v>
      </c>
      <c r="P472">
        <f>LN(_xll.ciqfunctions.udf.CIQ("XBI", "IQ_LASTSALEPRICE", WORKDAY(F472,-1))/_xll.ciqfunctions.udf.CIQ("XBI", "IQ_LASTSALEPRICE", WORKDAY(F472,1)))</f>
        <v>1.8358763724142243E-2</v>
      </c>
      <c r="Q472">
        <f>LN(_xll.ciqfunctions.udf.CIQ("XBI", "IQ_LASTSALEPRICE", WORKDAY(F472,-1))/_xll.ciqfunctions.udf.CIQ("XBI", "IQ_LASTSALEPRICE", WORKDAY(F472,5)))</f>
        <v>1.0869672236903891E-2</v>
      </c>
      <c r="R472">
        <f>_xll.ciqfunctions.udf.CIQ(A472, "IQ_SHORT_INTEREST_PERCENT", F472)</f>
        <v>5.6238900000000003</v>
      </c>
      <c r="S472">
        <f>_xll.ciqfunctions.udf.CIQ(A472, "IQ_BETA_1YR_RSQ", F472)</f>
        <v>8.3300000000000006E-3</v>
      </c>
      <c r="T472">
        <f>_xll.ciqfunctions.udf.CIQ(A472, "IQ_VALUE_TRADED", F472)</f>
        <v>2.2505099999999998</v>
      </c>
    </row>
    <row r="473" spans="1:20" x14ac:dyDescent="0.3">
      <c r="A473" t="s">
        <v>488</v>
      </c>
      <c r="B473" t="s">
        <v>43</v>
      </c>
      <c r="C473" t="s">
        <v>1463</v>
      </c>
      <c r="D473" t="s">
        <v>1464</v>
      </c>
      <c r="E473" t="s">
        <v>89</v>
      </c>
      <c r="F473" s="1">
        <v>45364</v>
      </c>
      <c r="G473" t="s">
        <v>1465</v>
      </c>
      <c r="H473">
        <v>946</v>
      </c>
      <c r="I473">
        <f>_xll.ciqfunctions.udf.CIQ(A473, "IQ_MARKETCAP", F473)</f>
        <v>682180.62829999998</v>
      </c>
      <c r="J473">
        <f>_xll.ciqfunctions.udf.CIQ(A473, "IQ_PRICE_VOL_HIST_6MTH", F473)</f>
        <v>29.3934</v>
      </c>
      <c r="K473">
        <f>_xll.ciqfunctions.udf.CIQ(A473, "IQ_LASTSALEPRICE", WORKDAY(F473,-1))</f>
        <v>754.95</v>
      </c>
      <c r="L473">
        <f>_xll.ciqfunctions.udf.CIQ(A473, "IQ_LASTSALEPRICE", F473)</f>
        <v>757.84</v>
      </c>
      <c r="M473">
        <f>_xll.ciqfunctions.udf.CIQ(A473, "IQ_LASTSALEPRICE", WORKDAY(F473,5))</f>
        <v>772.86</v>
      </c>
      <c r="N473">
        <f t="shared" si="14"/>
        <v>3.8207596768003371E-3</v>
      </c>
      <c r="O473">
        <f t="shared" si="15"/>
        <v>2.3446397745572858E-2</v>
      </c>
      <c r="P473">
        <f>LN(_xll.ciqfunctions.udf.CIQ("XBI", "IQ_LASTSALEPRICE", WORKDAY(F473,-1))/_xll.ciqfunctions.udf.CIQ("XBI", "IQ_LASTSALEPRICE", WORKDAY(F473,1)))</f>
        <v>1.8358763724142243E-2</v>
      </c>
      <c r="Q473">
        <f>LN(_xll.ciqfunctions.udf.CIQ("XBI", "IQ_LASTSALEPRICE", WORKDAY(F473,-1))/_xll.ciqfunctions.udf.CIQ("XBI", "IQ_LASTSALEPRICE", WORKDAY(F473,5)))</f>
        <v>1.0869672236903891E-2</v>
      </c>
      <c r="R473">
        <f>_xll.ciqfunctions.udf.CIQ(A473, "IQ_SHORT_INTEREST_PERCENT", F473)</f>
        <v>0.60248999999999997</v>
      </c>
      <c r="S473">
        <f>_xll.ciqfunctions.udf.CIQ(A473, "IQ_BETA_1YR_RSQ", F473)</f>
        <v>4.2300000000000003E-3</v>
      </c>
      <c r="T473">
        <f>_xll.ciqfunctions.udf.CIQ(A473, "IQ_VALUE_TRADED", F473)</f>
        <v>1786.59719</v>
      </c>
    </row>
    <row r="474" spans="1:20" x14ac:dyDescent="0.3">
      <c r="A474" t="s">
        <v>1289</v>
      </c>
      <c r="B474">
        <v>25.61</v>
      </c>
      <c r="C474" t="s">
        <v>1466</v>
      </c>
      <c r="D474" t="s">
        <v>1467</v>
      </c>
      <c r="E474" t="s">
        <v>76</v>
      </c>
      <c r="F474" s="1">
        <v>45364</v>
      </c>
      <c r="G474" t="s">
        <v>1468</v>
      </c>
      <c r="H474">
        <v>12</v>
      </c>
      <c r="I474">
        <f>_xll.ciqfunctions.udf.CIQ(A474, "IQ_MARKETCAP", F474)</f>
        <v>297.73739999999998</v>
      </c>
      <c r="J474">
        <f>_xll.ciqfunctions.udf.CIQ(A474, "IQ_PRICE_VOL_HIST_6MTH", F474)</f>
        <v>62.036000000000001</v>
      </c>
      <c r="K474">
        <f>_xll.ciqfunctions.udf.CIQ(A474, "IQ_LASTSALEPRICE", WORKDAY(F474,-1))</f>
        <v>25.65</v>
      </c>
      <c r="L474">
        <f>_xll.ciqfunctions.udf.CIQ(A474, "IQ_LASTSALEPRICE", F474)</f>
        <v>25.61</v>
      </c>
      <c r="M474">
        <f>_xll.ciqfunctions.udf.CIQ(A474, "IQ_LASTSALEPRICE", WORKDAY(F474,5))</f>
        <v>24.62</v>
      </c>
      <c r="N474">
        <f t="shared" si="14"/>
        <v>-1.5606714053446214E-3</v>
      </c>
      <c r="O474">
        <f t="shared" si="15"/>
        <v>-4.0984450860470936E-2</v>
      </c>
      <c r="P474">
        <f>LN(_xll.ciqfunctions.udf.CIQ("XBI", "IQ_LASTSALEPRICE", WORKDAY(F474,-1))/_xll.ciqfunctions.udf.CIQ("XBI", "IQ_LASTSALEPRICE", WORKDAY(F474,1)))</f>
        <v>1.8358763724142243E-2</v>
      </c>
      <c r="Q474">
        <f>LN(_xll.ciqfunctions.udf.CIQ("XBI", "IQ_LASTSALEPRICE", WORKDAY(F474,-1))/_xll.ciqfunctions.udf.CIQ("XBI", "IQ_LASTSALEPRICE", WORKDAY(F474,5)))</f>
        <v>1.0869672236903891E-2</v>
      </c>
      <c r="R474">
        <f>_xll.ciqfunctions.udf.CIQ(A474, "IQ_SHORT_INTEREST_PERCENT", F474)</f>
        <v>2.5079799999999999</v>
      </c>
      <c r="S474">
        <f>_xll.ciqfunctions.udf.CIQ(A474, "IQ_BETA_1YR_RSQ", F474)</f>
        <v>5.5000000000000003E-4</v>
      </c>
      <c r="T474">
        <f>_xll.ciqfunctions.udf.CIQ(A474, "IQ_VALUE_TRADED", F474)</f>
        <v>0.22095999999999999</v>
      </c>
    </row>
    <row r="475" spans="1:20" x14ac:dyDescent="0.3">
      <c r="A475" t="s">
        <v>351</v>
      </c>
      <c r="B475">
        <v>14.13</v>
      </c>
      <c r="C475" t="s">
        <v>1466</v>
      </c>
      <c r="D475" t="s">
        <v>1467</v>
      </c>
      <c r="E475" t="s">
        <v>76</v>
      </c>
      <c r="F475" s="1">
        <v>45364</v>
      </c>
      <c r="G475" t="s">
        <v>1468</v>
      </c>
      <c r="I475">
        <f>_xll.ciqfunctions.udf.CIQ(A475, "IQ_MARKETCAP", F475)</f>
        <v>6705542.5005700001</v>
      </c>
      <c r="J475">
        <f>_xll.ciqfunctions.udf.CIQ(A475, "IQ_PRICE_VOL_HIST_6MTH", F475)</f>
        <v>19.827500000000001</v>
      </c>
      <c r="K475">
        <f>_xll.ciqfunctions.udf.CIQ(A475, "IQ_LASTSALEPRICE", WORKDAY(F475,-1))</f>
        <v>14.37</v>
      </c>
      <c r="L475">
        <f>_xll.ciqfunctions.udf.CIQ(A475, "IQ_LASTSALEPRICE", F475)</f>
        <v>14.42</v>
      </c>
      <c r="M475">
        <f>_xll.ciqfunctions.udf.CIQ(A475, "IQ_LASTSALEPRICE", WORKDAY(F475,5))</f>
        <v>14.55</v>
      </c>
      <c r="N475">
        <f t="shared" si="14"/>
        <v>3.4734317658695786E-3</v>
      </c>
      <c r="O475">
        <f t="shared" si="15"/>
        <v>1.2448293526568082E-2</v>
      </c>
      <c r="P475">
        <f>LN(_xll.ciqfunctions.udf.CIQ("XBI", "IQ_LASTSALEPRICE", WORKDAY(F475,-1))/_xll.ciqfunctions.udf.CIQ("XBI", "IQ_LASTSALEPRICE", WORKDAY(F475,1)))</f>
        <v>1.8358763724142243E-2</v>
      </c>
      <c r="Q475">
        <f>LN(_xll.ciqfunctions.udf.CIQ("XBI", "IQ_LASTSALEPRICE", WORKDAY(F475,-1))/_xll.ciqfunctions.udf.CIQ("XBI", "IQ_LASTSALEPRICE", WORKDAY(F475,5)))</f>
        <v>1.0869672236903891E-2</v>
      </c>
      <c r="R475">
        <f>_xll.ciqfunctions.udf.CIQ(A475, "IQ_SHORT_INTEREST_PERCENT", F475)</f>
        <v>0</v>
      </c>
      <c r="S475">
        <f>_xll.ciqfunctions.udf.CIQ(A475, "IQ_BETA_1YR_RSQ", F475)</f>
        <v>0</v>
      </c>
      <c r="T475">
        <f>_xll.ciqfunctions.udf.CIQ(A475, "IQ_VALUE_TRADED", F475)</f>
        <v>21.468859999999999</v>
      </c>
    </row>
    <row r="476" spans="1:20" x14ac:dyDescent="0.3">
      <c r="A476" t="s">
        <v>1469</v>
      </c>
      <c r="B476">
        <v>9.18</v>
      </c>
      <c r="C476" t="s">
        <v>1470</v>
      </c>
      <c r="D476" t="s">
        <v>1471</v>
      </c>
      <c r="E476" t="s">
        <v>46</v>
      </c>
      <c r="F476" s="1">
        <v>45364</v>
      </c>
      <c r="G476" t="s">
        <v>1472</v>
      </c>
      <c r="H476">
        <v>5</v>
      </c>
      <c r="I476">
        <f>_xll.ciqfunctions.udf.CIQ(A476, "IQ_MARKETCAP", F476)</f>
        <v>2.4923199999999999</v>
      </c>
      <c r="J476">
        <f>_xll.ciqfunctions.udf.CIQ(A476, "IQ_PRICE_VOL_HIST_6MTH", F476)</f>
        <v>161.67939999999999</v>
      </c>
      <c r="K476">
        <f>_xll.ciqfunctions.udf.CIQ(A476, "IQ_LASTSALEPRICE", WORKDAY(F476,-1))</f>
        <v>8.82</v>
      </c>
      <c r="L476">
        <f>_xll.ciqfunctions.udf.CIQ(A476, "IQ_LASTSALEPRICE", F476)</f>
        <v>9.18</v>
      </c>
      <c r="M476">
        <f>_xll.ciqfunctions.udf.CIQ(A476, "IQ_LASTSALEPRICE", WORKDAY(F476,5))</f>
        <v>9.6300000000000008</v>
      </c>
      <c r="N476">
        <f t="shared" si="14"/>
        <v>4.0005334613698991E-2</v>
      </c>
      <c r="O476">
        <f t="shared" si="15"/>
        <v>8.786135579133425E-2</v>
      </c>
      <c r="P476">
        <f>LN(_xll.ciqfunctions.udf.CIQ("XBI", "IQ_LASTSALEPRICE", WORKDAY(F476,-1))/_xll.ciqfunctions.udf.CIQ("XBI", "IQ_LASTSALEPRICE", WORKDAY(F476,1)))</f>
        <v>1.8358763724142243E-2</v>
      </c>
      <c r="Q476">
        <f>LN(_xll.ciqfunctions.udf.CIQ("XBI", "IQ_LASTSALEPRICE", WORKDAY(F476,-1))/_xll.ciqfunctions.udf.CIQ("XBI", "IQ_LASTSALEPRICE", WORKDAY(F476,5)))</f>
        <v>1.0869672236903891E-2</v>
      </c>
      <c r="R476">
        <f>_xll.ciqfunctions.udf.CIQ(A476, "IQ_SHORT_INTEREST_PERCENT", F476)</f>
        <v>1.8809899999999999</v>
      </c>
      <c r="S476">
        <f>_xll.ciqfunctions.udf.CIQ(A476, "IQ_BETA_1YR_RSQ", F476)</f>
        <v>7.26E-3</v>
      </c>
      <c r="T476">
        <f>_xll.ciqfunctions.udf.CIQ(A476, "IQ_VALUE_TRADED", F476)</f>
        <v>0.49925999999999998</v>
      </c>
    </row>
    <row r="477" spans="1:20" x14ac:dyDescent="0.3">
      <c r="A477" t="s">
        <v>470</v>
      </c>
      <c r="B477">
        <v>5.19</v>
      </c>
      <c r="C477" t="s">
        <v>1473</v>
      </c>
      <c r="D477" t="s">
        <v>1474</v>
      </c>
      <c r="E477" t="s">
        <v>197</v>
      </c>
      <c r="F477" s="1">
        <v>45364</v>
      </c>
      <c r="G477" t="s">
        <v>1475</v>
      </c>
      <c r="I477">
        <f>_xll.ciqfunctions.udf.CIQ(A477, "IQ_MARKETCAP", F477)</f>
        <v>212.94519</v>
      </c>
      <c r="J477">
        <f>_xll.ciqfunctions.udf.CIQ(A477, "IQ_PRICE_VOL_HIST_6MTH", F477)</f>
        <v>86.459800000000001</v>
      </c>
      <c r="K477">
        <f>_xll.ciqfunctions.udf.CIQ(A477, "IQ_LASTSALEPRICE", WORKDAY(F477,-1))</f>
        <v>372.00092999999998</v>
      </c>
      <c r="L477">
        <f>_xll.ciqfunctions.udf.CIQ(A477, "IQ_LASTSALEPRICE", F477)</f>
        <v>389.25097</v>
      </c>
      <c r="M477">
        <f>_xll.ciqfunctions.udf.CIQ(A477, "IQ_LASTSALEPRICE", WORKDAY(F477,5))</f>
        <v>55.860140000000001</v>
      </c>
      <c r="N477">
        <f t="shared" si="14"/>
        <v>4.5327948412721857E-2</v>
      </c>
      <c r="O477">
        <f t="shared" si="15"/>
        <v>-1.8960452874904672</v>
      </c>
      <c r="P477">
        <f>LN(_xll.ciqfunctions.udf.CIQ("XBI", "IQ_LASTSALEPRICE", WORKDAY(F477,-1))/_xll.ciqfunctions.udf.CIQ("XBI", "IQ_LASTSALEPRICE", WORKDAY(F477,1)))</f>
        <v>1.8358763724142243E-2</v>
      </c>
      <c r="Q477">
        <f>LN(_xll.ciqfunctions.udf.CIQ("XBI", "IQ_LASTSALEPRICE", WORKDAY(F477,-1))/_xll.ciqfunctions.udf.CIQ("XBI", "IQ_LASTSALEPRICE", WORKDAY(F477,5)))</f>
        <v>1.0869672236903891E-2</v>
      </c>
      <c r="R477">
        <f>_xll.ciqfunctions.udf.CIQ(A477, "IQ_SHORT_INTEREST_PERCENT", F477)</f>
        <v>8.2089999999999996E-2</v>
      </c>
      <c r="S477">
        <f>_xll.ciqfunctions.udf.CIQ(A477, "IQ_BETA_1YR_RSQ", F477)</f>
        <v>2.9520000000000001E-2</v>
      </c>
      <c r="T477">
        <f>_xll.ciqfunctions.udf.CIQ(A477, "IQ_VALUE_TRADED", F477)</f>
        <v>18.895800000000001</v>
      </c>
    </row>
    <row r="478" spans="1:20" x14ac:dyDescent="0.3">
      <c r="A478" t="s">
        <v>470</v>
      </c>
      <c r="B478">
        <v>5.19</v>
      </c>
      <c r="C478" t="s">
        <v>1476</v>
      </c>
      <c r="D478" t="s">
        <v>1477</v>
      </c>
      <c r="E478" t="s">
        <v>76</v>
      </c>
      <c r="F478" s="1">
        <v>45364</v>
      </c>
      <c r="G478" t="s">
        <v>1478</v>
      </c>
      <c r="I478">
        <f>_xll.ciqfunctions.udf.CIQ(A478, "IQ_MARKETCAP", F478)</f>
        <v>212.94519</v>
      </c>
      <c r="J478">
        <f>_xll.ciqfunctions.udf.CIQ(A478, "IQ_PRICE_VOL_HIST_6MTH", F478)</f>
        <v>86.459800000000001</v>
      </c>
      <c r="K478">
        <f>_xll.ciqfunctions.udf.CIQ(A478, "IQ_LASTSALEPRICE", WORKDAY(F478,-1))</f>
        <v>372.00092999999998</v>
      </c>
      <c r="L478">
        <f>_xll.ciqfunctions.udf.CIQ(A478, "IQ_LASTSALEPRICE", F478)</f>
        <v>389.25097</v>
      </c>
      <c r="M478">
        <f>_xll.ciqfunctions.udf.CIQ(A478, "IQ_LASTSALEPRICE", WORKDAY(F478,5))</f>
        <v>55.860140000000001</v>
      </c>
      <c r="N478">
        <f t="shared" si="14"/>
        <v>4.5327948412721857E-2</v>
      </c>
      <c r="O478">
        <f t="shared" si="15"/>
        <v>-1.8960452874904672</v>
      </c>
      <c r="P478">
        <f>LN(_xll.ciqfunctions.udf.CIQ("XBI", "IQ_LASTSALEPRICE", WORKDAY(F478,-1))/_xll.ciqfunctions.udf.CIQ("XBI", "IQ_LASTSALEPRICE", WORKDAY(F478,1)))</f>
        <v>1.8358763724142243E-2</v>
      </c>
      <c r="Q478">
        <f>LN(_xll.ciqfunctions.udf.CIQ("XBI", "IQ_LASTSALEPRICE", WORKDAY(F478,-1))/_xll.ciqfunctions.udf.CIQ("XBI", "IQ_LASTSALEPRICE", WORKDAY(F478,5)))</f>
        <v>1.0869672236903891E-2</v>
      </c>
      <c r="R478">
        <f>_xll.ciqfunctions.udf.CIQ(A478, "IQ_SHORT_INTEREST_PERCENT", F478)</f>
        <v>8.2089999999999996E-2</v>
      </c>
      <c r="S478">
        <f>_xll.ciqfunctions.udf.CIQ(A478, "IQ_BETA_1YR_RSQ", F478)</f>
        <v>2.9520000000000001E-2</v>
      </c>
      <c r="T478">
        <f>_xll.ciqfunctions.udf.CIQ(A478, "IQ_VALUE_TRADED", F478)</f>
        <v>18.895800000000001</v>
      </c>
    </row>
    <row r="479" spans="1:20" x14ac:dyDescent="0.3">
      <c r="A479" t="s">
        <v>1479</v>
      </c>
      <c r="B479">
        <v>27.77</v>
      </c>
      <c r="C479" t="s">
        <v>1480</v>
      </c>
      <c r="D479" t="s">
        <v>1481</v>
      </c>
      <c r="E479" t="s">
        <v>160</v>
      </c>
      <c r="F479" s="1">
        <v>45364</v>
      </c>
      <c r="G479" t="s">
        <v>1482</v>
      </c>
      <c r="H479">
        <v>50</v>
      </c>
      <c r="I479">
        <f>_xll.ciqfunctions.udf.CIQ(A479, "IQ_MARKETCAP", F479)</f>
        <v>1294.47839</v>
      </c>
      <c r="J479">
        <f>_xll.ciqfunctions.udf.CIQ(A479, "IQ_PRICE_VOL_HIST_6MTH", F479)</f>
        <v>49.502299999999998</v>
      </c>
      <c r="K479">
        <f>_xll.ciqfunctions.udf.CIQ(A479, "IQ_LASTSALEPRICE", WORKDAY(F479,-1))</f>
        <v>27.48</v>
      </c>
      <c r="L479">
        <f>_xll.ciqfunctions.udf.CIQ(A479, "IQ_LASTSALEPRICE", F479)</f>
        <v>27.77</v>
      </c>
      <c r="M479">
        <f>_xll.ciqfunctions.udf.CIQ(A479, "IQ_LASTSALEPRICE", WORKDAY(F479,5))</f>
        <v>26.99</v>
      </c>
      <c r="N479">
        <f t="shared" si="14"/>
        <v>1.0497833964559495E-2</v>
      </c>
      <c r="O479">
        <f t="shared" si="15"/>
        <v>-1.7992040324235414E-2</v>
      </c>
      <c r="P479">
        <f>LN(_xll.ciqfunctions.udf.CIQ("XBI", "IQ_LASTSALEPRICE", WORKDAY(F479,-1))/_xll.ciqfunctions.udf.CIQ("XBI", "IQ_LASTSALEPRICE", WORKDAY(F479,1)))</f>
        <v>1.8358763724142243E-2</v>
      </c>
      <c r="Q479">
        <f>LN(_xll.ciqfunctions.udf.CIQ("XBI", "IQ_LASTSALEPRICE", WORKDAY(F479,-1))/_xll.ciqfunctions.udf.CIQ("XBI", "IQ_LASTSALEPRICE", WORKDAY(F479,5)))</f>
        <v>1.0869672236903891E-2</v>
      </c>
      <c r="R479">
        <f>_xll.ciqfunctions.udf.CIQ(A479, "IQ_SHORT_INTEREST_PERCENT", F479)</f>
        <v>16.435980000000001</v>
      </c>
      <c r="S479">
        <f>_xll.ciqfunctions.udf.CIQ(A479, "IQ_BETA_1YR_RSQ", F479)</f>
        <v>3.3759999999999998E-2</v>
      </c>
      <c r="T479">
        <f>_xll.ciqfunctions.udf.CIQ(A479, "IQ_VALUE_TRADED", F479)</f>
        <v>16.213760000000001</v>
      </c>
    </row>
    <row r="480" spans="1:20" x14ac:dyDescent="0.3">
      <c r="A480" t="s">
        <v>851</v>
      </c>
      <c r="B480">
        <v>4.34</v>
      </c>
      <c r="C480" t="s">
        <v>852</v>
      </c>
      <c r="D480" t="s">
        <v>853</v>
      </c>
      <c r="E480" t="s">
        <v>89</v>
      </c>
      <c r="F480" s="1">
        <v>45364</v>
      </c>
      <c r="G480" t="s">
        <v>1483</v>
      </c>
      <c r="H480">
        <v>13</v>
      </c>
      <c r="I480">
        <f>_xll.ciqfunctions.udf.CIQ(A480, "IQ_MARKETCAP", F480)</f>
        <v>46.612099999999998</v>
      </c>
      <c r="J480">
        <f>_xll.ciqfunctions.udf.CIQ(A480, "IQ_PRICE_VOL_HIST_6MTH", F480)</f>
        <v>116.6849</v>
      </c>
      <c r="K480">
        <f>_xll.ciqfunctions.udf.CIQ(A480, "IQ_LASTSALEPRICE", WORKDAY(F480,-1))</f>
        <v>4.5</v>
      </c>
      <c r="L480">
        <f>_xll.ciqfunctions.udf.CIQ(A480, "IQ_LASTSALEPRICE", F480)</f>
        <v>4.34</v>
      </c>
      <c r="M480">
        <f>_xll.ciqfunctions.udf.CIQ(A480, "IQ_LASTSALEPRICE", WORKDAY(F480,5))</f>
        <v>3.46</v>
      </c>
      <c r="N480">
        <f t="shared" si="14"/>
        <v>-3.6203048663960589E-2</v>
      </c>
      <c r="O480">
        <f t="shared" si="15"/>
        <v>-0.26280880770664122</v>
      </c>
      <c r="P480">
        <f>LN(_xll.ciqfunctions.udf.CIQ("XBI", "IQ_LASTSALEPRICE", WORKDAY(F480,-1))/_xll.ciqfunctions.udf.CIQ("XBI", "IQ_LASTSALEPRICE", WORKDAY(F480,1)))</f>
        <v>1.8358763724142243E-2</v>
      </c>
      <c r="Q480">
        <f>LN(_xll.ciqfunctions.udf.CIQ("XBI", "IQ_LASTSALEPRICE", WORKDAY(F480,-1))/_xll.ciqfunctions.udf.CIQ("XBI", "IQ_LASTSALEPRICE", WORKDAY(F480,5)))</f>
        <v>1.0869672236903891E-2</v>
      </c>
      <c r="R480">
        <f>_xll.ciqfunctions.udf.CIQ(A480, "IQ_SHORT_INTEREST_PERCENT", F480)</f>
        <v>0.19386999999999999</v>
      </c>
      <c r="S480">
        <f>_xll.ciqfunctions.udf.CIQ(A480, "IQ_BETA_1YR_RSQ", F480)</f>
        <v>3.7690000000000001E-2</v>
      </c>
      <c r="T480">
        <f>_xll.ciqfunctions.udf.CIQ(A480, "IQ_VALUE_TRADED", F480)</f>
        <v>0.14940000000000001</v>
      </c>
    </row>
    <row r="481" spans="1:20" x14ac:dyDescent="0.3">
      <c r="A481" t="s">
        <v>1145</v>
      </c>
      <c r="B481">
        <v>0.87</v>
      </c>
      <c r="C481" t="s">
        <v>1146</v>
      </c>
      <c r="D481" t="s">
        <v>1147</v>
      </c>
      <c r="E481" t="s">
        <v>184</v>
      </c>
      <c r="F481" s="1">
        <v>45364</v>
      </c>
      <c r="G481" t="s">
        <v>1484</v>
      </c>
      <c r="H481">
        <v>2</v>
      </c>
      <c r="I481">
        <f>_xll.ciqfunctions.udf.CIQ(A481, "IQ_MARKETCAP", F481)</f>
        <v>8.1867699999999992</v>
      </c>
      <c r="J481">
        <f>_xll.ciqfunctions.udf.CIQ(A481, "IQ_PRICE_VOL_HIST_6MTH", F481)</f>
        <v>89.898799999999994</v>
      </c>
      <c r="K481">
        <f>_xll.ciqfunctions.udf.CIQ(A481, "IQ_LASTSALEPRICE", WORKDAY(F481,-1))</f>
        <v>12.13043</v>
      </c>
      <c r="L481">
        <f>_xll.ciqfunctions.udf.CIQ(A481, "IQ_LASTSALEPRICE", F481)</f>
        <v>11.360860000000001</v>
      </c>
      <c r="M481">
        <f>_xll.ciqfunctions.udf.CIQ(A481, "IQ_LASTSALEPRICE", WORKDAY(F481,5))</f>
        <v>10.173909999999999</v>
      </c>
      <c r="N481">
        <f t="shared" si="14"/>
        <v>-6.554305697396802E-2</v>
      </c>
      <c r="O481">
        <f t="shared" si="15"/>
        <v>-0.17589057134369745</v>
      </c>
      <c r="P481">
        <f>LN(_xll.ciqfunctions.udf.CIQ("XBI", "IQ_LASTSALEPRICE", WORKDAY(F481,-1))/_xll.ciqfunctions.udf.CIQ("XBI", "IQ_LASTSALEPRICE", WORKDAY(F481,1)))</f>
        <v>1.8358763724142243E-2</v>
      </c>
      <c r="Q481">
        <f>LN(_xll.ciqfunctions.udf.CIQ("XBI", "IQ_LASTSALEPRICE", WORKDAY(F481,-1))/_xll.ciqfunctions.udf.CIQ("XBI", "IQ_LASTSALEPRICE", WORKDAY(F481,5)))</f>
        <v>1.0869672236903891E-2</v>
      </c>
      <c r="R481">
        <f>_xll.ciqfunctions.udf.CIQ(A481, "IQ_SHORT_INTEREST_PERCENT", F481)</f>
        <v>5.2256600000000004</v>
      </c>
      <c r="S481">
        <f>_xll.ciqfunctions.udf.CIQ(A481, "IQ_BETA_1YR_RSQ", F481)</f>
        <v>7.8300000000000002E-3</v>
      </c>
      <c r="T481">
        <f>_xll.ciqfunctions.udf.CIQ(A481, "IQ_VALUE_TRADED", F481)</f>
        <v>3.2669999999999998E-2</v>
      </c>
    </row>
    <row r="482" spans="1:20" x14ac:dyDescent="0.3">
      <c r="A482" t="s">
        <v>462</v>
      </c>
      <c r="B482">
        <v>43.16</v>
      </c>
      <c r="C482" t="s">
        <v>1485</v>
      </c>
      <c r="D482" t="s">
        <v>1486</v>
      </c>
      <c r="E482" t="s">
        <v>76</v>
      </c>
      <c r="F482" s="1">
        <v>45364</v>
      </c>
      <c r="G482" t="s">
        <v>1487</v>
      </c>
      <c r="H482">
        <v>159</v>
      </c>
      <c r="I482">
        <f>_xll.ciqfunctions.udf.CIQ(A482, "IQ_MARKETCAP", F482)</f>
        <v>6290.6475600000003</v>
      </c>
      <c r="J482">
        <f>_xll.ciqfunctions.udf.CIQ(A482, "IQ_PRICE_VOL_HIST_6MTH", F482)</f>
        <v>37.572600000000001</v>
      </c>
      <c r="K482">
        <f>_xll.ciqfunctions.udf.CIQ(A482, "IQ_LASTSALEPRICE", WORKDAY(F482,-1))</f>
        <v>43.17</v>
      </c>
      <c r="L482">
        <f>_xll.ciqfunctions.udf.CIQ(A482, "IQ_LASTSALEPRICE", F482)</f>
        <v>43.16</v>
      </c>
      <c r="M482">
        <f>_xll.ciqfunctions.udf.CIQ(A482, "IQ_LASTSALEPRICE", WORKDAY(F482,5))</f>
        <v>42.78</v>
      </c>
      <c r="N482">
        <f t="shared" si="14"/>
        <v>-2.3166917745239034E-4</v>
      </c>
      <c r="O482">
        <f t="shared" si="15"/>
        <v>-9.0751059131266073E-3</v>
      </c>
      <c r="P482">
        <f>LN(_xll.ciqfunctions.udf.CIQ("XBI", "IQ_LASTSALEPRICE", WORKDAY(F482,-1))/_xll.ciqfunctions.udf.CIQ("XBI", "IQ_LASTSALEPRICE", WORKDAY(F482,1)))</f>
        <v>1.8358763724142243E-2</v>
      </c>
      <c r="Q482">
        <f>LN(_xll.ciqfunctions.udf.CIQ("XBI", "IQ_LASTSALEPRICE", WORKDAY(F482,-1))/_xll.ciqfunctions.udf.CIQ("XBI", "IQ_LASTSALEPRICE", WORKDAY(F482,5)))</f>
        <v>1.0869672236903891E-2</v>
      </c>
      <c r="R482">
        <f>_xll.ciqfunctions.udf.CIQ(A482, "IQ_SHORT_INTEREST_PERCENT", F482)</f>
        <v>6.2481499999999999</v>
      </c>
      <c r="S482">
        <f>_xll.ciqfunctions.udf.CIQ(A482, "IQ_BETA_1YR_RSQ", F482)</f>
        <v>0.16264000000000001</v>
      </c>
      <c r="T482">
        <f>_xll.ciqfunctions.udf.CIQ(A482, "IQ_VALUE_TRADED", F482)</f>
        <v>47.933500000000002</v>
      </c>
    </row>
    <row r="483" spans="1:20" x14ac:dyDescent="0.3">
      <c r="A483" t="s">
        <v>1488</v>
      </c>
      <c r="B483">
        <v>30.29</v>
      </c>
      <c r="C483" t="s">
        <v>1489</v>
      </c>
      <c r="D483" t="s">
        <v>1490</v>
      </c>
      <c r="E483" t="s">
        <v>22</v>
      </c>
      <c r="F483" s="1">
        <v>45364</v>
      </c>
      <c r="G483" t="s">
        <v>1491</v>
      </c>
      <c r="H483">
        <v>44</v>
      </c>
      <c r="I483">
        <f>_xll.ciqfunctions.udf.CIQ(A483, "IQ_MARKETCAP", F483)</f>
        <v>1408.50857</v>
      </c>
      <c r="J483">
        <f>_xll.ciqfunctions.udf.CIQ(A483, "IQ_PRICE_VOL_HIST_6MTH", F483)</f>
        <v>38.2209</v>
      </c>
      <c r="K483">
        <f>_xll.ciqfunctions.udf.CIQ(A483, "IQ_LASTSALEPRICE", WORKDAY(F483,-1))</f>
        <v>30.56</v>
      </c>
      <c r="L483">
        <f>_xll.ciqfunctions.udf.CIQ(A483, "IQ_LASTSALEPRICE", F483)</f>
        <v>30.29</v>
      </c>
      <c r="M483">
        <f>_xll.ciqfunctions.udf.CIQ(A483, "IQ_LASTSALEPRICE", WORKDAY(F483,5))</f>
        <v>30.02</v>
      </c>
      <c r="N483">
        <f t="shared" si="14"/>
        <v>-8.8743392591738215E-3</v>
      </c>
      <c r="O483">
        <f t="shared" si="15"/>
        <v>-1.7828138093003872E-2</v>
      </c>
      <c r="P483">
        <f>LN(_xll.ciqfunctions.udf.CIQ("XBI", "IQ_LASTSALEPRICE", WORKDAY(F483,-1))/_xll.ciqfunctions.udf.CIQ("XBI", "IQ_LASTSALEPRICE", WORKDAY(F483,1)))</f>
        <v>1.8358763724142243E-2</v>
      </c>
      <c r="Q483">
        <f>LN(_xll.ciqfunctions.udf.CIQ("XBI", "IQ_LASTSALEPRICE", WORKDAY(F483,-1))/_xll.ciqfunctions.udf.CIQ("XBI", "IQ_LASTSALEPRICE", WORKDAY(F483,5)))</f>
        <v>1.0869672236903891E-2</v>
      </c>
      <c r="R483">
        <f>_xll.ciqfunctions.udf.CIQ(A483, "IQ_SHORT_INTEREST_PERCENT", F483)</f>
        <v>8.9761900000000008</v>
      </c>
      <c r="S483">
        <f>_xll.ciqfunctions.udf.CIQ(A483, "IQ_BETA_1YR_RSQ", F483)</f>
        <v>5.5019999999999999E-2</v>
      </c>
      <c r="T483">
        <f>_xll.ciqfunctions.udf.CIQ(A483, "IQ_VALUE_TRADED", F483)</f>
        <v>11.20621</v>
      </c>
    </row>
    <row r="484" spans="1:20" x14ac:dyDescent="0.3">
      <c r="A484" t="s">
        <v>1492</v>
      </c>
      <c r="B484">
        <v>1.04</v>
      </c>
      <c r="C484" t="s">
        <v>1493</v>
      </c>
      <c r="D484" t="s">
        <v>1494</v>
      </c>
      <c r="E484" t="s">
        <v>17</v>
      </c>
      <c r="F484" s="1">
        <v>45364</v>
      </c>
      <c r="G484" t="s">
        <v>1495</v>
      </c>
      <c r="H484">
        <v>292</v>
      </c>
      <c r="I484">
        <f>_xll.ciqfunctions.udf.CIQ(A484, "IQ_MARKETCAP", F484)</f>
        <v>266.76253000000003</v>
      </c>
      <c r="J484">
        <f>_xll.ciqfunctions.udf.CIQ(A484, "IQ_PRICE_VOL_HIST_6MTH", F484)</f>
        <v>88.583299999999994</v>
      </c>
      <c r="K484">
        <f>_xll.ciqfunctions.udf.CIQ(A484, "IQ_LASTSALEPRICE", WORKDAY(F484,-1))</f>
        <v>0.98399999999999999</v>
      </c>
      <c r="L484">
        <f>_xll.ciqfunctions.udf.CIQ(A484, "IQ_LASTSALEPRICE", F484)</f>
        <v>1.04</v>
      </c>
      <c r="M484">
        <f>_xll.ciqfunctions.udf.CIQ(A484, "IQ_LASTSALEPRICE", WORKDAY(F484,5))</f>
        <v>1.24</v>
      </c>
      <c r="N484">
        <f t="shared" si="14"/>
        <v>5.5350095083164901E-2</v>
      </c>
      <c r="O484">
        <f t="shared" si="15"/>
        <v>0.23124076154682918</v>
      </c>
      <c r="P484">
        <f>LN(_xll.ciqfunctions.udf.CIQ("XBI", "IQ_LASTSALEPRICE", WORKDAY(F484,-1))/_xll.ciqfunctions.udf.CIQ("XBI", "IQ_LASTSALEPRICE", WORKDAY(F484,1)))</f>
        <v>1.8358763724142243E-2</v>
      </c>
      <c r="Q484">
        <f>LN(_xll.ciqfunctions.udf.CIQ("XBI", "IQ_LASTSALEPRICE", WORKDAY(F484,-1))/_xll.ciqfunctions.udf.CIQ("XBI", "IQ_LASTSALEPRICE", WORKDAY(F484,5)))</f>
        <v>1.0869672236903891E-2</v>
      </c>
      <c r="R484">
        <f>_xll.ciqfunctions.udf.CIQ(A484, "IQ_SHORT_INTEREST_PERCENT", F484)</f>
        <v>14.288040000000001</v>
      </c>
      <c r="S484">
        <f>_xll.ciqfunctions.udf.CIQ(A484, "IQ_BETA_1YR_RSQ", F484)</f>
        <v>6.7000000000000002E-4</v>
      </c>
      <c r="T484">
        <f>_xll.ciqfunctions.udf.CIQ(A484, "IQ_VALUE_TRADED", F484)</f>
        <v>5.7787800000000002</v>
      </c>
    </row>
    <row r="485" spans="1:20" x14ac:dyDescent="0.3">
      <c r="A485" t="s">
        <v>972</v>
      </c>
      <c r="B485">
        <v>2.9</v>
      </c>
      <c r="C485" t="s">
        <v>973</v>
      </c>
      <c r="D485" t="s">
        <v>974</v>
      </c>
      <c r="E485" t="s">
        <v>22</v>
      </c>
      <c r="F485" s="1">
        <v>45365</v>
      </c>
      <c r="G485" t="s">
        <v>1496</v>
      </c>
      <c r="H485">
        <v>36</v>
      </c>
      <c r="I485">
        <f>_xll.ciqfunctions.udf.CIQ(A485, "IQ_MARKETCAP", F485)</f>
        <v>84.921490000000006</v>
      </c>
      <c r="J485">
        <f>_xll.ciqfunctions.udf.CIQ(A485, "IQ_PRICE_VOL_HIST_6MTH", F485)</f>
        <v>139.0675</v>
      </c>
      <c r="K485">
        <f>_xll.ciqfunctions.udf.CIQ(A485, "IQ_LASTSALEPRICE", WORKDAY(F485,-1))</f>
        <v>5.88</v>
      </c>
      <c r="L485">
        <f>_xll.ciqfunctions.udf.CIQ(A485, "IQ_LASTSALEPRICE", F485)</f>
        <v>2.9</v>
      </c>
      <c r="M485">
        <f>_xll.ciqfunctions.udf.CIQ(A485, "IQ_LASTSALEPRICE", WORKDAY(F485,5))</f>
        <v>2.73</v>
      </c>
      <c r="N485">
        <f t="shared" si="14"/>
        <v>-0.70684602491810722</v>
      </c>
      <c r="O485">
        <f t="shared" si="15"/>
        <v>-0.76725515271366718</v>
      </c>
      <c r="P485">
        <f>LN(_xll.ciqfunctions.udf.CIQ("XBI", "IQ_LASTSALEPRICE", WORKDAY(F485,-1))/_xll.ciqfunctions.udf.CIQ("XBI", "IQ_LASTSALEPRICE", WORKDAY(F485,1)))</f>
        <v>2.4921784059269265E-2</v>
      </c>
      <c r="Q485">
        <f>LN(_xll.ciqfunctions.udf.CIQ("XBI", "IQ_LASTSALEPRICE", WORKDAY(F485,-1))/_xll.ciqfunctions.udf.CIQ("XBI", "IQ_LASTSALEPRICE", WORKDAY(F485,5)))</f>
        <v>1.9761433499959527E-2</v>
      </c>
      <c r="R485">
        <f>_xll.ciqfunctions.udf.CIQ(A485, "IQ_SHORT_INTEREST_PERCENT", F485)</f>
        <v>9.1676699999999993</v>
      </c>
      <c r="S485">
        <f>_xll.ciqfunctions.udf.CIQ(A485, "IQ_BETA_1YR_RSQ", F485)</f>
        <v>0.15118000000000001</v>
      </c>
      <c r="T485">
        <f>_xll.ciqfunctions.udf.CIQ(A485, "IQ_VALUE_TRADED", F485)</f>
        <v>18.206389999999999</v>
      </c>
    </row>
    <row r="486" spans="1:20" x14ac:dyDescent="0.3">
      <c r="A486" t="s">
        <v>1497</v>
      </c>
      <c r="B486">
        <v>9.15</v>
      </c>
      <c r="C486" t="s">
        <v>1498</v>
      </c>
      <c r="D486" t="s">
        <v>1499</v>
      </c>
      <c r="E486" t="s">
        <v>46</v>
      </c>
      <c r="F486" s="1">
        <v>45365</v>
      </c>
      <c r="G486" t="s">
        <v>1500</v>
      </c>
      <c r="H486">
        <v>25</v>
      </c>
      <c r="I486">
        <f>_xll.ciqfunctions.udf.CIQ(A486, "IQ_MARKETCAP", F486)</f>
        <v>162.58474000000001</v>
      </c>
      <c r="J486">
        <f>_xll.ciqfunctions.udf.CIQ(A486, "IQ_PRICE_VOL_HIST_6MTH", F486)</f>
        <v>78.010199999999998</v>
      </c>
      <c r="K486">
        <f>_xll.ciqfunctions.udf.CIQ(A486, "IQ_LASTSALEPRICE", WORKDAY(F486,-1))</f>
        <v>9.64</v>
      </c>
      <c r="L486">
        <f>_xll.ciqfunctions.udf.CIQ(A486, "IQ_LASTSALEPRICE", F486)</f>
        <v>9.15</v>
      </c>
      <c r="M486">
        <f>_xll.ciqfunctions.udf.CIQ(A486, "IQ_LASTSALEPRICE", WORKDAY(F486,5))</f>
        <v>9.0500000000000007</v>
      </c>
      <c r="N486">
        <f t="shared" si="14"/>
        <v>-5.2167229335024344E-2</v>
      </c>
      <c r="O486">
        <f t="shared" si="15"/>
        <v>-6.3156350910619496E-2</v>
      </c>
      <c r="P486">
        <f>LN(_xll.ciqfunctions.udf.CIQ("XBI", "IQ_LASTSALEPRICE", WORKDAY(F486,-1))/_xll.ciqfunctions.udf.CIQ("XBI", "IQ_LASTSALEPRICE", WORKDAY(F486,1)))</f>
        <v>2.4921784059269265E-2</v>
      </c>
      <c r="Q486">
        <f>LN(_xll.ciqfunctions.udf.CIQ("XBI", "IQ_LASTSALEPRICE", WORKDAY(F486,-1))/_xll.ciqfunctions.udf.CIQ("XBI", "IQ_LASTSALEPRICE", WORKDAY(F486,5)))</f>
        <v>1.9761433499959527E-2</v>
      </c>
      <c r="R486">
        <f>_xll.ciqfunctions.udf.CIQ(A486, "IQ_SHORT_INTEREST_PERCENT", F486)</f>
        <v>4.0724299999999998</v>
      </c>
      <c r="S486">
        <f>_xll.ciqfunctions.udf.CIQ(A486, "IQ_BETA_1YR_RSQ", F486)</f>
        <v>3.4970000000000001E-2</v>
      </c>
      <c r="T486">
        <f>_xll.ciqfunctions.udf.CIQ(A486, "IQ_VALUE_TRADED", F486)</f>
        <v>3.9905400000000002</v>
      </c>
    </row>
    <row r="487" spans="1:20" x14ac:dyDescent="0.3">
      <c r="A487" t="s">
        <v>1501</v>
      </c>
      <c r="B487">
        <v>1.75</v>
      </c>
      <c r="C487" t="s">
        <v>1502</v>
      </c>
      <c r="D487" t="s">
        <v>1503</v>
      </c>
      <c r="E487" t="s">
        <v>154</v>
      </c>
      <c r="F487" s="1">
        <v>45365</v>
      </c>
      <c r="G487" t="s">
        <v>1504</v>
      </c>
      <c r="H487">
        <v>638</v>
      </c>
      <c r="I487">
        <f>_xll.ciqfunctions.udf.CIQ(A487, "IQ_MARKETCAP", F487)</f>
        <v>955.60379</v>
      </c>
      <c r="J487">
        <f>_xll.ciqfunctions.udf.CIQ(A487, "IQ_PRICE_VOL_HIST_6MTH", F487)</f>
        <v>71.922799999999995</v>
      </c>
      <c r="K487">
        <f>_xll.ciqfunctions.udf.CIQ(A487, "IQ_LASTSALEPRICE", WORKDAY(F487,-1))</f>
        <v>1.75</v>
      </c>
      <c r="L487">
        <f>_xll.ciqfunctions.udf.CIQ(A487, "IQ_LASTSALEPRICE", F487)</f>
        <v>1.75</v>
      </c>
      <c r="M487">
        <f>_xll.ciqfunctions.udf.CIQ(A487, "IQ_LASTSALEPRICE", WORKDAY(F487,5))</f>
        <v>3.33</v>
      </c>
      <c r="N487">
        <f t="shared" si="14"/>
        <v>0</v>
      </c>
      <c r="O487">
        <f t="shared" si="15"/>
        <v>0.64335651605692978</v>
      </c>
      <c r="P487">
        <f>LN(_xll.ciqfunctions.udf.CIQ("XBI", "IQ_LASTSALEPRICE", WORKDAY(F487,-1))/_xll.ciqfunctions.udf.CIQ("XBI", "IQ_LASTSALEPRICE", WORKDAY(F487,1)))</f>
        <v>2.4921784059269265E-2</v>
      </c>
      <c r="Q487">
        <f>LN(_xll.ciqfunctions.udf.CIQ("XBI", "IQ_LASTSALEPRICE", WORKDAY(F487,-1))/_xll.ciqfunctions.udf.CIQ("XBI", "IQ_LASTSALEPRICE", WORKDAY(F487,5)))</f>
        <v>1.9761433499959527E-2</v>
      </c>
      <c r="R487">
        <f>_xll.ciqfunctions.udf.CIQ(A487, "IQ_SHORT_INTEREST_PERCENT", F487)</f>
        <v>8.2236499999999992</v>
      </c>
      <c r="S487">
        <f>_xll.ciqfunctions.udf.CIQ(A487, "IQ_BETA_1YR_RSQ", F487)</f>
        <v>1.183E-2</v>
      </c>
      <c r="T487">
        <f>_xll.ciqfunctions.udf.CIQ(A487, "IQ_VALUE_TRADED", F487)</f>
        <v>0</v>
      </c>
    </row>
    <row r="488" spans="1:20" x14ac:dyDescent="0.3">
      <c r="A488" t="s">
        <v>1505</v>
      </c>
      <c r="B488">
        <v>243.57</v>
      </c>
      <c r="C488" t="s">
        <v>1506</v>
      </c>
      <c r="D488" t="s">
        <v>1507</v>
      </c>
      <c r="E488" t="s">
        <v>160</v>
      </c>
      <c r="F488" s="1">
        <v>45365</v>
      </c>
      <c r="G488" t="s">
        <v>1508</v>
      </c>
      <c r="H488">
        <v>22</v>
      </c>
      <c r="I488">
        <f>_xll.ciqfunctions.udf.CIQ(A488, "IQ_MARKETCAP", F488)</f>
        <v>4846.4158100000004</v>
      </c>
      <c r="J488">
        <f>_xll.ciqfunctions.udf.CIQ(A488, "IQ_PRICE_VOL_HIST_6MTH", F488)</f>
        <v>68.618300000000005</v>
      </c>
      <c r="K488">
        <f>_xll.ciqfunctions.udf.CIQ(A488, "IQ_LASTSALEPRICE", WORKDAY(F488,-1))</f>
        <v>272.98</v>
      </c>
      <c r="L488">
        <f>_xll.ciqfunctions.udf.CIQ(A488, "IQ_LASTSALEPRICE", F488)</f>
        <v>243.57</v>
      </c>
      <c r="M488">
        <f>_xll.ciqfunctions.udf.CIQ(A488, "IQ_LASTSALEPRICE", WORKDAY(F488,5))</f>
        <v>255.27</v>
      </c>
      <c r="N488">
        <f t="shared" si="14"/>
        <v>-0.11399415688558473</v>
      </c>
      <c r="O488">
        <f t="shared" si="15"/>
        <v>-6.7076723898473828E-2</v>
      </c>
      <c r="P488">
        <f>LN(_xll.ciqfunctions.udf.CIQ("XBI", "IQ_LASTSALEPRICE", WORKDAY(F488,-1))/_xll.ciqfunctions.udf.CIQ("XBI", "IQ_LASTSALEPRICE", WORKDAY(F488,1)))</f>
        <v>2.4921784059269265E-2</v>
      </c>
      <c r="Q488">
        <f>LN(_xll.ciqfunctions.udf.CIQ("XBI", "IQ_LASTSALEPRICE", WORKDAY(F488,-1))/_xll.ciqfunctions.udf.CIQ("XBI", "IQ_LASTSALEPRICE", WORKDAY(F488,5)))</f>
        <v>1.9761433499959527E-2</v>
      </c>
      <c r="R488">
        <f>_xll.ciqfunctions.udf.CIQ(A488, "IQ_SHORT_INTEREST_PERCENT", F488)</f>
        <v>17.41337</v>
      </c>
      <c r="S488">
        <f>_xll.ciqfunctions.udf.CIQ(A488, "IQ_BETA_1YR_RSQ", F488)</f>
        <v>0.11609</v>
      </c>
      <c r="T488">
        <f>_xll.ciqfunctions.udf.CIQ(A488, "IQ_VALUE_TRADED", F488)</f>
        <v>422.1336</v>
      </c>
    </row>
    <row r="489" spans="1:20" x14ac:dyDescent="0.3">
      <c r="A489" t="s">
        <v>361</v>
      </c>
      <c r="B489">
        <v>168.9</v>
      </c>
      <c r="C489" t="s">
        <v>1509</v>
      </c>
      <c r="D489" t="s">
        <v>1510</v>
      </c>
      <c r="E489" t="s">
        <v>160</v>
      </c>
      <c r="F489" s="1">
        <v>45365</v>
      </c>
      <c r="G489" t="s">
        <v>1511</v>
      </c>
      <c r="H489">
        <v>106</v>
      </c>
      <c r="I489">
        <f>_xll.ciqfunctions.udf.CIQ(A489, "IQ_MARKETCAP", F489)</f>
        <v>17637.8436</v>
      </c>
      <c r="J489">
        <f>_xll.ciqfunctions.udf.CIQ(A489, "IQ_PRICE_VOL_HIST_6MTH", F489)</f>
        <v>0</v>
      </c>
      <c r="K489">
        <f>_xll.ciqfunctions.udf.CIQ(A489, "IQ_LASTSALEPRICE", WORKDAY(F489,-1))</f>
        <v>0</v>
      </c>
      <c r="L489">
        <f>_xll.ciqfunctions.udf.CIQ(A489, "IQ_LASTSALEPRICE", F489)</f>
        <v>0</v>
      </c>
      <c r="M489">
        <f>_xll.ciqfunctions.udf.CIQ(A489, "IQ_LASTSALEPRICE", WORKDAY(F489,5))</f>
        <v>0</v>
      </c>
      <c r="N489" t="e">
        <f t="shared" si="14"/>
        <v>#DIV/0!</v>
      </c>
      <c r="O489" t="e">
        <f t="shared" si="15"/>
        <v>#DIV/0!</v>
      </c>
      <c r="P489">
        <f>LN(_xll.ciqfunctions.udf.CIQ("XBI", "IQ_LASTSALEPRICE", WORKDAY(F489,-1))/_xll.ciqfunctions.udf.CIQ("XBI", "IQ_LASTSALEPRICE", WORKDAY(F489,1)))</f>
        <v>2.4921784059269265E-2</v>
      </c>
      <c r="Q489">
        <f>LN(_xll.ciqfunctions.udf.CIQ("XBI", "IQ_LASTSALEPRICE", WORKDAY(F489,-1))/_xll.ciqfunctions.udf.CIQ("XBI", "IQ_LASTSALEPRICE", WORKDAY(F489,5)))</f>
        <v>1.9761433499959527E-2</v>
      </c>
      <c r="R489">
        <f>_xll.ciqfunctions.udf.CIQ(A489, "IQ_SHORT_INTEREST_PERCENT", F489)</f>
        <v>0</v>
      </c>
      <c r="S489">
        <f>_xll.ciqfunctions.udf.CIQ(A489, "IQ_BETA_1YR_RSQ", F489)</f>
        <v>0</v>
      </c>
      <c r="T489">
        <f>_xll.ciqfunctions.udf.CIQ(A489, "IQ_VALUE_TRADED", F489)</f>
        <v>0</v>
      </c>
    </row>
    <row r="490" spans="1:20" x14ac:dyDescent="0.3">
      <c r="A490" t="s">
        <v>365</v>
      </c>
      <c r="B490" t="s">
        <v>43</v>
      </c>
      <c r="C490" t="s">
        <v>1509</v>
      </c>
      <c r="D490" t="s">
        <v>1510</v>
      </c>
      <c r="E490" t="s">
        <v>160</v>
      </c>
      <c r="F490" s="1">
        <v>45365</v>
      </c>
      <c r="G490" t="s">
        <v>1511</v>
      </c>
      <c r="H490">
        <v>110</v>
      </c>
      <c r="I490">
        <f>_xll.ciqfunctions.udf.CIQ(A490, "IQ_MARKETCAP", F490)</f>
        <v>17637.8436</v>
      </c>
      <c r="J490">
        <f>_xll.ciqfunctions.udf.CIQ(A490, "IQ_PRICE_VOL_HIST_6MTH", F490)</f>
        <v>50.498399999999997</v>
      </c>
      <c r="K490">
        <f>_xll.ciqfunctions.udf.CIQ(A490, "IQ_LASTSALEPRICE", WORKDAY(F490,-1))</f>
        <v>176.47</v>
      </c>
      <c r="L490">
        <f>_xll.ciqfunctions.udf.CIQ(A490, "IQ_LASTSALEPRICE", F490)</f>
        <v>168.9</v>
      </c>
      <c r="M490">
        <f>_xll.ciqfunctions.udf.CIQ(A490, "IQ_LASTSALEPRICE", WORKDAY(F490,5))</f>
        <v>163.69999999999999</v>
      </c>
      <c r="N490">
        <f t="shared" si="14"/>
        <v>-4.3844066441387337E-2</v>
      </c>
      <c r="O490">
        <f t="shared" si="15"/>
        <v>-7.5115405878052613E-2</v>
      </c>
      <c r="P490">
        <f>LN(_xll.ciqfunctions.udf.CIQ("XBI", "IQ_LASTSALEPRICE", WORKDAY(F490,-1))/_xll.ciqfunctions.udf.CIQ("XBI", "IQ_LASTSALEPRICE", WORKDAY(F490,1)))</f>
        <v>2.4921784059269265E-2</v>
      </c>
      <c r="Q490">
        <f>LN(_xll.ciqfunctions.udf.CIQ("XBI", "IQ_LASTSALEPRICE", WORKDAY(F490,-1))/_xll.ciqfunctions.udf.CIQ("XBI", "IQ_LASTSALEPRICE", WORKDAY(F490,5)))</f>
        <v>1.9761433499959527E-2</v>
      </c>
      <c r="R490">
        <f>_xll.ciqfunctions.udf.CIQ(A490, "IQ_SHORT_INTEREST_PERCENT", F490)</f>
        <v>1.84568</v>
      </c>
      <c r="S490">
        <f>_xll.ciqfunctions.udf.CIQ(A490, "IQ_BETA_1YR_RSQ", F490)</f>
        <v>0.11454</v>
      </c>
      <c r="T490">
        <f>_xll.ciqfunctions.udf.CIQ(A490, "IQ_VALUE_TRADED", F490)</f>
        <v>66.749110000000002</v>
      </c>
    </row>
    <row r="491" spans="1:20" x14ac:dyDescent="0.3">
      <c r="A491" t="s">
        <v>203</v>
      </c>
      <c r="B491">
        <v>51.11</v>
      </c>
      <c r="C491" t="s">
        <v>1512</v>
      </c>
      <c r="D491" t="s">
        <v>1513</v>
      </c>
      <c r="E491" t="s">
        <v>160</v>
      </c>
      <c r="F491" s="1">
        <v>45365</v>
      </c>
      <c r="G491" t="s">
        <v>1511</v>
      </c>
      <c r="I491">
        <f>_xll.ciqfunctions.udf.CIQ(A491, "IQ_MARKETCAP", F491)</f>
        <v>106144.93214</v>
      </c>
      <c r="J491">
        <f>_xll.ciqfunctions.udf.CIQ(A491, "IQ_PRICE_VOL_HIST_6MTH", F491)</f>
        <v>21.906700000000001</v>
      </c>
      <c r="K491">
        <f>_xll.ciqfunctions.udf.CIQ(A491, "IQ_LASTSALEPRICE", WORKDAY(F491,-1))</f>
        <v>52.65</v>
      </c>
      <c r="L491">
        <f>_xll.ciqfunctions.udf.CIQ(A491, "IQ_LASTSALEPRICE", F491)</f>
        <v>52.49</v>
      </c>
      <c r="M491">
        <f>_xll.ciqfunctions.udf.CIQ(A491, "IQ_LASTSALEPRICE", WORKDAY(F491,5))</f>
        <v>51.59</v>
      </c>
      <c r="N491">
        <f t="shared" si="14"/>
        <v>-3.0435633157759926E-3</v>
      </c>
      <c r="O491">
        <f t="shared" si="15"/>
        <v>-2.0338383323425906E-2</v>
      </c>
      <c r="P491">
        <f>LN(_xll.ciqfunctions.udf.CIQ("XBI", "IQ_LASTSALEPRICE", WORKDAY(F491,-1))/_xll.ciqfunctions.udf.CIQ("XBI", "IQ_LASTSALEPRICE", WORKDAY(F491,1)))</f>
        <v>2.4921784059269265E-2</v>
      </c>
      <c r="Q491">
        <f>LN(_xll.ciqfunctions.udf.CIQ("XBI", "IQ_LASTSALEPRICE", WORKDAY(F491,-1))/_xll.ciqfunctions.udf.CIQ("XBI", "IQ_LASTSALEPRICE", WORKDAY(F491,5)))</f>
        <v>1.9761433499959527E-2</v>
      </c>
      <c r="R491">
        <f>_xll.ciqfunctions.udf.CIQ(A491, "IQ_SHORT_INTEREST_PERCENT", F491)</f>
        <v>1.61446</v>
      </c>
      <c r="S491">
        <f>_xll.ciqfunctions.udf.CIQ(A491, "IQ_BETA_1YR_RSQ", F491)</f>
        <v>5.9659999999999998E-2</v>
      </c>
      <c r="T491">
        <f>_xll.ciqfunctions.udf.CIQ(A491, "IQ_VALUE_TRADED", F491)</f>
        <v>757.43952000000002</v>
      </c>
    </row>
    <row r="492" spans="1:20" x14ac:dyDescent="0.3">
      <c r="A492" t="s">
        <v>361</v>
      </c>
      <c r="B492">
        <v>168.9</v>
      </c>
      <c r="C492" t="s">
        <v>1514</v>
      </c>
      <c r="D492" t="s">
        <v>1515</v>
      </c>
      <c r="E492" t="s">
        <v>160</v>
      </c>
      <c r="F492" s="1">
        <v>45365</v>
      </c>
      <c r="G492" t="s">
        <v>1511</v>
      </c>
      <c r="H492">
        <v>106</v>
      </c>
      <c r="I492">
        <f>_xll.ciqfunctions.udf.CIQ(A492, "IQ_MARKETCAP", F492)</f>
        <v>17637.8436</v>
      </c>
      <c r="J492">
        <f>_xll.ciqfunctions.udf.CIQ(A492, "IQ_PRICE_VOL_HIST_6MTH", F492)</f>
        <v>0</v>
      </c>
      <c r="K492">
        <f>_xll.ciqfunctions.udf.CIQ(A492, "IQ_LASTSALEPRICE", WORKDAY(F492,-1))</f>
        <v>0</v>
      </c>
      <c r="L492">
        <f>_xll.ciqfunctions.udf.CIQ(A492, "IQ_LASTSALEPRICE", F492)</f>
        <v>0</v>
      </c>
      <c r="M492">
        <f>_xll.ciqfunctions.udf.CIQ(A492, "IQ_LASTSALEPRICE", WORKDAY(F492,5))</f>
        <v>0</v>
      </c>
      <c r="N492" t="e">
        <f t="shared" si="14"/>
        <v>#DIV/0!</v>
      </c>
      <c r="O492" t="e">
        <f t="shared" si="15"/>
        <v>#DIV/0!</v>
      </c>
      <c r="P492">
        <f>LN(_xll.ciqfunctions.udf.CIQ("XBI", "IQ_LASTSALEPRICE", WORKDAY(F492,-1))/_xll.ciqfunctions.udf.CIQ("XBI", "IQ_LASTSALEPRICE", WORKDAY(F492,1)))</f>
        <v>2.4921784059269265E-2</v>
      </c>
      <c r="Q492">
        <f>LN(_xll.ciqfunctions.udf.CIQ("XBI", "IQ_LASTSALEPRICE", WORKDAY(F492,-1))/_xll.ciqfunctions.udf.CIQ("XBI", "IQ_LASTSALEPRICE", WORKDAY(F492,5)))</f>
        <v>1.9761433499959527E-2</v>
      </c>
      <c r="R492">
        <f>_xll.ciqfunctions.udf.CIQ(A492, "IQ_SHORT_INTEREST_PERCENT", F492)</f>
        <v>0</v>
      </c>
      <c r="S492">
        <f>_xll.ciqfunctions.udf.CIQ(A492, "IQ_BETA_1YR_RSQ", F492)</f>
        <v>0</v>
      </c>
      <c r="T492">
        <f>_xll.ciqfunctions.udf.CIQ(A492, "IQ_VALUE_TRADED", F492)</f>
        <v>0</v>
      </c>
    </row>
    <row r="493" spans="1:20" x14ac:dyDescent="0.3">
      <c r="A493" t="s">
        <v>365</v>
      </c>
      <c r="B493" t="s">
        <v>43</v>
      </c>
      <c r="C493" t="s">
        <v>1514</v>
      </c>
      <c r="D493" t="s">
        <v>1515</v>
      </c>
      <c r="E493" t="s">
        <v>160</v>
      </c>
      <c r="F493" s="1">
        <v>45365</v>
      </c>
      <c r="G493" t="s">
        <v>1511</v>
      </c>
      <c r="H493">
        <v>110</v>
      </c>
      <c r="I493">
        <f>_xll.ciqfunctions.udf.CIQ(A493, "IQ_MARKETCAP", F493)</f>
        <v>17637.8436</v>
      </c>
      <c r="J493">
        <f>_xll.ciqfunctions.udf.CIQ(A493, "IQ_PRICE_VOL_HIST_6MTH", F493)</f>
        <v>50.498399999999997</v>
      </c>
      <c r="K493">
        <f>_xll.ciqfunctions.udf.CIQ(A493, "IQ_LASTSALEPRICE", WORKDAY(F493,-1))</f>
        <v>176.47</v>
      </c>
      <c r="L493">
        <f>_xll.ciqfunctions.udf.CIQ(A493, "IQ_LASTSALEPRICE", F493)</f>
        <v>168.9</v>
      </c>
      <c r="M493">
        <f>_xll.ciqfunctions.udf.CIQ(A493, "IQ_LASTSALEPRICE", WORKDAY(F493,5))</f>
        <v>163.69999999999999</v>
      </c>
      <c r="N493">
        <f t="shared" si="14"/>
        <v>-4.3844066441387337E-2</v>
      </c>
      <c r="O493">
        <f t="shared" si="15"/>
        <v>-7.5115405878052613E-2</v>
      </c>
      <c r="P493">
        <f>LN(_xll.ciqfunctions.udf.CIQ("XBI", "IQ_LASTSALEPRICE", WORKDAY(F493,-1))/_xll.ciqfunctions.udf.CIQ("XBI", "IQ_LASTSALEPRICE", WORKDAY(F493,1)))</f>
        <v>2.4921784059269265E-2</v>
      </c>
      <c r="Q493">
        <f>LN(_xll.ciqfunctions.udf.CIQ("XBI", "IQ_LASTSALEPRICE", WORKDAY(F493,-1))/_xll.ciqfunctions.udf.CIQ("XBI", "IQ_LASTSALEPRICE", WORKDAY(F493,5)))</f>
        <v>1.9761433499959527E-2</v>
      </c>
      <c r="R493">
        <f>_xll.ciqfunctions.udf.CIQ(A493, "IQ_SHORT_INTEREST_PERCENT", F493)</f>
        <v>1.84568</v>
      </c>
      <c r="S493">
        <f>_xll.ciqfunctions.udf.CIQ(A493, "IQ_BETA_1YR_RSQ", F493)</f>
        <v>0.11454</v>
      </c>
      <c r="T493">
        <f>_xll.ciqfunctions.udf.CIQ(A493, "IQ_VALUE_TRADED", F493)</f>
        <v>66.749110000000002</v>
      </c>
    </row>
    <row r="494" spans="1:20" x14ac:dyDescent="0.3">
      <c r="A494" t="s">
        <v>1516</v>
      </c>
      <c r="B494">
        <v>6.09</v>
      </c>
      <c r="C494" t="s">
        <v>1517</v>
      </c>
      <c r="D494" t="s">
        <v>1518</v>
      </c>
      <c r="E494" t="s">
        <v>36</v>
      </c>
      <c r="F494" s="1">
        <v>45366</v>
      </c>
      <c r="G494" t="s">
        <v>1519</v>
      </c>
      <c r="H494">
        <v>99</v>
      </c>
      <c r="I494">
        <f>_xll.ciqfunctions.udf.CIQ(A494, "IQ_MARKETCAP", F494)</f>
        <v>446.40431000000001</v>
      </c>
      <c r="J494">
        <f>_xll.ciqfunctions.udf.CIQ(A494, "IQ_PRICE_VOL_HIST_6MTH", F494)</f>
        <v>89.003900000000002</v>
      </c>
      <c r="K494">
        <f>_xll.ciqfunctions.udf.CIQ(A494, "IQ_LASTSALEPRICE", WORKDAY(F494,-1))</f>
        <v>5.25</v>
      </c>
      <c r="L494">
        <f>_xll.ciqfunctions.udf.CIQ(A494, "IQ_LASTSALEPRICE", F494)</f>
        <v>6.09</v>
      </c>
      <c r="M494">
        <f>_xll.ciqfunctions.udf.CIQ(A494, "IQ_LASTSALEPRICE", WORKDAY(F494,5))</f>
        <v>4.38</v>
      </c>
      <c r="N494">
        <f t="shared" si="14"/>
        <v>0.14842000511827322</v>
      </c>
      <c r="O494">
        <f t="shared" si="15"/>
        <v>-0.18117935221517761</v>
      </c>
      <c r="P494">
        <f>LN(_xll.ciqfunctions.udf.CIQ("XBI", "IQ_LASTSALEPRICE", WORKDAY(F494,-1))/_xll.ciqfunctions.udf.CIQ("XBI", "IQ_LASTSALEPRICE", WORKDAY(F494,1)))</f>
        <v>1.6008879780065637E-2</v>
      </c>
      <c r="Q494">
        <f>LN(_xll.ciqfunctions.udf.CIQ("XBI", "IQ_LASTSALEPRICE", WORKDAY(F494,-1))/_xll.ciqfunctions.udf.CIQ("XBI", "IQ_LASTSALEPRICE", WORKDAY(F494,5)))</f>
        <v>9.4676522315402471E-3</v>
      </c>
      <c r="R494">
        <f>_xll.ciqfunctions.udf.CIQ(A494, "IQ_SHORT_INTEREST_PERCENT", F494)</f>
        <v>2.4718300000000002</v>
      </c>
      <c r="S494">
        <f>_xll.ciqfunctions.udf.CIQ(A494, "IQ_BETA_1YR_RSQ", F494)</f>
        <v>2.0760000000000001E-2</v>
      </c>
      <c r="T494">
        <f>_xll.ciqfunctions.udf.CIQ(A494, "IQ_VALUE_TRADED", F494)</f>
        <v>38.492100000000001</v>
      </c>
    </row>
    <row r="495" spans="1:20" x14ac:dyDescent="0.3">
      <c r="A495" t="s">
        <v>1520</v>
      </c>
      <c r="B495">
        <v>25.08</v>
      </c>
      <c r="C495" t="s">
        <v>1521</v>
      </c>
      <c r="D495" t="s">
        <v>1522</v>
      </c>
      <c r="E495" t="s">
        <v>17</v>
      </c>
      <c r="F495" s="1">
        <v>45366</v>
      </c>
      <c r="G495" t="s">
        <v>1523</v>
      </c>
      <c r="H495">
        <v>16</v>
      </c>
      <c r="I495">
        <f>_xll.ciqfunctions.udf.CIQ(A495, "IQ_MARKETCAP", F495)</f>
        <v>377.80250999999998</v>
      </c>
      <c r="J495">
        <f>_xll.ciqfunctions.udf.CIQ(A495, "IQ_PRICE_VOL_HIST_6MTH", F495)</f>
        <v>99.569100000000006</v>
      </c>
      <c r="K495">
        <f>_xll.ciqfunctions.udf.CIQ(A495, "IQ_LASTSALEPRICE", WORKDAY(F495,-1))</f>
        <v>24.35</v>
      </c>
      <c r="L495">
        <f>_xll.ciqfunctions.udf.CIQ(A495, "IQ_LASTSALEPRICE", F495)</f>
        <v>25.08</v>
      </c>
      <c r="M495">
        <f>_xll.ciqfunctions.udf.CIQ(A495, "IQ_LASTSALEPRICE", WORKDAY(F495,5))</f>
        <v>29.23</v>
      </c>
      <c r="N495">
        <f t="shared" si="14"/>
        <v>2.9538866236121054E-2</v>
      </c>
      <c r="O495">
        <f t="shared" si="15"/>
        <v>0.18266372959455582</v>
      </c>
      <c r="P495">
        <f>LN(_xll.ciqfunctions.udf.CIQ("XBI", "IQ_LASTSALEPRICE", WORKDAY(F495,-1))/_xll.ciqfunctions.udf.CIQ("XBI", "IQ_LASTSALEPRICE", WORKDAY(F495,1)))</f>
        <v>1.6008879780065637E-2</v>
      </c>
      <c r="Q495">
        <f>LN(_xll.ciqfunctions.udf.CIQ("XBI", "IQ_LASTSALEPRICE", WORKDAY(F495,-1))/_xll.ciqfunctions.udf.CIQ("XBI", "IQ_LASTSALEPRICE", WORKDAY(F495,5)))</f>
        <v>9.4676522315402471E-3</v>
      </c>
      <c r="R495">
        <f>_xll.ciqfunctions.udf.CIQ(A495, "IQ_SHORT_INTEREST_PERCENT", F495)</f>
        <v>1.9175599999999999</v>
      </c>
      <c r="S495">
        <f>_xll.ciqfunctions.udf.CIQ(A495, "IQ_BETA_1YR_RSQ", F495)</f>
        <v>2.4400000000000002E-2</v>
      </c>
      <c r="T495">
        <f>_xll.ciqfunctions.udf.CIQ(A495, "IQ_VALUE_TRADED", F495)</f>
        <v>8.7465799999999998</v>
      </c>
    </row>
    <row r="496" spans="1:20" x14ac:dyDescent="0.3">
      <c r="A496" t="s">
        <v>989</v>
      </c>
      <c r="B496">
        <v>156.88999999999999</v>
      </c>
      <c r="C496" t="s">
        <v>1524</v>
      </c>
      <c r="D496" t="s">
        <v>1331</v>
      </c>
      <c r="E496" t="s">
        <v>11</v>
      </c>
      <c r="F496" s="1">
        <v>45366</v>
      </c>
      <c r="G496" t="s">
        <v>1525</v>
      </c>
      <c r="I496">
        <f>_xll.ciqfunctions.udf.CIQ(A496, "IQ_MARKETCAP", F496)</f>
        <v>381179.48348</v>
      </c>
      <c r="J496">
        <f>_xll.ciqfunctions.udf.CIQ(A496, "IQ_PRICE_VOL_HIST_6MTH", F496)</f>
        <v>13.1235</v>
      </c>
      <c r="K496">
        <f>_xll.ciqfunctions.udf.CIQ(A496, "IQ_LASTSALEPRICE", WORKDAY(F496,-1))</f>
        <v>159.21</v>
      </c>
      <c r="L496">
        <f>_xll.ciqfunctions.udf.CIQ(A496, "IQ_LASTSALEPRICE", F496)</f>
        <v>158.18</v>
      </c>
      <c r="M496">
        <f>_xll.ciqfunctions.udf.CIQ(A496, "IQ_LASTSALEPRICE", WORKDAY(F496,5))</f>
        <v>155.22999999999999</v>
      </c>
      <c r="N496">
        <f t="shared" si="14"/>
        <v>-6.4904604166421756E-3</v>
      </c>
      <c r="O496">
        <f t="shared" si="15"/>
        <v>-2.5316197469561392E-2</v>
      </c>
      <c r="P496">
        <f>LN(_xll.ciqfunctions.udf.CIQ("XBI", "IQ_LASTSALEPRICE", WORKDAY(F496,-1))/_xll.ciqfunctions.udf.CIQ("XBI", "IQ_LASTSALEPRICE", WORKDAY(F496,1)))</f>
        <v>1.6008879780065637E-2</v>
      </c>
      <c r="Q496">
        <f>LN(_xll.ciqfunctions.udf.CIQ("XBI", "IQ_LASTSALEPRICE", WORKDAY(F496,-1))/_xll.ciqfunctions.udf.CIQ("XBI", "IQ_LASTSALEPRICE", WORKDAY(F496,5)))</f>
        <v>9.4676522315402471E-3</v>
      </c>
      <c r="R496">
        <f>_xll.ciqfunctions.udf.CIQ(A496, "IQ_SHORT_INTEREST_PERCENT", F496)</f>
        <v>0.61624000000000001</v>
      </c>
      <c r="S496">
        <f>_xll.ciqfunctions.udf.CIQ(A496, "IQ_BETA_1YR_RSQ", F496)</f>
        <v>0.12001000000000001</v>
      </c>
      <c r="T496">
        <f>_xll.ciqfunctions.udf.CIQ(A496, "IQ_VALUE_TRADED", F496)</f>
        <v>2082.5187900000001</v>
      </c>
    </row>
    <row r="497" spans="1:20" x14ac:dyDescent="0.3">
      <c r="A497" t="s">
        <v>1526</v>
      </c>
      <c r="B497">
        <v>64.02</v>
      </c>
      <c r="C497" t="s">
        <v>1524</v>
      </c>
      <c r="D497" t="s">
        <v>1331</v>
      </c>
      <c r="E497" t="s">
        <v>11</v>
      </c>
      <c r="F497" s="1">
        <v>45366</v>
      </c>
      <c r="G497" t="s">
        <v>1525</v>
      </c>
      <c r="H497">
        <v>183</v>
      </c>
      <c r="I497">
        <f>_xll.ciqfunctions.udf.CIQ(A497, "IQ_MARKETCAP", F497)</f>
        <v>11638.127039999999</v>
      </c>
      <c r="J497">
        <f>_xll.ciqfunctions.udf.CIQ(A497, "IQ_PRICE_VOL_HIST_6MTH", F497)</f>
        <v>38.462800000000001</v>
      </c>
      <c r="K497">
        <f>_xll.ciqfunctions.udf.CIQ(A497, "IQ_LASTSALEPRICE", WORKDAY(F497,-1))</f>
        <v>66.11</v>
      </c>
      <c r="L497">
        <f>_xll.ciqfunctions.udf.CIQ(A497, "IQ_LASTSALEPRICE", F497)</f>
        <v>64.02</v>
      </c>
      <c r="M497">
        <f>_xll.ciqfunctions.udf.CIQ(A497, "IQ_LASTSALEPRICE", WORKDAY(F497,5))</f>
        <v>58.14</v>
      </c>
      <c r="N497">
        <f t="shared" si="14"/>
        <v>-3.2124486803769843E-2</v>
      </c>
      <c r="O497">
        <f t="shared" si="15"/>
        <v>-0.12846612621475689</v>
      </c>
      <c r="P497">
        <f>LN(_xll.ciqfunctions.udf.CIQ("XBI", "IQ_LASTSALEPRICE", WORKDAY(F497,-1))/_xll.ciqfunctions.udf.CIQ("XBI", "IQ_LASTSALEPRICE", WORKDAY(F497,1)))</f>
        <v>1.6008879780065637E-2</v>
      </c>
      <c r="Q497">
        <f>LN(_xll.ciqfunctions.udf.CIQ("XBI", "IQ_LASTSALEPRICE", WORKDAY(F497,-1))/_xll.ciqfunctions.udf.CIQ("XBI", "IQ_LASTSALEPRICE", WORKDAY(F497,5)))</f>
        <v>9.4676522315402471E-3</v>
      </c>
      <c r="R497">
        <f>_xll.ciqfunctions.udf.CIQ(A497, "IQ_SHORT_INTEREST_PERCENT", F497)</f>
        <v>5.6416899999999996</v>
      </c>
      <c r="S497">
        <f>_xll.ciqfunctions.udf.CIQ(A497, "IQ_BETA_1YR_RSQ", F497)</f>
        <v>5.0950000000000002E-2</v>
      </c>
      <c r="T497">
        <f>_xll.ciqfunctions.udf.CIQ(A497, "IQ_VALUE_TRADED", F497)</f>
        <v>162.69127</v>
      </c>
    </row>
    <row r="498" spans="1:20" x14ac:dyDescent="0.3">
      <c r="A498" t="s">
        <v>1527</v>
      </c>
      <c r="B498">
        <v>1.88</v>
      </c>
      <c r="C498" t="s">
        <v>1528</v>
      </c>
      <c r="D498" t="s">
        <v>1529</v>
      </c>
      <c r="E498" t="s">
        <v>160</v>
      </c>
      <c r="F498" s="1">
        <v>45366</v>
      </c>
      <c r="G498" t="s">
        <v>1530</v>
      </c>
      <c r="H498">
        <v>10</v>
      </c>
      <c r="I498" t="str">
        <f>_xll.ciqfunctions.udf.CIQ(A498, "IQ_MARKETCAP", F498)</f>
        <v>(Invalid Identifier)</v>
      </c>
      <c r="J498" t="str">
        <f>_xll.ciqfunctions.udf.CIQ(A498, "IQ_PRICE_VOL_HIST_6MTH", F498)</f>
        <v>(Invalid Identifier)</v>
      </c>
      <c r="K498" t="str">
        <f>_xll.ciqfunctions.udf.CIQ(A498, "IQ_LASTSALEPRICE", WORKDAY(F498,-1))</f>
        <v>(Invalid Identifier)</v>
      </c>
      <c r="L498" t="str">
        <f>_xll.ciqfunctions.udf.CIQ(A498, "IQ_LASTSALEPRICE", F498)</f>
        <v>(Invalid Identifier)</v>
      </c>
      <c r="M498" t="str">
        <f>_xll.ciqfunctions.udf.CIQ(A498, "IQ_LASTSALEPRICE", WORKDAY(F498,5))</f>
        <v>(Invalid Identifier)</v>
      </c>
      <c r="N498" t="e">
        <f t="shared" si="14"/>
        <v>#VALUE!</v>
      </c>
      <c r="O498" t="e">
        <f t="shared" si="15"/>
        <v>#VALUE!</v>
      </c>
      <c r="P498">
        <f>LN(_xll.ciqfunctions.udf.CIQ("XBI", "IQ_LASTSALEPRICE", WORKDAY(F498,-1))/_xll.ciqfunctions.udf.CIQ("XBI", "IQ_LASTSALEPRICE", WORKDAY(F498,1)))</f>
        <v>1.6008879780065637E-2</v>
      </c>
      <c r="Q498">
        <f>LN(_xll.ciqfunctions.udf.CIQ("XBI", "IQ_LASTSALEPRICE", WORKDAY(F498,-1))/_xll.ciqfunctions.udf.CIQ("XBI", "IQ_LASTSALEPRICE", WORKDAY(F498,5)))</f>
        <v>9.4676522315402471E-3</v>
      </c>
      <c r="R498" t="str">
        <f>_xll.ciqfunctions.udf.CIQ(A498, "IQ_SHORT_INTEREST_PERCENT", F498)</f>
        <v>(Invalid Identifier)</v>
      </c>
      <c r="S498" t="str">
        <f>_xll.ciqfunctions.udf.CIQ(A498, "IQ_BETA_1YR_RSQ", F498)</f>
        <v>(Invalid Identifier)</v>
      </c>
      <c r="T498" t="str">
        <f>_xll.ciqfunctions.udf.CIQ(A498, "IQ_VALUE_TRADED", F498)</f>
        <v>(Invalid Identifier)</v>
      </c>
    </row>
    <row r="499" spans="1:20" x14ac:dyDescent="0.3">
      <c r="A499" t="s">
        <v>1531</v>
      </c>
      <c r="B499">
        <v>4.01</v>
      </c>
      <c r="C499" t="s">
        <v>1532</v>
      </c>
      <c r="D499" t="s">
        <v>1331</v>
      </c>
      <c r="E499" t="s">
        <v>11</v>
      </c>
      <c r="F499" s="1">
        <v>45366</v>
      </c>
      <c r="G499" t="s">
        <v>1533</v>
      </c>
      <c r="H499">
        <v>53</v>
      </c>
      <c r="I499" t="str">
        <f>_xll.ciqfunctions.udf.CIQ(A499, "IQ_MARKETCAP", F499)</f>
        <v>(Invalid Identifier)</v>
      </c>
      <c r="J499" t="str">
        <f>_xll.ciqfunctions.udf.CIQ(A499, "IQ_PRICE_VOL_HIST_6MTH", F499)</f>
        <v>(Invalid Identifier)</v>
      </c>
      <c r="K499" t="str">
        <f>_xll.ciqfunctions.udf.CIQ(A499, "IQ_LASTSALEPRICE", WORKDAY(F499,-1))</f>
        <v>(Invalid Identifier)</v>
      </c>
      <c r="L499" t="str">
        <f>_xll.ciqfunctions.udf.CIQ(A499, "IQ_LASTSALEPRICE", F499)</f>
        <v>(Invalid Identifier)</v>
      </c>
      <c r="M499" t="str">
        <f>_xll.ciqfunctions.udf.CIQ(A499, "IQ_LASTSALEPRICE", WORKDAY(F499,5))</f>
        <v>(Invalid Identifier)</v>
      </c>
      <c r="N499" t="e">
        <f t="shared" si="14"/>
        <v>#VALUE!</v>
      </c>
      <c r="O499" t="e">
        <f t="shared" si="15"/>
        <v>#VALUE!</v>
      </c>
      <c r="P499">
        <f>LN(_xll.ciqfunctions.udf.CIQ("XBI", "IQ_LASTSALEPRICE", WORKDAY(F499,-1))/_xll.ciqfunctions.udf.CIQ("XBI", "IQ_LASTSALEPRICE", WORKDAY(F499,1)))</f>
        <v>1.6008879780065637E-2</v>
      </c>
      <c r="Q499">
        <f>LN(_xll.ciqfunctions.udf.CIQ("XBI", "IQ_LASTSALEPRICE", WORKDAY(F499,-1))/_xll.ciqfunctions.udf.CIQ("XBI", "IQ_LASTSALEPRICE", WORKDAY(F499,5)))</f>
        <v>9.4676522315402471E-3</v>
      </c>
      <c r="R499" t="str">
        <f>_xll.ciqfunctions.udf.CIQ(A499, "IQ_SHORT_INTEREST_PERCENT", F499)</f>
        <v>(Invalid Identifier)</v>
      </c>
      <c r="S499" t="str">
        <f>_xll.ciqfunctions.udf.CIQ(A499, "IQ_BETA_1YR_RSQ", F499)</f>
        <v>(Invalid Identifier)</v>
      </c>
      <c r="T499" t="str">
        <f>_xll.ciqfunctions.udf.CIQ(A499, "IQ_VALUE_TRADED", F499)</f>
        <v>(Invalid Identifier)</v>
      </c>
    </row>
    <row r="500" spans="1:20" x14ac:dyDescent="0.3">
      <c r="A500" t="s">
        <v>203</v>
      </c>
      <c r="B500">
        <v>50.97</v>
      </c>
      <c r="C500" t="s">
        <v>1532</v>
      </c>
      <c r="D500" t="s">
        <v>1331</v>
      </c>
      <c r="E500" t="s">
        <v>11</v>
      </c>
      <c r="F500" s="1">
        <v>45366</v>
      </c>
      <c r="G500" t="s">
        <v>1533</v>
      </c>
      <c r="I500">
        <f>_xll.ciqfunctions.udf.CIQ(A500, "IQ_MARKETCAP", F500)</f>
        <v>105841.60313</v>
      </c>
      <c r="J500">
        <f>_xll.ciqfunctions.udf.CIQ(A500, "IQ_PRICE_VOL_HIST_6MTH", F500)</f>
        <v>21.886099999999999</v>
      </c>
      <c r="K500">
        <f>_xll.ciqfunctions.udf.CIQ(A500, "IQ_LASTSALEPRICE", WORKDAY(F500,-1))</f>
        <v>52.49</v>
      </c>
      <c r="L500">
        <f>_xll.ciqfunctions.udf.CIQ(A500, "IQ_LASTSALEPRICE", F500)</f>
        <v>52.34</v>
      </c>
      <c r="M500">
        <f>_xll.ciqfunctions.udf.CIQ(A500, "IQ_LASTSALEPRICE", WORKDAY(F500,5))</f>
        <v>51.93</v>
      </c>
      <c r="N500">
        <f t="shared" si="14"/>
        <v>-2.8617781622086191E-3</v>
      </c>
      <c r="O500">
        <f t="shared" si="15"/>
        <v>-1.0726017407980837E-2</v>
      </c>
      <c r="P500">
        <f>LN(_xll.ciqfunctions.udf.CIQ("XBI", "IQ_LASTSALEPRICE", WORKDAY(F500,-1))/_xll.ciqfunctions.udf.CIQ("XBI", "IQ_LASTSALEPRICE", WORKDAY(F500,1)))</f>
        <v>1.6008879780065637E-2</v>
      </c>
      <c r="Q500">
        <f>LN(_xll.ciqfunctions.udf.CIQ("XBI", "IQ_LASTSALEPRICE", WORKDAY(F500,-1))/_xll.ciqfunctions.udf.CIQ("XBI", "IQ_LASTSALEPRICE", WORKDAY(F500,5)))</f>
        <v>9.4676522315402471E-3</v>
      </c>
      <c r="R500">
        <f>_xll.ciqfunctions.udf.CIQ(A500, "IQ_SHORT_INTEREST_PERCENT", F500)</f>
        <v>1.61446</v>
      </c>
      <c r="S500">
        <f>_xll.ciqfunctions.udf.CIQ(A500, "IQ_BETA_1YR_RSQ", F500)</f>
        <v>5.9610000000000003E-2</v>
      </c>
      <c r="T500">
        <f>_xll.ciqfunctions.udf.CIQ(A500, "IQ_VALUE_TRADED", F500)</f>
        <v>6468.4537099999998</v>
      </c>
    </row>
    <row r="501" spans="1:20" x14ac:dyDescent="0.3">
      <c r="A501" t="s">
        <v>1021</v>
      </c>
      <c r="B501">
        <v>23.35</v>
      </c>
      <c r="C501" t="s">
        <v>1022</v>
      </c>
      <c r="D501" t="s">
        <v>1023</v>
      </c>
      <c r="E501" t="s">
        <v>76</v>
      </c>
      <c r="F501" s="1">
        <v>45366</v>
      </c>
      <c r="G501" t="s">
        <v>1534</v>
      </c>
      <c r="H501">
        <v>54</v>
      </c>
      <c r="I501">
        <f>_xll.ciqfunctions.udf.CIQ(A501, "IQ_MARKETCAP", F501)</f>
        <v>1256.00792</v>
      </c>
      <c r="J501">
        <f>_xll.ciqfunctions.udf.CIQ(A501, "IQ_PRICE_VOL_HIST_6MTH", F501)</f>
        <v>75.312799999999996</v>
      </c>
      <c r="K501">
        <f>_xll.ciqfunctions.udf.CIQ(A501, "IQ_LASTSALEPRICE", WORKDAY(F501,-1))</f>
        <v>23.68</v>
      </c>
      <c r="L501">
        <f>_xll.ciqfunctions.udf.CIQ(A501, "IQ_LASTSALEPRICE", F501)</f>
        <v>23.35</v>
      </c>
      <c r="M501">
        <f>_xll.ciqfunctions.udf.CIQ(A501, "IQ_LASTSALEPRICE", WORKDAY(F501,5))</f>
        <v>24.35</v>
      </c>
      <c r="N501">
        <f t="shared" si="14"/>
        <v>-1.4033825900898548E-2</v>
      </c>
      <c r="O501">
        <f t="shared" si="15"/>
        <v>2.7901039512794022E-2</v>
      </c>
      <c r="P501">
        <f>LN(_xll.ciqfunctions.udf.CIQ("XBI", "IQ_LASTSALEPRICE", WORKDAY(F501,-1))/_xll.ciqfunctions.udf.CIQ("XBI", "IQ_LASTSALEPRICE", WORKDAY(F501,1)))</f>
        <v>1.6008879780065637E-2</v>
      </c>
      <c r="Q501">
        <f>LN(_xll.ciqfunctions.udf.CIQ("XBI", "IQ_LASTSALEPRICE", WORKDAY(F501,-1))/_xll.ciqfunctions.udf.CIQ("XBI", "IQ_LASTSALEPRICE", WORKDAY(F501,5)))</f>
        <v>9.4676522315402471E-3</v>
      </c>
      <c r="R501">
        <f>_xll.ciqfunctions.udf.CIQ(A501, "IQ_SHORT_INTEREST_PERCENT", F501)</f>
        <v>0.1888</v>
      </c>
      <c r="S501">
        <f>_xll.ciqfunctions.udf.CIQ(A501, "IQ_BETA_1YR_RSQ", F501)</f>
        <v>4.0739999999999998E-2</v>
      </c>
      <c r="T501">
        <f>_xll.ciqfunctions.udf.CIQ(A501, "IQ_VALUE_TRADED", F501)</f>
        <v>2.7900499999999999</v>
      </c>
    </row>
    <row r="502" spans="1:20" x14ac:dyDescent="0.3">
      <c r="A502" t="s">
        <v>1185</v>
      </c>
      <c r="B502" t="s">
        <v>43</v>
      </c>
      <c r="C502" t="s">
        <v>1186</v>
      </c>
      <c r="D502" t="s">
        <v>1187</v>
      </c>
      <c r="E502" t="s">
        <v>76</v>
      </c>
      <c r="F502" s="1">
        <v>45369</v>
      </c>
      <c r="G502" t="s">
        <v>1535</v>
      </c>
      <c r="H502">
        <v>47</v>
      </c>
      <c r="I502">
        <f>_xll.ciqfunctions.udf.CIQ(A502, "IQ_MARKETCAP", F502)</f>
        <v>52.054920000000003</v>
      </c>
      <c r="J502">
        <f>_xll.ciqfunctions.udf.CIQ(A502, "IQ_PRICE_VOL_HIST_6MTH", F502)</f>
        <v>139.2003</v>
      </c>
      <c r="K502">
        <f>_xll.ciqfunctions.udf.CIQ(A502, "IQ_LASTSALEPRICE", WORKDAY(F502,-1))</f>
        <v>2.17</v>
      </c>
      <c r="L502">
        <f>_xll.ciqfunctions.udf.CIQ(A502, "IQ_LASTSALEPRICE", F502)</f>
        <v>2.12</v>
      </c>
      <c r="M502">
        <f>_xll.ciqfunctions.udf.CIQ(A502, "IQ_LASTSALEPRICE", WORKDAY(F502,5))</f>
        <v>2.17</v>
      </c>
      <c r="N502">
        <f t="shared" si="14"/>
        <v>-2.3311078868446997E-2</v>
      </c>
      <c r="O502">
        <f t="shared" si="15"/>
        <v>0</v>
      </c>
      <c r="P502">
        <f>LN(_xll.ciqfunctions.udf.CIQ("XBI", "IQ_LASTSALEPRICE", WORKDAY(F502,-1))/_xll.ciqfunctions.udf.CIQ("XBI", "IQ_LASTSALEPRICE", WORKDAY(F502,1)))</f>
        <v>9.12182820549216E-3</v>
      </c>
      <c r="Q502">
        <f>LN(_xll.ciqfunctions.udf.CIQ("XBI", "IQ_LASTSALEPRICE", WORKDAY(F502,-1))/_xll.ciqfunctions.udf.CIQ("XBI", "IQ_LASTSALEPRICE", WORKDAY(F502,5)))</f>
        <v>2.1774795639409768E-2</v>
      </c>
      <c r="R502">
        <f>_xll.ciqfunctions.udf.CIQ(A502, "IQ_SHORT_INTEREST_PERCENT", F502)</f>
        <v>3.8663099999999999</v>
      </c>
      <c r="S502">
        <f>_xll.ciqfunctions.udf.CIQ(A502, "IQ_BETA_1YR_RSQ", F502)</f>
        <v>2.0000000000000002E-5</v>
      </c>
      <c r="T502">
        <f>_xll.ciqfunctions.udf.CIQ(A502, "IQ_VALUE_TRADED", F502)</f>
        <v>0.38940000000000002</v>
      </c>
    </row>
    <row r="503" spans="1:20" x14ac:dyDescent="0.3">
      <c r="A503" t="s">
        <v>433</v>
      </c>
      <c r="B503">
        <v>65.849999999999994</v>
      </c>
      <c r="C503" t="s">
        <v>1536</v>
      </c>
      <c r="D503" t="s">
        <v>1537</v>
      </c>
      <c r="E503" t="s">
        <v>36</v>
      </c>
      <c r="F503" s="1">
        <v>45369</v>
      </c>
      <c r="G503" t="s">
        <v>1538</v>
      </c>
      <c r="I503">
        <f>_xll.ciqfunctions.udf.CIQ(A503, "IQ_MARKETCAP", F503)</f>
        <v>159516.14780000001</v>
      </c>
      <c r="J503">
        <f>_xll.ciqfunctions.udf.CIQ(A503, "IQ_PRICE_VOL_HIST_6MTH", F503)</f>
        <v>23.6523</v>
      </c>
      <c r="K503">
        <f>_xll.ciqfunctions.udf.CIQ(A503, "IQ_LASTSALEPRICE", WORKDAY(F503,-1))</f>
        <v>102.94</v>
      </c>
      <c r="L503">
        <f>_xll.ciqfunctions.udf.CIQ(A503, "IQ_LASTSALEPRICE", F503)</f>
        <v>102.9</v>
      </c>
      <c r="M503">
        <f>_xll.ciqfunctions.udf.CIQ(A503, "IQ_LASTSALEPRICE", WORKDAY(F503,5))</f>
        <v>103.94</v>
      </c>
      <c r="N503">
        <f t="shared" si="14"/>
        <v>-3.8865138460444828E-4</v>
      </c>
      <c r="O503">
        <f t="shared" si="15"/>
        <v>9.6675153556873838E-3</v>
      </c>
      <c r="P503">
        <f>LN(_xll.ciqfunctions.udf.CIQ("XBI", "IQ_LASTSALEPRICE", WORKDAY(F503,-1))/_xll.ciqfunctions.udf.CIQ("XBI", "IQ_LASTSALEPRICE", WORKDAY(F503,1)))</f>
        <v>9.12182820549216E-3</v>
      </c>
      <c r="Q503">
        <f>LN(_xll.ciqfunctions.udf.CIQ("XBI", "IQ_LASTSALEPRICE", WORKDAY(F503,-1))/_xll.ciqfunctions.udf.CIQ("XBI", "IQ_LASTSALEPRICE", WORKDAY(F503,5)))</f>
        <v>2.1774795639409768E-2</v>
      </c>
      <c r="R503">
        <f>_xll.ciqfunctions.udf.CIQ(A503, "IQ_SHORT_INTEREST_PERCENT", F503)</f>
        <v>0</v>
      </c>
      <c r="S503">
        <f>_xll.ciqfunctions.udf.CIQ(A503, "IQ_BETA_1YR_RSQ", F503)</f>
        <v>0.22997999999999999</v>
      </c>
      <c r="T503">
        <f>_xll.ciqfunctions.udf.CIQ(A503, "IQ_VALUE_TRADED", F503)</f>
        <v>399.77093000000002</v>
      </c>
    </row>
    <row r="504" spans="1:20" x14ac:dyDescent="0.3">
      <c r="A504" t="s">
        <v>1539</v>
      </c>
      <c r="B504">
        <v>0.92</v>
      </c>
      <c r="C504" t="s">
        <v>1540</v>
      </c>
      <c r="D504" t="s">
        <v>416</v>
      </c>
      <c r="E504" t="s">
        <v>124</v>
      </c>
      <c r="F504" s="1">
        <v>45369</v>
      </c>
      <c r="G504" t="s">
        <v>1541</v>
      </c>
      <c r="H504">
        <v>6</v>
      </c>
      <c r="I504">
        <f>_xll.ciqfunctions.udf.CIQ(A504, "IQ_MARKETCAP", F504)</f>
        <v>69.615020000000001</v>
      </c>
      <c r="J504">
        <f>_xll.ciqfunctions.udf.CIQ(A504, "IQ_PRICE_VOL_HIST_6MTH", F504)</f>
        <v>91.932199999999995</v>
      </c>
      <c r="K504">
        <f>_xll.ciqfunctions.udf.CIQ(A504, "IQ_LASTSALEPRICE", WORKDAY(F504,-1))</f>
        <v>23.037500000000001</v>
      </c>
      <c r="L504">
        <f>_xll.ciqfunctions.udf.CIQ(A504, "IQ_LASTSALEPRICE", F504)</f>
        <v>23</v>
      </c>
      <c r="M504">
        <f>_xll.ciqfunctions.udf.CIQ(A504, "IQ_LASTSALEPRICE", WORKDAY(F504,5))</f>
        <v>23.467500000000001</v>
      </c>
      <c r="N504">
        <f t="shared" si="14"/>
        <v>-1.6291070667920553E-3</v>
      </c>
      <c r="O504">
        <f t="shared" si="15"/>
        <v>1.8493162233068142E-2</v>
      </c>
      <c r="P504">
        <f>LN(_xll.ciqfunctions.udf.CIQ("XBI", "IQ_LASTSALEPRICE", WORKDAY(F504,-1))/_xll.ciqfunctions.udf.CIQ("XBI", "IQ_LASTSALEPRICE", WORKDAY(F504,1)))</f>
        <v>9.12182820549216E-3</v>
      </c>
      <c r="Q504">
        <f>LN(_xll.ciqfunctions.udf.CIQ("XBI", "IQ_LASTSALEPRICE", WORKDAY(F504,-1))/_xll.ciqfunctions.udf.CIQ("XBI", "IQ_LASTSALEPRICE", WORKDAY(F504,5)))</f>
        <v>2.1774795639409768E-2</v>
      </c>
      <c r="R504">
        <f>_xll.ciqfunctions.udf.CIQ(A504, "IQ_SHORT_INTEREST_PERCENT", F504)</f>
        <v>0.48775000000000002</v>
      </c>
      <c r="S504">
        <f>_xll.ciqfunctions.udf.CIQ(A504, "IQ_BETA_1YR_RSQ", F504)</f>
        <v>4.7820000000000001E-2</v>
      </c>
      <c r="T504">
        <f>_xll.ciqfunctions.udf.CIQ(A504, "IQ_VALUE_TRADED", F504)</f>
        <v>0.23324</v>
      </c>
    </row>
    <row r="505" spans="1:20" x14ac:dyDescent="0.3">
      <c r="A505" t="s">
        <v>1542</v>
      </c>
      <c r="B505">
        <v>4.3600000000000003</v>
      </c>
      <c r="C505" t="s">
        <v>1543</v>
      </c>
      <c r="D505" t="s">
        <v>1544</v>
      </c>
      <c r="E505" t="s">
        <v>124</v>
      </c>
      <c r="F505" s="1">
        <v>45369</v>
      </c>
      <c r="G505" t="s">
        <v>1545</v>
      </c>
      <c r="H505">
        <v>95</v>
      </c>
      <c r="I505">
        <f>_xll.ciqfunctions.udf.CIQ(A505, "IQ_MARKETCAP", F505)</f>
        <v>197.63683</v>
      </c>
      <c r="J505">
        <f>_xll.ciqfunctions.udf.CIQ(A505, "IQ_PRICE_VOL_HIST_6MTH", F505)</f>
        <v>50.354500000000002</v>
      </c>
      <c r="K505">
        <f>_xll.ciqfunctions.udf.CIQ(A505, "IQ_LASTSALEPRICE", WORKDAY(F505,-1))</f>
        <v>3.71</v>
      </c>
      <c r="L505">
        <f>_xll.ciqfunctions.udf.CIQ(A505, "IQ_LASTSALEPRICE", F505)</f>
        <v>3.8</v>
      </c>
      <c r="M505">
        <f>_xll.ciqfunctions.udf.CIQ(A505, "IQ_LASTSALEPRICE", WORKDAY(F505,5))</f>
        <v>3.4249999999999998</v>
      </c>
      <c r="N505">
        <f t="shared" si="14"/>
        <v>2.3969190112996187E-2</v>
      </c>
      <c r="O505">
        <f t="shared" si="15"/>
        <v>-7.9930404905155225E-2</v>
      </c>
      <c r="P505">
        <f>LN(_xll.ciqfunctions.udf.CIQ("XBI", "IQ_LASTSALEPRICE", WORKDAY(F505,-1))/_xll.ciqfunctions.udf.CIQ("XBI", "IQ_LASTSALEPRICE", WORKDAY(F505,1)))</f>
        <v>9.12182820549216E-3</v>
      </c>
      <c r="Q505">
        <f>LN(_xll.ciqfunctions.udf.CIQ("XBI", "IQ_LASTSALEPRICE", WORKDAY(F505,-1))/_xll.ciqfunctions.udf.CIQ("XBI", "IQ_LASTSALEPRICE", WORKDAY(F505,5)))</f>
        <v>2.1774795639409768E-2</v>
      </c>
      <c r="R505">
        <f>_xll.ciqfunctions.udf.CIQ(A505, "IQ_SHORT_INTEREST_PERCENT", F505)</f>
        <v>0</v>
      </c>
      <c r="S505">
        <f>_xll.ciqfunctions.udf.CIQ(A505, "IQ_BETA_1YR_RSQ", F505)</f>
        <v>4.0189999999999997E-2</v>
      </c>
      <c r="T505">
        <f>_xll.ciqfunctions.udf.CIQ(A505, "IQ_VALUE_TRADED", F505)</f>
        <v>0.57454000000000005</v>
      </c>
    </row>
    <row r="506" spans="1:20" x14ac:dyDescent="0.3">
      <c r="A506" t="s">
        <v>1546</v>
      </c>
      <c r="B506">
        <v>1.67</v>
      </c>
      <c r="C506" t="s">
        <v>1547</v>
      </c>
      <c r="D506" t="s">
        <v>104</v>
      </c>
      <c r="E506" t="s">
        <v>17</v>
      </c>
      <c r="F506" s="1">
        <v>45369</v>
      </c>
      <c r="G506" t="s">
        <v>1548</v>
      </c>
      <c r="H506">
        <v>52</v>
      </c>
      <c r="I506">
        <f>_xll.ciqfunctions.udf.CIQ(A506, "IQ_MARKETCAP", F506)</f>
        <v>85.910629999999998</v>
      </c>
      <c r="J506">
        <f>_xll.ciqfunctions.udf.CIQ(A506, "IQ_PRICE_VOL_HIST_6MTH", F506)</f>
        <v>143.3366</v>
      </c>
      <c r="K506">
        <f>_xll.ciqfunctions.udf.CIQ(A506, "IQ_LASTSALEPRICE", WORKDAY(F506,-1))</f>
        <v>1.76</v>
      </c>
      <c r="L506">
        <f>_xll.ciqfunctions.udf.CIQ(A506, "IQ_LASTSALEPRICE", F506)</f>
        <v>1.67</v>
      </c>
      <c r="M506">
        <f>_xll.ciqfunctions.udf.CIQ(A506, "IQ_LASTSALEPRICE", WORKDAY(F506,5))</f>
        <v>1.7</v>
      </c>
      <c r="N506">
        <f t="shared" si="14"/>
        <v>-5.2490182621396687E-2</v>
      </c>
      <c r="O506">
        <f t="shared" si="15"/>
        <v>-3.4685557987890102E-2</v>
      </c>
      <c r="P506">
        <f>LN(_xll.ciqfunctions.udf.CIQ("XBI", "IQ_LASTSALEPRICE", WORKDAY(F506,-1))/_xll.ciqfunctions.udf.CIQ("XBI", "IQ_LASTSALEPRICE", WORKDAY(F506,1)))</f>
        <v>9.12182820549216E-3</v>
      </c>
      <c r="Q506">
        <f>LN(_xll.ciqfunctions.udf.CIQ("XBI", "IQ_LASTSALEPRICE", WORKDAY(F506,-1))/_xll.ciqfunctions.udf.CIQ("XBI", "IQ_LASTSALEPRICE", WORKDAY(F506,5)))</f>
        <v>2.1774795639409768E-2</v>
      </c>
      <c r="R506">
        <f>_xll.ciqfunctions.udf.CIQ(A506, "IQ_SHORT_INTEREST_PERCENT", F506)</f>
        <v>3.8554400000000002</v>
      </c>
      <c r="S506">
        <f>_xll.ciqfunctions.udf.CIQ(A506, "IQ_BETA_1YR_RSQ", F506)</f>
        <v>0.12093</v>
      </c>
      <c r="T506">
        <f>_xll.ciqfunctions.udf.CIQ(A506, "IQ_VALUE_TRADED", F506)</f>
        <v>0.64165000000000005</v>
      </c>
    </row>
    <row r="507" spans="1:20" x14ac:dyDescent="0.3">
      <c r="A507" t="s">
        <v>130</v>
      </c>
      <c r="B507">
        <v>120.71</v>
      </c>
      <c r="C507" t="s">
        <v>1547</v>
      </c>
      <c r="D507" t="s">
        <v>104</v>
      </c>
      <c r="E507" t="s">
        <v>17</v>
      </c>
      <c r="F507" s="1">
        <v>45369</v>
      </c>
      <c r="G507" t="s">
        <v>1548</v>
      </c>
      <c r="I507">
        <f>_xll.ciqfunctions.udf.CIQ(A507, "IQ_MARKETCAP", F507)</f>
        <v>307564.27182000002</v>
      </c>
      <c r="J507">
        <f>_xll.ciqfunctions.udf.CIQ(A507, "IQ_PRICE_VOL_HIST_6MTH", F507)</f>
        <v>16.0549</v>
      </c>
      <c r="K507">
        <f>_xll.ciqfunctions.udf.CIQ(A507, "IQ_LASTSALEPRICE", WORKDAY(F507,-1))</f>
        <v>121.52</v>
      </c>
      <c r="L507">
        <f>_xll.ciqfunctions.udf.CIQ(A507, "IQ_LASTSALEPRICE", F507)</f>
        <v>121.44</v>
      </c>
      <c r="M507">
        <f>_xll.ciqfunctions.udf.CIQ(A507, "IQ_LASTSALEPRICE", WORKDAY(F507,5))</f>
        <v>125.31</v>
      </c>
      <c r="N507">
        <f t="shared" si="14"/>
        <v>-6.5854464019761763E-4</v>
      </c>
      <c r="O507">
        <f t="shared" si="15"/>
        <v>3.0711808889676367E-2</v>
      </c>
      <c r="P507">
        <f>LN(_xll.ciqfunctions.udf.CIQ("XBI", "IQ_LASTSALEPRICE", WORKDAY(F507,-1))/_xll.ciqfunctions.udf.CIQ("XBI", "IQ_LASTSALEPRICE", WORKDAY(F507,1)))</f>
        <v>9.12182820549216E-3</v>
      </c>
      <c r="Q507">
        <f>LN(_xll.ciqfunctions.udf.CIQ("XBI", "IQ_LASTSALEPRICE", WORKDAY(F507,-1))/_xll.ciqfunctions.udf.CIQ("XBI", "IQ_LASTSALEPRICE", WORKDAY(F507,5)))</f>
        <v>2.1774795639409768E-2</v>
      </c>
      <c r="R507">
        <f>_xll.ciqfunctions.udf.CIQ(A507, "IQ_SHORT_INTEREST_PERCENT", F507)</f>
        <v>0.65563000000000005</v>
      </c>
      <c r="S507">
        <f>_xll.ciqfunctions.udf.CIQ(A507, "IQ_BETA_1YR_RSQ", F507)</f>
        <v>3.6999999999999999E-4</v>
      </c>
      <c r="T507">
        <f>_xll.ciqfunctions.udf.CIQ(A507, "IQ_VALUE_TRADED", F507)</f>
        <v>1009.39653</v>
      </c>
    </row>
    <row r="508" spans="1:20" x14ac:dyDescent="0.3">
      <c r="A508" t="s">
        <v>1549</v>
      </c>
      <c r="B508">
        <v>1.25</v>
      </c>
      <c r="C508" t="s">
        <v>1550</v>
      </c>
      <c r="D508" t="s">
        <v>1551</v>
      </c>
      <c r="E508" t="s">
        <v>89</v>
      </c>
      <c r="F508" s="1">
        <v>45369</v>
      </c>
      <c r="G508" t="s">
        <v>1552</v>
      </c>
      <c r="H508">
        <v>1</v>
      </c>
      <c r="I508">
        <f>_xll.ciqfunctions.udf.CIQ(A508, "IQ_MARKETCAP", F508)</f>
        <v>16.73779</v>
      </c>
      <c r="J508">
        <f>_xll.ciqfunctions.udf.CIQ(A508, "IQ_PRICE_VOL_HIST_6MTH", F508)</f>
        <v>273.91969999999998</v>
      </c>
      <c r="K508">
        <f>_xll.ciqfunctions.udf.CIQ(A508, "IQ_LASTSALEPRICE", WORKDAY(F508,-1))</f>
        <v>771.09951999999998</v>
      </c>
      <c r="L508">
        <f>_xll.ciqfunctions.udf.CIQ(A508, "IQ_LASTSALEPRICE", F508)</f>
        <v>747.18946000000005</v>
      </c>
      <c r="M508">
        <f>_xll.ciqfunctions.udf.CIQ(A508, "IQ_LASTSALEPRICE", WORKDAY(F508,5))</f>
        <v>675.45926999999995</v>
      </c>
      <c r="N508">
        <f t="shared" si="14"/>
        <v>-3.1498663531940405E-2</v>
      </c>
      <c r="O508">
        <f t="shared" si="15"/>
        <v>-0.13242458484597347</v>
      </c>
      <c r="P508">
        <f>LN(_xll.ciqfunctions.udf.CIQ("XBI", "IQ_LASTSALEPRICE", WORKDAY(F508,-1))/_xll.ciqfunctions.udf.CIQ("XBI", "IQ_LASTSALEPRICE", WORKDAY(F508,1)))</f>
        <v>9.12182820549216E-3</v>
      </c>
      <c r="Q508">
        <f>LN(_xll.ciqfunctions.udf.CIQ("XBI", "IQ_LASTSALEPRICE", WORKDAY(F508,-1))/_xll.ciqfunctions.udf.CIQ("XBI", "IQ_LASTSALEPRICE", WORKDAY(F508,5)))</f>
        <v>2.1774795639409768E-2</v>
      </c>
      <c r="R508">
        <f>_xll.ciqfunctions.udf.CIQ(A508, "IQ_SHORT_INTEREST_PERCENT", F508)</f>
        <v>0.60219</v>
      </c>
      <c r="S508">
        <f>_xll.ciqfunctions.udf.CIQ(A508, "IQ_BETA_1YR_RSQ", F508)</f>
        <v>9.4900000000000002E-3</v>
      </c>
      <c r="T508">
        <f>_xll.ciqfunctions.udf.CIQ(A508, "IQ_VALUE_TRADED", F508)</f>
        <v>1.11182</v>
      </c>
    </row>
    <row r="509" spans="1:20" x14ac:dyDescent="0.3">
      <c r="A509" t="s">
        <v>989</v>
      </c>
      <c r="B509">
        <v>154.94</v>
      </c>
      <c r="C509" t="s">
        <v>1553</v>
      </c>
      <c r="D509" t="s">
        <v>1554</v>
      </c>
      <c r="E509" t="s">
        <v>160</v>
      </c>
      <c r="F509" s="1">
        <v>45370</v>
      </c>
      <c r="G509" t="s">
        <v>1555</v>
      </c>
      <c r="I509">
        <f>_xll.ciqfunctions.udf.CIQ(A509, "IQ_MARKETCAP", F509)</f>
        <v>376432.21087000001</v>
      </c>
      <c r="J509">
        <f>_xll.ciqfunctions.udf.CIQ(A509, "IQ_PRICE_VOL_HIST_6MTH", F509)</f>
        <v>13.156700000000001</v>
      </c>
      <c r="K509">
        <f>_xll.ciqfunctions.udf.CIQ(A509, "IQ_LASTSALEPRICE", WORKDAY(F509,-1))</f>
        <v>156.76</v>
      </c>
      <c r="L509">
        <f>_xll.ciqfunctions.udf.CIQ(A509, "IQ_LASTSALEPRICE", F509)</f>
        <v>156.21</v>
      </c>
      <c r="M509">
        <f>_xll.ciqfunctions.udf.CIQ(A509, "IQ_LASTSALEPRICE", WORKDAY(F509,5))</f>
        <v>155.77000000000001</v>
      </c>
      <c r="N509">
        <f t="shared" si="14"/>
        <v>-3.5147174885131549E-3</v>
      </c>
      <c r="O509">
        <f t="shared" si="15"/>
        <v>-6.3354129929161151E-3</v>
      </c>
      <c r="P509">
        <f>LN(_xll.ciqfunctions.udf.CIQ("XBI", "IQ_LASTSALEPRICE", WORKDAY(F509,-1))/_xll.ciqfunctions.udf.CIQ("XBI", "IQ_LASTSALEPRICE", WORKDAY(F509,1)))</f>
        <v>-2.3497971267303873E-2</v>
      </c>
      <c r="Q509">
        <f>LN(_xll.ciqfunctions.udf.CIQ("XBI", "IQ_LASTSALEPRICE", WORKDAY(F509,-1))/_xll.ciqfunctions.udf.CIQ("XBI", "IQ_LASTSALEPRICE", WORKDAY(F509,5)))</f>
        <v>2.8011222797117733E-3</v>
      </c>
      <c r="R509">
        <f>_xll.ciqfunctions.udf.CIQ(A509, "IQ_SHORT_INTEREST_PERCENT", F509)</f>
        <v>0.61624000000000001</v>
      </c>
      <c r="S509">
        <f>_xll.ciqfunctions.udf.CIQ(A509, "IQ_BETA_1YR_RSQ", F509)</f>
        <v>0.12001000000000001</v>
      </c>
      <c r="T509">
        <f>_xll.ciqfunctions.udf.CIQ(A509, "IQ_VALUE_TRADED", F509)</f>
        <v>1224.78388</v>
      </c>
    </row>
    <row r="510" spans="1:20" x14ac:dyDescent="0.3">
      <c r="A510" t="s">
        <v>1448</v>
      </c>
      <c r="B510">
        <v>45.18</v>
      </c>
      <c r="C510" t="s">
        <v>1556</v>
      </c>
      <c r="D510" t="s">
        <v>1557</v>
      </c>
      <c r="E510" t="s">
        <v>36</v>
      </c>
      <c r="F510" s="1">
        <v>45370</v>
      </c>
      <c r="G510" t="s">
        <v>1558</v>
      </c>
      <c r="H510">
        <v>94</v>
      </c>
      <c r="I510">
        <f>_xll.ciqfunctions.udf.CIQ(A510, "IQ_MARKETCAP", F510)</f>
        <v>3520.85644</v>
      </c>
      <c r="J510">
        <f>_xll.ciqfunctions.udf.CIQ(A510, "IQ_PRICE_VOL_HIST_6MTH", F510)</f>
        <v>57.860199999999999</v>
      </c>
      <c r="K510">
        <f>_xll.ciqfunctions.udf.CIQ(A510, "IQ_LASTSALEPRICE", WORKDAY(F510,-1))</f>
        <v>37.93</v>
      </c>
      <c r="L510">
        <f>_xll.ciqfunctions.udf.CIQ(A510, "IQ_LASTSALEPRICE", F510)</f>
        <v>45.18</v>
      </c>
      <c r="M510">
        <f>_xll.ciqfunctions.udf.CIQ(A510, "IQ_LASTSALEPRICE", WORKDAY(F510,5))</f>
        <v>43.37</v>
      </c>
      <c r="N510">
        <f t="shared" si="14"/>
        <v>0.17491215533904955</v>
      </c>
      <c r="O510">
        <f t="shared" si="15"/>
        <v>0.13402560214646725</v>
      </c>
      <c r="P510">
        <f>LN(_xll.ciqfunctions.udf.CIQ("XBI", "IQ_LASTSALEPRICE", WORKDAY(F510,-1))/_xll.ciqfunctions.udf.CIQ("XBI", "IQ_LASTSALEPRICE", WORKDAY(F510,1)))</f>
        <v>-2.3497971267303873E-2</v>
      </c>
      <c r="Q510">
        <f>LN(_xll.ciqfunctions.udf.CIQ("XBI", "IQ_LASTSALEPRICE", WORKDAY(F510,-1))/_xll.ciqfunctions.udf.CIQ("XBI", "IQ_LASTSALEPRICE", WORKDAY(F510,5)))</f>
        <v>2.8011222797117733E-3</v>
      </c>
      <c r="R510">
        <f>_xll.ciqfunctions.udf.CIQ(A510, "IQ_SHORT_INTEREST_PERCENT", F510)</f>
        <v>6.0855300000000003</v>
      </c>
      <c r="S510">
        <f>_xll.ciqfunctions.udf.CIQ(A510, "IQ_BETA_1YR_RSQ", F510)</f>
        <v>6.1799999999999997E-3</v>
      </c>
      <c r="T510">
        <f>_xll.ciqfunctions.udf.CIQ(A510, "IQ_VALUE_TRADED", F510)</f>
        <v>139.60882000000001</v>
      </c>
    </row>
    <row r="511" spans="1:20" x14ac:dyDescent="0.3">
      <c r="A511" t="s">
        <v>883</v>
      </c>
      <c r="B511">
        <v>12</v>
      </c>
      <c r="C511" t="s">
        <v>1559</v>
      </c>
      <c r="D511" t="s">
        <v>1560</v>
      </c>
      <c r="E511" t="s">
        <v>89</v>
      </c>
      <c r="F511" s="1">
        <v>45370</v>
      </c>
      <c r="G511" t="s">
        <v>1561</v>
      </c>
      <c r="H511">
        <v>11</v>
      </c>
      <c r="I511">
        <f>_xll.ciqfunctions.udf.CIQ(A511, "IQ_MARKETCAP", F511)</f>
        <v>78.767470000000003</v>
      </c>
      <c r="J511">
        <f>_xll.ciqfunctions.udf.CIQ(A511, "IQ_PRICE_VOL_HIST_6MTH", F511)</f>
        <v>97.420299999999997</v>
      </c>
      <c r="K511">
        <f>_xll.ciqfunctions.udf.CIQ(A511, "IQ_LASTSALEPRICE", WORKDAY(F511,-1))</f>
        <v>11.73</v>
      </c>
      <c r="L511">
        <f>_xll.ciqfunctions.udf.CIQ(A511, "IQ_LASTSALEPRICE", F511)</f>
        <v>12</v>
      </c>
      <c r="M511">
        <f>_xll.ciqfunctions.udf.CIQ(A511, "IQ_LASTSALEPRICE", WORKDAY(F511,5))</f>
        <v>12.75</v>
      </c>
      <c r="N511">
        <f t="shared" si="14"/>
        <v>2.2756987122616278E-2</v>
      </c>
      <c r="O511">
        <f t="shared" si="15"/>
        <v>8.3381608939051E-2</v>
      </c>
      <c r="P511">
        <f>LN(_xll.ciqfunctions.udf.CIQ("XBI", "IQ_LASTSALEPRICE", WORKDAY(F511,-1))/_xll.ciqfunctions.udf.CIQ("XBI", "IQ_LASTSALEPRICE", WORKDAY(F511,1)))</f>
        <v>-2.3497971267303873E-2</v>
      </c>
      <c r="Q511">
        <f>LN(_xll.ciqfunctions.udf.CIQ("XBI", "IQ_LASTSALEPRICE", WORKDAY(F511,-1))/_xll.ciqfunctions.udf.CIQ("XBI", "IQ_LASTSALEPRICE", WORKDAY(F511,5)))</f>
        <v>2.8011222797117733E-3</v>
      </c>
      <c r="R511">
        <f>_xll.ciqfunctions.udf.CIQ(A511, "IQ_SHORT_INTEREST_PERCENT", F511)</f>
        <v>0.74085000000000001</v>
      </c>
      <c r="S511">
        <f>_xll.ciqfunctions.udf.CIQ(A511, "IQ_BETA_1YR_RSQ", F511)</f>
        <v>0.19921</v>
      </c>
      <c r="T511">
        <f>_xll.ciqfunctions.udf.CIQ(A511, "IQ_VALUE_TRADED", F511)</f>
        <v>0.64476999999999995</v>
      </c>
    </row>
    <row r="512" spans="1:20" x14ac:dyDescent="0.3">
      <c r="A512" t="s">
        <v>1562</v>
      </c>
      <c r="B512">
        <v>76.87</v>
      </c>
      <c r="C512" t="s">
        <v>1563</v>
      </c>
      <c r="D512" t="s">
        <v>1564</v>
      </c>
      <c r="E512" t="s">
        <v>36</v>
      </c>
      <c r="F512" s="1">
        <v>45370</v>
      </c>
      <c r="G512" t="s">
        <v>1565</v>
      </c>
      <c r="H512">
        <v>49</v>
      </c>
      <c r="I512">
        <f>_xll.ciqfunctions.udf.CIQ(A512, "IQ_MARKETCAP", F512)</f>
        <v>3641.6682099999998</v>
      </c>
      <c r="J512">
        <f>_xll.ciqfunctions.udf.CIQ(A512, "IQ_PRICE_VOL_HIST_6MTH", F512)</f>
        <v>50.677100000000003</v>
      </c>
      <c r="K512">
        <f>_xll.ciqfunctions.udf.CIQ(A512, "IQ_LASTSALEPRICE", WORKDAY(F512,-1))</f>
        <v>72.540000000000006</v>
      </c>
      <c r="L512">
        <f>_xll.ciqfunctions.udf.CIQ(A512, "IQ_LASTSALEPRICE", F512)</f>
        <v>76.87</v>
      </c>
      <c r="M512">
        <f>_xll.ciqfunctions.udf.CIQ(A512, "IQ_LASTSALEPRICE", WORKDAY(F512,5))</f>
        <v>76.72</v>
      </c>
      <c r="N512">
        <f t="shared" si="14"/>
        <v>5.7977549506284268E-2</v>
      </c>
      <c r="O512">
        <f t="shared" si="15"/>
        <v>5.6024296720426463E-2</v>
      </c>
      <c r="P512">
        <f>LN(_xll.ciqfunctions.udf.CIQ("XBI", "IQ_LASTSALEPRICE", WORKDAY(F512,-1))/_xll.ciqfunctions.udf.CIQ("XBI", "IQ_LASTSALEPRICE", WORKDAY(F512,1)))</f>
        <v>-2.3497971267303873E-2</v>
      </c>
      <c r="Q512">
        <f>LN(_xll.ciqfunctions.udf.CIQ("XBI", "IQ_LASTSALEPRICE", WORKDAY(F512,-1))/_xll.ciqfunctions.udf.CIQ("XBI", "IQ_LASTSALEPRICE", WORKDAY(F512,5)))</f>
        <v>2.8011222797117733E-3</v>
      </c>
      <c r="R512">
        <f>_xll.ciqfunctions.udf.CIQ(A512, "IQ_SHORT_INTEREST_PERCENT", F512)</f>
        <v>15.76873</v>
      </c>
      <c r="S512">
        <f>_xll.ciqfunctions.udf.CIQ(A512, "IQ_BETA_1YR_RSQ", F512)</f>
        <v>3.5000000000000003E-2</v>
      </c>
      <c r="T512">
        <f>_xll.ciqfunctions.udf.CIQ(A512, "IQ_VALUE_TRADED", F512)</f>
        <v>94.663409999999999</v>
      </c>
    </row>
    <row r="513" spans="1:20" x14ac:dyDescent="0.3">
      <c r="A513" t="s">
        <v>1566</v>
      </c>
      <c r="B513">
        <v>2.04</v>
      </c>
      <c r="C513" t="s">
        <v>1567</v>
      </c>
      <c r="D513" t="s">
        <v>1568</v>
      </c>
      <c r="E513" t="s">
        <v>36</v>
      </c>
      <c r="F513" s="1">
        <v>45370</v>
      </c>
      <c r="G513" t="s">
        <v>1569</v>
      </c>
      <c r="H513">
        <v>191</v>
      </c>
      <c r="I513">
        <f>_xll.ciqfunctions.udf.CIQ(A513, "IQ_MARKETCAP", F513)</f>
        <v>369.81675999999999</v>
      </c>
      <c r="J513">
        <f>_xll.ciqfunctions.udf.CIQ(A513, "IQ_PRICE_VOL_HIST_6MTH", F513)</f>
        <v>83.914199999999994</v>
      </c>
      <c r="K513">
        <f>_xll.ciqfunctions.udf.CIQ(A513, "IQ_LASTSALEPRICE", WORKDAY(F513,-1))</f>
        <v>1.86</v>
      </c>
      <c r="L513">
        <f>_xll.ciqfunctions.udf.CIQ(A513, "IQ_LASTSALEPRICE", F513)</f>
        <v>2.04</v>
      </c>
      <c r="M513">
        <f>_xll.ciqfunctions.udf.CIQ(A513, "IQ_LASTSALEPRICE", WORKDAY(F513,5))</f>
        <v>1.74</v>
      </c>
      <c r="N513">
        <f t="shared" si="14"/>
        <v>9.2373320131015069E-2</v>
      </c>
      <c r="O513">
        <f t="shared" si="15"/>
        <v>-6.6691374498672282E-2</v>
      </c>
      <c r="P513">
        <f>LN(_xll.ciqfunctions.udf.CIQ("XBI", "IQ_LASTSALEPRICE", WORKDAY(F513,-1))/_xll.ciqfunctions.udf.CIQ("XBI", "IQ_LASTSALEPRICE", WORKDAY(F513,1)))</f>
        <v>-2.3497971267303873E-2</v>
      </c>
      <c r="Q513">
        <f>LN(_xll.ciqfunctions.udf.CIQ("XBI", "IQ_LASTSALEPRICE", WORKDAY(F513,-1))/_xll.ciqfunctions.udf.CIQ("XBI", "IQ_LASTSALEPRICE", WORKDAY(F513,5)))</f>
        <v>2.8011222797117733E-3</v>
      </c>
      <c r="R513">
        <f>_xll.ciqfunctions.udf.CIQ(A513, "IQ_SHORT_INTEREST_PERCENT", F513)</f>
        <v>2.4798800000000001</v>
      </c>
      <c r="S513">
        <f>_xll.ciqfunctions.udf.CIQ(A513, "IQ_BETA_1YR_RSQ", F513)</f>
        <v>0.36180000000000001</v>
      </c>
      <c r="T513">
        <f>_xll.ciqfunctions.udf.CIQ(A513, "IQ_VALUE_TRADED", F513)</f>
        <v>40.346130000000002</v>
      </c>
    </row>
    <row r="514" spans="1:20" x14ac:dyDescent="0.3">
      <c r="A514" t="s">
        <v>582</v>
      </c>
      <c r="B514">
        <v>2.83</v>
      </c>
      <c r="C514" t="s">
        <v>583</v>
      </c>
      <c r="D514" t="s">
        <v>584</v>
      </c>
      <c r="E514" t="s">
        <v>22</v>
      </c>
      <c r="F514" s="1">
        <v>45370</v>
      </c>
      <c r="G514" t="s">
        <v>1570</v>
      </c>
      <c r="H514">
        <v>1</v>
      </c>
      <c r="I514">
        <f>_xll.ciqfunctions.udf.CIQ(A514, "IQ_MARKETCAP", F514)</f>
        <v>3.6457099999999998</v>
      </c>
      <c r="J514">
        <f>_xll.ciqfunctions.udf.CIQ(A514, "IQ_PRICE_VOL_HIST_6MTH", F514)</f>
        <v>0</v>
      </c>
      <c r="K514">
        <f>_xll.ciqfunctions.udf.CIQ(A514, "IQ_LASTSALEPRICE", WORKDAY(F514,-1))</f>
        <v>0</v>
      </c>
      <c r="L514">
        <f>_xll.ciqfunctions.udf.CIQ(A514, "IQ_LASTSALEPRICE", F514)</f>
        <v>0</v>
      </c>
      <c r="M514">
        <f>_xll.ciqfunctions.udf.CIQ(A514, "IQ_LASTSALEPRICE", WORKDAY(F514,5))</f>
        <v>0</v>
      </c>
      <c r="N514" t="e">
        <f t="shared" si="14"/>
        <v>#DIV/0!</v>
      </c>
      <c r="O514" t="e">
        <f t="shared" si="15"/>
        <v>#DIV/0!</v>
      </c>
      <c r="P514">
        <f>LN(_xll.ciqfunctions.udf.CIQ("XBI", "IQ_LASTSALEPRICE", WORKDAY(F514,-1))/_xll.ciqfunctions.udf.CIQ("XBI", "IQ_LASTSALEPRICE", WORKDAY(F514,1)))</f>
        <v>-2.3497971267303873E-2</v>
      </c>
      <c r="Q514">
        <f>LN(_xll.ciqfunctions.udf.CIQ("XBI", "IQ_LASTSALEPRICE", WORKDAY(F514,-1))/_xll.ciqfunctions.udf.CIQ("XBI", "IQ_LASTSALEPRICE", WORKDAY(F514,5)))</f>
        <v>2.8011222797117733E-3</v>
      </c>
      <c r="R514">
        <f>_xll.ciqfunctions.udf.CIQ(A514, "IQ_SHORT_INTEREST_PERCENT", F514)</f>
        <v>0</v>
      </c>
      <c r="S514">
        <f>_xll.ciqfunctions.udf.CIQ(A514, "IQ_BETA_1YR_RSQ", F514)</f>
        <v>0</v>
      </c>
      <c r="T514">
        <f>_xll.ciqfunctions.udf.CIQ(A514, "IQ_VALUE_TRADED", F514)</f>
        <v>0</v>
      </c>
    </row>
    <row r="515" spans="1:20" x14ac:dyDescent="0.3">
      <c r="A515" t="s">
        <v>466</v>
      </c>
      <c r="B515">
        <v>5.2</v>
      </c>
      <c r="C515" t="s">
        <v>1571</v>
      </c>
      <c r="D515" t="s">
        <v>1572</v>
      </c>
      <c r="E515" t="s">
        <v>27</v>
      </c>
      <c r="F515" s="1">
        <v>45370</v>
      </c>
      <c r="G515" t="s">
        <v>1573</v>
      </c>
      <c r="I515">
        <f>_xll.ciqfunctions.udf.CIQ(A515, "IQ_MARKETCAP", F515)</f>
        <v>8.8923299999999994</v>
      </c>
      <c r="J515">
        <f>_xll.ciqfunctions.udf.CIQ(A515, "IQ_PRICE_VOL_HIST_6MTH", F515)</f>
        <v>0</v>
      </c>
      <c r="K515">
        <f>_xll.ciqfunctions.udf.CIQ(A515, "IQ_LASTSALEPRICE", WORKDAY(F515,-1))</f>
        <v>0</v>
      </c>
      <c r="L515">
        <f>_xll.ciqfunctions.udf.CIQ(A515, "IQ_LASTSALEPRICE", F515)</f>
        <v>0</v>
      </c>
      <c r="M515">
        <f>_xll.ciqfunctions.udf.CIQ(A515, "IQ_LASTSALEPRICE", WORKDAY(F515,5))</f>
        <v>0</v>
      </c>
      <c r="N515" t="e">
        <f t="shared" ref="N515:N578" si="16">LN(L515/K515)</f>
        <v>#DIV/0!</v>
      </c>
      <c r="O515" t="e">
        <f t="shared" ref="O515:O578" si="17">LN(M515/K515)</f>
        <v>#DIV/0!</v>
      </c>
      <c r="P515">
        <f>LN(_xll.ciqfunctions.udf.CIQ("XBI", "IQ_LASTSALEPRICE", WORKDAY(F515,-1))/_xll.ciqfunctions.udf.CIQ("XBI", "IQ_LASTSALEPRICE", WORKDAY(F515,1)))</f>
        <v>-2.3497971267303873E-2</v>
      </c>
      <c r="Q515">
        <f>LN(_xll.ciqfunctions.udf.CIQ("XBI", "IQ_LASTSALEPRICE", WORKDAY(F515,-1))/_xll.ciqfunctions.udf.CIQ("XBI", "IQ_LASTSALEPRICE", WORKDAY(F515,5)))</f>
        <v>2.8011222797117733E-3</v>
      </c>
      <c r="R515">
        <f>_xll.ciqfunctions.udf.CIQ(A515, "IQ_SHORT_INTEREST_PERCENT", F515)</f>
        <v>0</v>
      </c>
      <c r="S515">
        <f>_xll.ciqfunctions.udf.CIQ(A515, "IQ_BETA_1YR_RSQ", F515)</f>
        <v>0</v>
      </c>
      <c r="T515">
        <f>_xll.ciqfunctions.udf.CIQ(A515, "IQ_VALUE_TRADED", F515)</f>
        <v>0</v>
      </c>
    </row>
    <row r="516" spans="1:20" x14ac:dyDescent="0.3">
      <c r="A516" t="s">
        <v>1574</v>
      </c>
      <c r="B516">
        <v>1.35</v>
      </c>
      <c r="C516" t="s">
        <v>1575</v>
      </c>
      <c r="D516" t="s">
        <v>1576</v>
      </c>
      <c r="E516" t="s">
        <v>89</v>
      </c>
      <c r="F516" s="1">
        <v>45370</v>
      </c>
      <c r="G516" t="s">
        <v>1577</v>
      </c>
      <c r="H516">
        <v>13</v>
      </c>
      <c r="I516">
        <f>_xll.ciqfunctions.udf.CIQ(A516, "IQ_MARKETCAP", F516)</f>
        <v>5.8676899999999996</v>
      </c>
      <c r="J516">
        <f>_xll.ciqfunctions.udf.CIQ(A516, "IQ_PRICE_VOL_HIST_6MTH", F516)</f>
        <v>68.972399999999993</v>
      </c>
      <c r="K516">
        <f>_xll.ciqfunctions.udf.CIQ(A516, "IQ_LASTSALEPRICE", WORKDAY(F516,-1))</f>
        <v>1.1499999999999999</v>
      </c>
      <c r="L516">
        <f>_xll.ciqfunctions.udf.CIQ(A516, "IQ_LASTSALEPRICE", F516)</f>
        <v>1.35</v>
      </c>
      <c r="M516">
        <f>_xll.ciqfunctions.udf.CIQ(A516, "IQ_LASTSALEPRICE", WORKDAY(F516,5))</f>
        <v>1.49</v>
      </c>
      <c r="N516">
        <f t="shared" si="16"/>
        <v>0.16034265007517948</v>
      </c>
      <c r="O516">
        <f t="shared" si="17"/>
        <v>0.25901417758220913</v>
      </c>
      <c r="P516">
        <f>LN(_xll.ciqfunctions.udf.CIQ("XBI", "IQ_LASTSALEPRICE", WORKDAY(F516,-1))/_xll.ciqfunctions.udf.CIQ("XBI", "IQ_LASTSALEPRICE", WORKDAY(F516,1)))</f>
        <v>-2.3497971267303873E-2</v>
      </c>
      <c r="Q516">
        <f>LN(_xll.ciqfunctions.udf.CIQ("XBI", "IQ_LASTSALEPRICE", WORKDAY(F516,-1))/_xll.ciqfunctions.udf.CIQ("XBI", "IQ_LASTSALEPRICE", WORKDAY(F516,5)))</f>
        <v>2.8011222797117733E-3</v>
      </c>
      <c r="R516">
        <f>_xll.ciqfunctions.udf.CIQ(A516, "IQ_SHORT_INTEREST_PERCENT", F516)</f>
        <v>1.75675</v>
      </c>
      <c r="S516">
        <f>_xll.ciqfunctions.udf.CIQ(A516, "IQ_BETA_1YR_RSQ", F516)</f>
        <v>3.0679999999999999E-2</v>
      </c>
      <c r="T516">
        <f>_xll.ciqfunctions.udf.CIQ(A516, "IQ_VALUE_TRADED", F516)</f>
        <v>26.412130000000001</v>
      </c>
    </row>
    <row r="517" spans="1:20" x14ac:dyDescent="0.3">
      <c r="A517" t="s">
        <v>1520</v>
      </c>
      <c r="B517">
        <v>26.24</v>
      </c>
      <c r="C517" t="s">
        <v>1578</v>
      </c>
      <c r="D517" t="s">
        <v>1579</v>
      </c>
      <c r="E517" t="s">
        <v>17</v>
      </c>
      <c r="F517" s="1">
        <v>45370</v>
      </c>
      <c r="G517" t="s">
        <v>1580</v>
      </c>
      <c r="H517">
        <v>16</v>
      </c>
      <c r="I517">
        <f>_xll.ciqfunctions.udf.CIQ(A517, "IQ_MARKETCAP", F517)</f>
        <v>395.27663000000001</v>
      </c>
      <c r="J517">
        <f>_xll.ciqfunctions.udf.CIQ(A517, "IQ_PRICE_VOL_HIST_6MTH", F517)</f>
        <v>99.573800000000006</v>
      </c>
      <c r="K517">
        <f>_xll.ciqfunctions.udf.CIQ(A517, "IQ_LASTSALEPRICE", WORKDAY(F517,-1))</f>
        <v>24.86</v>
      </c>
      <c r="L517">
        <f>_xll.ciqfunctions.udf.CIQ(A517, "IQ_LASTSALEPRICE", F517)</f>
        <v>26.24</v>
      </c>
      <c r="M517">
        <f>_xll.ciqfunctions.udf.CIQ(A517, "IQ_LASTSALEPRICE", WORKDAY(F517,5))</f>
        <v>27.89</v>
      </c>
      <c r="N517">
        <f t="shared" si="16"/>
        <v>5.402487799332311E-2</v>
      </c>
      <c r="O517">
        <f t="shared" si="17"/>
        <v>0.1150081155568326</v>
      </c>
      <c r="P517">
        <f>LN(_xll.ciqfunctions.udf.CIQ("XBI", "IQ_LASTSALEPRICE", WORKDAY(F517,-1))/_xll.ciqfunctions.udf.CIQ("XBI", "IQ_LASTSALEPRICE", WORKDAY(F517,1)))</f>
        <v>-2.3497971267303873E-2</v>
      </c>
      <c r="Q517">
        <f>LN(_xll.ciqfunctions.udf.CIQ("XBI", "IQ_LASTSALEPRICE", WORKDAY(F517,-1))/_xll.ciqfunctions.udf.CIQ("XBI", "IQ_LASTSALEPRICE", WORKDAY(F517,5)))</f>
        <v>2.8011222797117733E-3</v>
      </c>
      <c r="R517">
        <f>_xll.ciqfunctions.udf.CIQ(A517, "IQ_SHORT_INTEREST_PERCENT", F517)</f>
        <v>1.9175599999999999</v>
      </c>
      <c r="S517">
        <f>_xll.ciqfunctions.udf.CIQ(A517, "IQ_BETA_1YR_RSQ", F517)</f>
        <v>2.4400000000000002E-2</v>
      </c>
      <c r="T517">
        <f>_xll.ciqfunctions.udf.CIQ(A517, "IQ_VALUE_TRADED", F517)</f>
        <v>2.58805</v>
      </c>
    </row>
    <row r="518" spans="1:20" x14ac:dyDescent="0.3">
      <c r="A518" t="s">
        <v>1581</v>
      </c>
      <c r="B518">
        <v>4.05</v>
      </c>
      <c r="C518" t="s">
        <v>1582</v>
      </c>
      <c r="D518" t="s">
        <v>1583</v>
      </c>
      <c r="E518" t="s">
        <v>22</v>
      </c>
      <c r="F518" s="1">
        <v>45370</v>
      </c>
      <c r="G518" t="s">
        <v>1584</v>
      </c>
      <c r="H518">
        <v>54</v>
      </c>
      <c r="I518">
        <f>_xll.ciqfunctions.udf.CIQ(A518, "IQ_MARKETCAP", F518)</f>
        <v>212.03551999999999</v>
      </c>
      <c r="J518">
        <f>_xll.ciqfunctions.udf.CIQ(A518, "IQ_PRICE_VOL_HIST_6MTH", F518)</f>
        <v>0</v>
      </c>
      <c r="K518">
        <f>_xll.ciqfunctions.udf.CIQ(A518, "IQ_LASTSALEPRICE", WORKDAY(F518,-1))</f>
        <v>0</v>
      </c>
      <c r="L518">
        <f>_xll.ciqfunctions.udf.CIQ(A518, "IQ_LASTSALEPRICE", F518)</f>
        <v>0</v>
      </c>
      <c r="M518">
        <f>_xll.ciqfunctions.udf.CIQ(A518, "IQ_LASTSALEPRICE", WORKDAY(F518,5))</f>
        <v>0</v>
      </c>
      <c r="N518" t="e">
        <f t="shared" si="16"/>
        <v>#DIV/0!</v>
      </c>
      <c r="O518" t="e">
        <f t="shared" si="17"/>
        <v>#DIV/0!</v>
      </c>
      <c r="P518">
        <f>LN(_xll.ciqfunctions.udf.CIQ("XBI", "IQ_LASTSALEPRICE", WORKDAY(F518,-1))/_xll.ciqfunctions.udf.CIQ("XBI", "IQ_LASTSALEPRICE", WORKDAY(F518,1)))</f>
        <v>-2.3497971267303873E-2</v>
      </c>
      <c r="Q518">
        <f>LN(_xll.ciqfunctions.udf.CIQ("XBI", "IQ_LASTSALEPRICE", WORKDAY(F518,-1))/_xll.ciqfunctions.udf.CIQ("XBI", "IQ_LASTSALEPRICE", WORKDAY(F518,5)))</f>
        <v>2.8011222797117733E-3</v>
      </c>
      <c r="R518">
        <f>_xll.ciqfunctions.udf.CIQ(A518, "IQ_SHORT_INTEREST_PERCENT", F518)</f>
        <v>0</v>
      </c>
      <c r="S518">
        <f>_xll.ciqfunctions.udf.CIQ(A518, "IQ_BETA_1YR_RSQ", F518)</f>
        <v>0</v>
      </c>
      <c r="T518">
        <f>_xll.ciqfunctions.udf.CIQ(A518, "IQ_VALUE_TRADED", F518)</f>
        <v>0</v>
      </c>
    </row>
    <row r="519" spans="1:20" x14ac:dyDescent="0.3">
      <c r="A519" t="s">
        <v>162</v>
      </c>
      <c r="B519">
        <v>72.209999999999994</v>
      </c>
      <c r="C519" t="s">
        <v>1585</v>
      </c>
      <c r="D519" t="s">
        <v>1586</v>
      </c>
      <c r="E519" t="s">
        <v>36</v>
      </c>
      <c r="F519" s="1">
        <v>45370</v>
      </c>
      <c r="G519" t="s">
        <v>1587</v>
      </c>
      <c r="H519">
        <v>19</v>
      </c>
      <c r="I519">
        <f>_xll.ciqfunctions.udf.CIQ(A519, "IQ_MARKETCAP", F519)</f>
        <v>1278.4987699999999</v>
      </c>
      <c r="J519">
        <f>_xll.ciqfunctions.udf.CIQ(A519, "IQ_PRICE_VOL_HIST_6MTH", F519)</f>
        <v>42.447299999999998</v>
      </c>
      <c r="K519">
        <f>_xll.ciqfunctions.udf.CIQ(A519, "IQ_LASTSALEPRICE", WORKDAY(F519,-1))</f>
        <v>72.14</v>
      </c>
      <c r="L519">
        <f>_xll.ciqfunctions.udf.CIQ(A519, "IQ_LASTSALEPRICE", F519)</f>
        <v>72.209999999999994</v>
      </c>
      <c r="M519">
        <f>_xll.ciqfunctions.udf.CIQ(A519, "IQ_LASTSALEPRICE", WORKDAY(F519,5))</f>
        <v>68.64</v>
      </c>
      <c r="N519">
        <f t="shared" si="16"/>
        <v>9.6986498769724959E-4</v>
      </c>
      <c r="O519">
        <f t="shared" si="17"/>
        <v>-4.973322029568604E-2</v>
      </c>
      <c r="P519">
        <f>LN(_xll.ciqfunctions.udf.CIQ("XBI", "IQ_LASTSALEPRICE", WORKDAY(F519,-1))/_xll.ciqfunctions.udf.CIQ("XBI", "IQ_LASTSALEPRICE", WORKDAY(F519,1)))</f>
        <v>-2.3497971267303873E-2</v>
      </c>
      <c r="Q519">
        <f>LN(_xll.ciqfunctions.udf.CIQ("XBI", "IQ_LASTSALEPRICE", WORKDAY(F519,-1))/_xll.ciqfunctions.udf.CIQ("XBI", "IQ_LASTSALEPRICE", WORKDAY(F519,5)))</f>
        <v>2.8011222797117733E-3</v>
      </c>
      <c r="R519">
        <f>_xll.ciqfunctions.udf.CIQ(A519, "IQ_SHORT_INTEREST_PERCENT", F519)</f>
        <v>4.30741</v>
      </c>
      <c r="S519">
        <f>_xll.ciqfunctions.udf.CIQ(A519, "IQ_BETA_1YR_RSQ", F519)</f>
        <v>0.38746999999999998</v>
      </c>
      <c r="T519">
        <f>_xll.ciqfunctions.udf.CIQ(A519, "IQ_VALUE_TRADED", F519)</f>
        <v>7.3550199999999997</v>
      </c>
    </row>
    <row r="520" spans="1:20" x14ac:dyDescent="0.3">
      <c r="A520" t="s">
        <v>130</v>
      </c>
      <c r="B520">
        <v>121.47</v>
      </c>
      <c r="C520" t="s">
        <v>1585</v>
      </c>
      <c r="D520" t="s">
        <v>1586</v>
      </c>
      <c r="E520" t="s">
        <v>36</v>
      </c>
      <c r="F520" s="1">
        <v>45370</v>
      </c>
      <c r="G520" t="s">
        <v>1587</v>
      </c>
      <c r="I520">
        <f>_xll.ciqfunctions.udf.CIQ(A520, "IQ_MARKETCAP", F520)</f>
        <v>309489.08116</v>
      </c>
      <c r="J520">
        <f>_xll.ciqfunctions.udf.CIQ(A520, "IQ_PRICE_VOL_HIST_6MTH", F520)</f>
        <v>16.0549</v>
      </c>
      <c r="K520">
        <f>_xll.ciqfunctions.udf.CIQ(A520, "IQ_LASTSALEPRICE", WORKDAY(F520,-1))</f>
        <v>121.44</v>
      </c>
      <c r="L520">
        <f>_xll.ciqfunctions.udf.CIQ(A520, "IQ_LASTSALEPRICE", F520)</f>
        <v>122.2</v>
      </c>
      <c r="M520">
        <f>_xll.ciqfunctions.udf.CIQ(A520, "IQ_LASTSALEPRICE", WORKDAY(F520,5))</f>
        <v>125.52</v>
      </c>
      <c r="N520">
        <f t="shared" si="16"/>
        <v>6.2387330901753002E-3</v>
      </c>
      <c r="O520">
        <f t="shared" si="17"/>
        <v>3.3044794777457386E-2</v>
      </c>
      <c r="P520">
        <f>LN(_xll.ciqfunctions.udf.CIQ("XBI", "IQ_LASTSALEPRICE", WORKDAY(F520,-1))/_xll.ciqfunctions.udf.CIQ("XBI", "IQ_LASTSALEPRICE", WORKDAY(F520,1)))</f>
        <v>-2.3497971267303873E-2</v>
      </c>
      <c r="Q520">
        <f>LN(_xll.ciqfunctions.udf.CIQ("XBI", "IQ_LASTSALEPRICE", WORKDAY(F520,-1))/_xll.ciqfunctions.udf.CIQ("XBI", "IQ_LASTSALEPRICE", WORKDAY(F520,5)))</f>
        <v>2.8011222797117733E-3</v>
      </c>
      <c r="R520">
        <f>_xll.ciqfunctions.udf.CIQ(A520, "IQ_SHORT_INTEREST_PERCENT", F520)</f>
        <v>0.65563000000000005</v>
      </c>
      <c r="S520">
        <f>_xll.ciqfunctions.udf.CIQ(A520, "IQ_BETA_1YR_RSQ", F520)</f>
        <v>3.6999999999999999E-4</v>
      </c>
      <c r="T520">
        <f>_xll.ciqfunctions.udf.CIQ(A520, "IQ_VALUE_TRADED", F520)</f>
        <v>1429.3518899999999</v>
      </c>
    </row>
    <row r="521" spans="1:20" x14ac:dyDescent="0.3">
      <c r="A521" t="s">
        <v>1588</v>
      </c>
      <c r="B521">
        <v>2.0299999999999998</v>
      </c>
      <c r="C521" t="s">
        <v>1589</v>
      </c>
      <c r="D521" t="s">
        <v>1590</v>
      </c>
      <c r="E521" t="s">
        <v>89</v>
      </c>
      <c r="F521" s="1">
        <v>45370</v>
      </c>
      <c r="G521" t="s">
        <v>1591</v>
      </c>
      <c r="H521">
        <v>6</v>
      </c>
      <c r="I521">
        <f>_xll.ciqfunctions.udf.CIQ(A521, "IQ_MARKETCAP", F521)</f>
        <v>109.57778999999999</v>
      </c>
      <c r="J521">
        <f>_xll.ciqfunctions.udf.CIQ(A521, "IQ_PRICE_VOL_HIST_6MTH", F521)</f>
        <v>114.47450000000001</v>
      </c>
      <c r="K521">
        <f>_xll.ciqfunctions.udf.CIQ(A521, "IQ_LASTSALEPRICE", WORKDAY(F521,-1))</f>
        <v>61.506149999999998</v>
      </c>
      <c r="L521">
        <f>_xll.ciqfunctions.udf.CIQ(A521, "IQ_LASTSALEPRICE", F521)</f>
        <v>60.906089999999999</v>
      </c>
      <c r="M521">
        <f>_xll.ciqfunctions.udf.CIQ(A521, "IQ_LASTSALEPRICE", WORKDAY(F521,5))</f>
        <v>56.405639999999998</v>
      </c>
      <c r="N521">
        <f t="shared" si="16"/>
        <v>-9.8040000966208556E-3</v>
      </c>
      <c r="O521">
        <f t="shared" si="17"/>
        <v>-8.6568016308458937E-2</v>
      </c>
      <c r="P521">
        <f>LN(_xll.ciqfunctions.udf.CIQ("XBI", "IQ_LASTSALEPRICE", WORKDAY(F521,-1))/_xll.ciqfunctions.udf.CIQ("XBI", "IQ_LASTSALEPRICE", WORKDAY(F521,1)))</f>
        <v>-2.3497971267303873E-2</v>
      </c>
      <c r="Q521">
        <f>LN(_xll.ciqfunctions.udf.CIQ("XBI", "IQ_LASTSALEPRICE", WORKDAY(F521,-1))/_xll.ciqfunctions.udf.CIQ("XBI", "IQ_LASTSALEPRICE", WORKDAY(F521,5)))</f>
        <v>2.8011222797117733E-3</v>
      </c>
      <c r="R521">
        <f>_xll.ciqfunctions.udf.CIQ(A521, "IQ_SHORT_INTEREST_PERCENT", F521)</f>
        <v>12.924440000000001</v>
      </c>
      <c r="S521">
        <f>_xll.ciqfunctions.udf.CIQ(A521, "IQ_BETA_1YR_RSQ", F521)</f>
        <v>0.15418000000000001</v>
      </c>
      <c r="T521">
        <f>_xll.ciqfunctions.udf.CIQ(A521, "IQ_VALUE_TRADED", F521)</f>
        <v>0.44145000000000001</v>
      </c>
    </row>
    <row r="522" spans="1:20" x14ac:dyDescent="0.3">
      <c r="A522" t="s">
        <v>351</v>
      </c>
      <c r="B522">
        <v>14.12</v>
      </c>
      <c r="C522" t="s">
        <v>1592</v>
      </c>
      <c r="D522" t="s">
        <v>1593</v>
      </c>
      <c r="E522" t="s">
        <v>160</v>
      </c>
      <c r="F522" s="1">
        <v>45370</v>
      </c>
      <c r="G522" t="s">
        <v>1594</v>
      </c>
      <c r="I522">
        <f>_xll.ciqfunctions.udf.CIQ(A522, "IQ_MARKETCAP", F522)</f>
        <v>6868709.6554800002</v>
      </c>
      <c r="J522">
        <f>_xll.ciqfunctions.udf.CIQ(A522, "IQ_PRICE_VOL_HIST_6MTH", F522)</f>
        <v>19.723099999999999</v>
      </c>
      <c r="K522">
        <f>_xll.ciqfunctions.udf.CIQ(A522, "IQ_LASTSALEPRICE", WORKDAY(F522,-1))</f>
        <v>14.56</v>
      </c>
      <c r="L522">
        <f>_xll.ciqfunctions.udf.CIQ(A522, "IQ_LASTSALEPRICE", F522)</f>
        <v>14.41</v>
      </c>
      <c r="M522">
        <f>_xll.ciqfunctions.udf.CIQ(A522, "IQ_LASTSALEPRICE", WORKDAY(F522,5))</f>
        <v>14.39</v>
      </c>
      <c r="N522">
        <f t="shared" si="16"/>
        <v>-1.0355632757109266E-2</v>
      </c>
      <c r="O522">
        <f t="shared" si="17"/>
        <v>-1.1744521869263421E-2</v>
      </c>
      <c r="P522">
        <f>LN(_xll.ciqfunctions.udf.CIQ("XBI", "IQ_LASTSALEPRICE", WORKDAY(F522,-1))/_xll.ciqfunctions.udf.CIQ("XBI", "IQ_LASTSALEPRICE", WORKDAY(F522,1)))</f>
        <v>-2.3497971267303873E-2</v>
      </c>
      <c r="Q522">
        <f>LN(_xll.ciqfunctions.udf.CIQ("XBI", "IQ_LASTSALEPRICE", WORKDAY(F522,-1))/_xll.ciqfunctions.udf.CIQ("XBI", "IQ_LASTSALEPRICE", WORKDAY(F522,5)))</f>
        <v>2.8011222797117733E-3</v>
      </c>
      <c r="R522">
        <f>_xll.ciqfunctions.udf.CIQ(A522, "IQ_SHORT_INTEREST_PERCENT", F522)</f>
        <v>0</v>
      </c>
      <c r="S522">
        <f>_xll.ciqfunctions.udf.CIQ(A522, "IQ_BETA_1YR_RSQ", F522)</f>
        <v>0</v>
      </c>
      <c r="T522">
        <f>_xll.ciqfunctions.udf.CIQ(A522, "IQ_VALUE_TRADED", F522)</f>
        <v>25.638210000000001</v>
      </c>
    </row>
    <row r="523" spans="1:20" x14ac:dyDescent="0.3">
      <c r="A523" t="s">
        <v>1595</v>
      </c>
      <c r="B523">
        <v>2.25</v>
      </c>
      <c r="C523" t="s">
        <v>1596</v>
      </c>
      <c r="D523" t="s">
        <v>1597</v>
      </c>
      <c r="E523" t="s">
        <v>17</v>
      </c>
      <c r="F523" s="1">
        <v>45370</v>
      </c>
      <c r="G523" t="s">
        <v>1598</v>
      </c>
      <c r="H523">
        <v>272</v>
      </c>
      <c r="I523">
        <f>_xll.ciqfunctions.udf.CIQ(A523, "IQ_MARKETCAP", F523)</f>
        <v>420.79111999999998</v>
      </c>
      <c r="J523">
        <f>_xll.ciqfunctions.udf.CIQ(A523, "IQ_PRICE_VOL_HIST_6MTH", F523)</f>
        <v>108.7634</v>
      </c>
      <c r="K523">
        <f>_xll.ciqfunctions.udf.CIQ(A523, "IQ_LASTSALEPRICE", WORKDAY(F523,-1))</f>
        <v>2.13</v>
      </c>
      <c r="L523">
        <f>_xll.ciqfunctions.udf.CIQ(A523, "IQ_LASTSALEPRICE", F523)</f>
        <v>2.25</v>
      </c>
      <c r="M523">
        <f>_xll.ciqfunctions.udf.CIQ(A523, "IQ_LASTSALEPRICE", WORKDAY(F523,5))</f>
        <v>3.06</v>
      </c>
      <c r="N523">
        <f t="shared" si="16"/>
        <v>5.4808236494995159E-2</v>
      </c>
      <c r="O523">
        <f t="shared" si="17"/>
        <v>0.36229293624295572</v>
      </c>
      <c r="P523">
        <f>LN(_xll.ciqfunctions.udf.CIQ("XBI", "IQ_LASTSALEPRICE", WORKDAY(F523,-1))/_xll.ciqfunctions.udf.CIQ("XBI", "IQ_LASTSALEPRICE", WORKDAY(F523,1)))</f>
        <v>-2.3497971267303873E-2</v>
      </c>
      <c r="Q523">
        <f>LN(_xll.ciqfunctions.udf.CIQ("XBI", "IQ_LASTSALEPRICE", WORKDAY(F523,-1))/_xll.ciqfunctions.udf.CIQ("XBI", "IQ_LASTSALEPRICE", WORKDAY(F523,5)))</f>
        <v>2.8011222797117733E-3</v>
      </c>
      <c r="R523">
        <f>_xll.ciqfunctions.udf.CIQ(A523, "IQ_SHORT_INTEREST_PERCENT", F523)</f>
        <v>7.4239199999999999</v>
      </c>
      <c r="S523">
        <f>_xll.ciqfunctions.udf.CIQ(A523, "IQ_BETA_1YR_RSQ", F523)</f>
        <v>2.3000000000000001E-4</v>
      </c>
      <c r="T523">
        <f>_xll.ciqfunctions.udf.CIQ(A523, "IQ_VALUE_TRADED", F523)</f>
        <v>9.0731000000000002</v>
      </c>
    </row>
    <row r="524" spans="1:20" x14ac:dyDescent="0.3">
      <c r="A524" t="s">
        <v>1599</v>
      </c>
      <c r="B524">
        <v>14.4</v>
      </c>
      <c r="C524" t="s">
        <v>1600</v>
      </c>
      <c r="D524" t="s">
        <v>1601</v>
      </c>
      <c r="E524" t="s">
        <v>76</v>
      </c>
      <c r="F524" s="1">
        <v>45370</v>
      </c>
      <c r="G524" t="s">
        <v>1602</v>
      </c>
      <c r="H524">
        <v>11</v>
      </c>
      <c r="I524">
        <f>_xll.ciqfunctions.udf.CIQ(A524, "IQ_MARKETCAP", F524)</f>
        <v>535.09762000000001</v>
      </c>
      <c r="J524">
        <f>_xll.ciqfunctions.udf.CIQ(A524, "IQ_PRICE_VOL_HIST_6MTH", F524)</f>
        <v>95.146600000000007</v>
      </c>
      <c r="K524">
        <f>_xll.ciqfunctions.udf.CIQ(A524, "IQ_LASTSALEPRICE", WORKDAY(F524,-1))</f>
        <v>1172.8799100000001</v>
      </c>
      <c r="L524">
        <f>_xll.ciqfunctions.udf.CIQ(A524, "IQ_LASTSALEPRICE", F524)</f>
        <v>1036.7999199999999</v>
      </c>
      <c r="M524">
        <f>_xll.ciqfunctions.udf.CIQ(A524, "IQ_LASTSALEPRICE", WORKDAY(F524,5))</f>
        <v>821.51993000000004</v>
      </c>
      <c r="N524">
        <f t="shared" si="16"/>
        <v>-0.12332321645830012</v>
      </c>
      <c r="O524">
        <f t="shared" si="17"/>
        <v>-0.3560612672136847</v>
      </c>
      <c r="P524">
        <f>LN(_xll.ciqfunctions.udf.CIQ("XBI", "IQ_LASTSALEPRICE", WORKDAY(F524,-1))/_xll.ciqfunctions.udf.CIQ("XBI", "IQ_LASTSALEPRICE", WORKDAY(F524,1)))</f>
        <v>-2.3497971267303873E-2</v>
      </c>
      <c r="Q524">
        <f>LN(_xll.ciqfunctions.udf.CIQ("XBI", "IQ_LASTSALEPRICE", WORKDAY(F524,-1))/_xll.ciqfunctions.udf.CIQ("XBI", "IQ_LASTSALEPRICE", WORKDAY(F524,5)))</f>
        <v>2.8011222797117733E-3</v>
      </c>
      <c r="R524">
        <f>_xll.ciqfunctions.udf.CIQ(A524, "IQ_SHORT_INTEREST_PERCENT", F524)</f>
        <v>0.21534</v>
      </c>
      <c r="S524">
        <f>_xll.ciqfunctions.udf.CIQ(A524, "IQ_BETA_1YR_RSQ", F524)</f>
        <v>2.2239999999999999E-2</v>
      </c>
      <c r="T524">
        <f>_xll.ciqfunctions.udf.CIQ(A524, "IQ_VALUE_TRADED", F524)</f>
        <v>5.1145300000000002</v>
      </c>
    </row>
    <row r="525" spans="1:20" x14ac:dyDescent="0.3">
      <c r="A525" t="s">
        <v>203</v>
      </c>
      <c r="B525">
        <v>50.52</v>
      </c>
      <c r="C525" t="s">
        <v>1603</v>
      </c>
      <c r="D525" t="s">
        <v>1604</v>
      </c>
      <c r="E525" t="s">
        <v>36</v>
      </c>
      <c r="F525" s="1">
        <v>45371</v>
      </c>
      <c r="G525" t="s">
        <v>1605</v>
      </c>
      <c r="I525">
        <f>_xll.ciqfunctions.udf.CIQ(A525, "IQ_MARKETCAP", F525)</f>
        <v>105148.24213</v>
      </c>
      <c r="J525">
        <f>_xll.ciqfunctions.udf.CIQ(A525, "IQ_PRICE_VOL_HIST_6MTH", F525)</f>
        <v>21.9573</v>
      </c>
      <c r="K525">
        <f>_xll.ciqfunctions.udf.CIQ(A525, "IQ_LASTSALEPRICE", WORKDAY(F525,-1))</f>
        <v>51.8</v>
      </c>
      <c r="L525">
        <f>_xll.ciqfunctions.udf.CIQ(A525, "IQ_LASTSALEPRICE", F525)</f>
        <v>51.88</v>
      </c>
      <c r="M525">
        <f>_xll.ciqfunctions.udf.CIQ(A525, "IQ_LASTSALEPRICE", WORKDAY(F525,5))</f>
        <v>53.25</v>
      </c>
      <c r="N525">
        <f t="shared" si="16"/>
        <v>1.5432101828059322E-3</v>
      </c>
      <c r="O525">
        <f t="shared" si="17"/>
        <v>2.7607655324097227E-2</v>
      </c>
      <c r="P525">
        <f>LN(_xll.ciqfunctions.udf.CIQ("XBI", "IQ_LASTSALEPRICE", WORKDAY(F525,-1))/_xll.ciqfunctions.udf.CIQ("XBI", "IQ_LASTSALEPRICE", WORKDAY(F525,1)))</f>
        <v>-1.4282178764801865E-2</v>
      </c>
      <c r="Q525">
        <f>LN(_xll.ciqfunctions.udf.CIQ("XBI", "IQ_LASTSALEPRICE", WORKDAY(F525,-1))/_xll.ciqfunctions.udf.CIQ("XBI", "IQ_LASTSALEPRICE", WORKDAY(F525,5)))</f>
        <v>-1.1231311109883006E-2</v>
      </c>
      <c r="R525">
        <f>_xll.ciqfunctions.udf.CIQ(A525, "IQ_SHORT_INTEREST_PERCENT", F525)</f>
        <v>1.61083</v>
      </c>
      <c r="S525">
        <f>_xll.ciqfunctions.udf.CIQ(A525, "IQ_BETA_1YR_RSQ", F525)</f>
        <v>5.9610000000000003E-2</v>
      </c>
      <c r="T525">
        <f>_xll.ciqfunctions.udf.CIQ(A525, "IQ_VALUE_TRADED", F525)</f>
        <v>541.43643999999995</v>
      </c>
    </row>
    <row r="526" spans="1:20" x14ac:dyDescent="0.3">
      <c r="A526" t="s">
        <v>1421</v>
      </c>
      <c r="B526" t="s">
        <v>43</v>
      </c>
      <c r="C526" t="s">
        <v>1606</v>
      </c>
      <c r="D526" t="s">
        <v>1607</v>
      </c>
      <c r="E526" t="s">
        <v>17</v>
      </c>
      <c r="F526" s="1">
        <v>45371</v>
      </c>
      <c r="G526" t="s">
        <v>1608</v>
      </c>
      <c r="H526">
        <v>104</v>
      </c>
      <c r="I526">
        <f>_xll.ciqfunctions.udf.CIQ(A526, "IQ_MARKETCAP", F526)</f>
        <v>0</v>
      </c>
      <c r="J526">
        <f>_xll.ciqfunctions.udf.CIQ(A526, "IQ_PRICE_VOL_HIST_6MTH", F526)</f>
        <v>0</v>
      </c>
      <c r="K526">
        <f>_xll.ciqfunctions.udf.CIQ(A526, "IQ_LASTSALEPRICE", WORKDAY(F526,-1))</f>
        <v>0</v>
      </c>
      <c r="L526">
        <f>_xll.ciqfunctions.udf.CIQ(A526, "IQ_LASTSALEPRICE", F526)</f>
        <v>0</v>
      </c>
      <c r="M526">
        <f>_xll.ciqfunctions.udf.CIQ(A526, "IQ_LASTSALEPRICE", WORKDAY(F526,5))</f>
        <v>0</v>
      </c>
      <c r="N526" t="e">
        <f t="shared" si="16"/>
        <v>#DIV/0!</v>
      </c>
      <c r="O526" t="e">
        <f t="shared" si="17"/>
        <v>#DIV/0!</v>
      </c>
      <c r="P526">
        <f>LN(_xll.ciqfunctions.udf.CIQ("XBI", "IQ_LASTSALEPRICE", WORKDAY(F526,-1))/_xll.ciqfunctions.udf.CIQ("XBI", "IQ_LASTSALEPRICE", WORKDAY(F526,1)))</f>
        <v>-1.4282178764801865E-2</v>
      </c>
      <c r="Q526">
        <f>LN(_xll.ciqfunctions.udf.CIQ("XBI", "IQ_LASTSALEPRICE", WORKDAY(F526,-1))/_xll.ciqfunctions.udf.CIQ("XBI", "IQ_LASTSALEPRICE", WORKDAY(F526,5)))</f>
        <v>-1.1231311109883006E-2</v>
      </c>
      <c r="R526">
        <f>_xll.ciqfunctions.udf.CIQ(A526, "IQ_SHORT_INTEREST_PERCENT", F526)</f>
        <v>0</v>
      </c>
      <c r="S526">
        <f>_xll.ciqfunctions.udf.CIQ(A526, "IQ_BETA_1YR_RSQ", F526)</f>
        <v>0</v>
      </c>
      <c r="T526">
        <f>_xll.ciqfunctions.udf.CIQ(A526, "IQ_VALUE_TRADED", F526)</f>
        <v>0</v>
      </c>
    </row>
    <row r="527" spans="1:20" x14ac:dyDescent="0.3">
      <c r="A527" t="s">
        <v>1609</v>
      </c>
      <c r="B527">
        <v>1.52</v>
      </c>
      <c r="C527" t="s">
        <v>1610</v>
      </c>
      <c r="D527" t="s">
        <v>1611</v>
      </c>
      <c r="E527" t="s">
        <v>89</v>
      </c>
      <c r="F527" s="1">
        <v>45371</v>
      </c>
      <c r="G527" t="s">
        <v>1612</v>
      </c>
      <c r="H527">
        <v>45</v>
      </c>
      <c r="I527">
        <f>_xll.ciqfunctions.udf.CIQ(A527, "IQ_MARKETCAP", F527)</f>
        <v>53.931640000000002</v>
      </c>
      <c r="J527">
        <f>_xll.ciqfunctions.udf.CIQ(A527, "IQ_PRICE_VOL_HIST_6MTH", F527)</f>
        <v>105.05880000000001</v>
      </c>
      <c r="K527">
        <f>_xll.ciqfunctions.udf.CIQ(A527, "IQ_LASTSALEPRICE", WORKDAY(F527,-1))</f>
        <v>1.4101999999999999</v>
      </c>
      <c r="L527">
        <f>_xll.ciqfunctions.udf.CIQ(A527, "IQ_LASTSALEPRICE", F527)</f>
        <v>1.52</v>
      </c>
      <c r="M527">
        <f>_xll.ciqfunctions.udf.CIQ(A527, "IQ_LASTSALEPRICE", WORKDAY(F527,5))</f>
        <v>1.54</v>
      </c>
      <c r="N527">
        <f t="shared" si="16"/>
        <v>7.4978796555381921E-2</v>
      </c>
      <c r="O527">
        <f t="shared" si="17"/>
        <v>8.8050878122734794E-2</v>
      </c>
      <c r="P527">
        <f>LN(_xll.ciqfunctions.udf.CIQ("XBI", "IQ_LASTSALEPRICE", WORKDAY(F527,-1))/_xll.ciqfunctions.udf.CIQ("XBI", "IQ_LASTSALEPRICE", WORKDAY(F527,1)))</f>
        <v>-1.4282178764801865E-2</v>
      </c>
      <c r="Q527">
        <f>LN(_xll.ciqfunctions.udf.CIQ("XBI", "IQ_LASTSALEPRICE", WORKDAY(F527,-1))/_xll.ciqfunctions.udf.CIQ("XBI", "IQ_LASTSALEPRICE", WORKDAY(F527,5)))</f>
        <v>-1.1231311109883006E-2</v>
      </c>
      <c r="R527">
        <f>_xll.ciqfunctions.udf.CIQ(A527, "IQ_SHORT_INTEREST_PERCENT", F527)</f>
        <v>3.7200000000000002E-3</v>
      </c>
      <c r="S527">
        <f>_xll.ciqfunctions.udf.CIQ(A527, "IQ_BETA_1YR_RSQ", F527)</f>
        <v>1.383E-2</v>
      </c>
      <c r="T527">
        <f>_xll.ciqfunctions.udf.CIQ(A527, "IQ_VALUE_TRADED", F527)</f>
        <v>2.1907000000000001</v>
      </c>
    </row>
    <row r="528" spans="1:20" x14ac:dyDescent="0.3">
      <c r="A528" t="s">
        <v>1271</v>
      </c>
      <c r="B528">
        <v>0.89</v>
      </c>
      <c r="C528" t="s">
        <v>1610</v>
      </c>
      <c r="D528" t="s">
        <v>1611</v>
      </c>
      <c r="E528" t="s">
        <v>89</v>
      </c>
      <c r="F528" s="1">
        <v>45371</v>
      </c>
      <c r="G528" t="s">
        <v>1612</v>
      </c>
      <c r="H528">
        <v>793</v>
      </c>
      <c r="I528">
        <f>_xll.ciqfunctions.udf.CIQ(A528, "IQ_MARKETCAP", F528)</f>
        <v>620.32258999999999</v>
      </c>
      <c r="J528">
        <f>_xll.ciqfunctions.udf.CIQ(A528, "IQ_PRICE_VOL_HIST_6MTH", F528)</f>
        <v>86.837699999999998</v>
      </c>
      <c r="K528">
        <f>_xll.ciqfunctions.udf.CIQ(A528, "IQ_LASTSALEPRICE", WORKDAY(F528,-1))</f>
        <v>0.87029999999999996</v>
      </c>
      <c r="L528">
        <f>_xll.ciqfunctions.udf.CIQ(A528, "IQ_LASTSALEPRICE", F528)</f>
        <v>0.89</v>
      </c>
      <c r="M528">
        <f>_xll.ciqfunctions.udf.CIQ(A528, "IQ_LASTSALEPRICE", WORKDAY(F528,5))</f>
        <v>1.07</v>
      </c>
      <c r="N528">
        <f t="shared" si="16"/>
        <v>2.2383482930717551E-2</v>
      </c>
      <c r="O528">
        <f t="shared" si="17"/>
        <v>0.20657594766048393</v>
      </c>
      <c r="P528">
        <f>LN(_xll.ciqfunctions.udf.CIQ("XBI", "IQ_LASTSALEPRICE", WORKDAY(F528,-1))/_xll.ciqfunctions.udf.CIQ("XBI", "IQ_LASTSALEPRICE", WORKDAY(F528,1)))</f>
        <v>-1.4282178764801865E-2</v>
      </c>
      <c r="Q528">
        <f>LN(_xll.ciqfunctions.udf.CIQ("XBI", "IQ_LASTSALEPRICE", WORKDAY(F528,-1))/_xll.ciqfunctions.udf.CIQ("XBI", "IQ_LASTSALEPRICE", WORKDAY(F528,5)))</f>
        <v>-1.1231311109883006E-2</v>
      </c>
      <c r="R528">
        <f>_xll.ciqfunctions.udf.CIQ(A528, "IQ_SHORT_INTEREST_PERCENT", F528)</f>
        <v>14.21294</v>
      </c>
      <c r="S528">
        <f>_xll.ciqfunctions.udf.CIQ(A528, "IQ_BETA_1YR_RSQ", F528)</f>
        <v>0.11588</v>
      </c>
      <c r="T528">
        <f>_xll.ciqfunctions.udf.CIQ(A528, "IQ_VALUE_TRADED", F528)</f>
        <v>15.35336</v>
      </c>
    </row>
    <row r="529" spans="1:20" x14ac:dyDescent="0.3">
      <c r="A529" t="s">
        <v>1613</v>
      </c>
      <c r="B529">
        <v>7.95</v>
      </c>
      <c r="C529" t="s">
        <v>1614</v>
      </c>
      <c r="D529" t="s">
        <v>1615</v>
      </c>
      <c r="E529" t="s">
        <v>76</v>
      </c>
      <c r="F529" s="1">
        <v>45371</v>
      </c>
      <c r="G529" t="s">
        <v>1616</v>
      </c>
      <c r="H529">
        <v>4</v>
      </c>
      <c r="I529">
        <f>_xll.ciqfunctions.udf.CIQ(A529, "IQ_MARKETCAP", F529)</f>
        <v>923.56799999999998</v>
      </c>
      <c r="J529">
        <f>_xll.ciqfunctions.udf.CIQ(A529, "IQ_PRICE_VOL_HIST_6MTH", F529)</f>
        <v>86.461399999999998</v>
      </c>
      <c r="K529">
        <f>_xll.ciqfunctions.udf.CIQ(A529, "IQ_LASTSALEPRICE", WORKDAY(F529,-1))</f>
        <v>42.65</v>
      </c>
      <c r="L529">
        <f>_xll.ciqfunctions.udf.CIQ(A529, "IQ_LASTSALEPRICE", F529)</f>
        <v>42.65</v>
      </c>
      <c r="M529">
        <f>_xll.ciqfunctions.udf.CIQ(A529, "IQ_LASTSALEPRICE", WORKDAY(F529,5))</f>
        <v>42.55</v>
      </c>
      <c r="N529">
        <f t="shared" si="16"/>
        <v>0</v>
      </c>
      <c r="O529">
        <f t="shared" si="17"/>
        <v>-2.347418918305008E-3</v>
      </c>
      <c r="P529">
        <f>LN(_xll.ciqfunctions.udf.CIQ("XBI", "IQ_LASTSALEPRICE", WORKDAY(F529,-1))/_xll.ciqfunctions.udf.CIQ("XBI", "IQ_LASTSALEPRICE", WORKDAY(F529,1)))</f>
        <v>-1.4282178764801865E-2</v>
      </c>
      <c r="Q529">
        <f>LN(_xll.ciqfunctions.udf.CIQ("XBI", "IQ_LASTSALEPRICE", WORKDAY(F529,-1))/_xll.ciqfunctions.udf.CIQ("XBI", "IQ_LASTSALEPRICE", WORKDAY(F529,5)))</f>
        <v>-1.1231311109883006E-2</v>
      </c>
      <c r="R529">
        <f>_xll.ciqfunctions.udf.CIQ(A529, "IQ_SHORT_INTEREST_PERCENT", F529)</f>
        <v>0</v>
      </c>
      <c r="S529">
        <f>_xll.ciqfunctions.udf.CIQ(A529, "IQ_BETA_1YR_RSQ", F529)</f>
        <v>0</v>
      </c>
      <c r="T529">
        <f>_xll.ciqfunctions.udf.CIQ(A529, "IQ_VALUE_TRADED", F529)</f>
        <v>0</v>
      </c>
    </row>
    <row r="530" spans="1:20" x14ac:dyDescent="0.3">
      <c r="A530" t="s">
        <v>1617</v>
      </c>
      <c r="B530">
        <v>1</v>
      </c>
      <c r="C530" t="s">
        <v>1618</v>
      </c>
      <c r="D530" t="s">
        <v>21</v>
      </c>
      <c r="E530" t="s">
        <v>197</v>
      </c>
      <c r="F530" s="1">
        <v>45372</v>
      </c>
      <c r="G530" t="s">
        <v>1619</v>
      </c>
      <c r="H530">
        <v>2</v>
      </c>
      <c r="I530" t="str">
        <f>_xll.ciqfunctions.udf.CIQ(A530, "IQ_MARKETCAP", F530)</f>
        <v>(Invalid Identifier)</v>
      </c>
      <c r="J530" t="str">
        <f>_xll.ciqfunctions.udf.CIQ(A530, "IQ_PRICE_VOL_HIST_6MTH", F530)</f>
        <v>(Invalid Identifier)</v>
      </c>
      <c r="K530" t="str">
        <f>_xll.ciqfunctions.udf.CIQ(A530, "IQ_LASTSALEPRICE", WORKDAY(F530,-1))</f>
        <v>(Invalid Identifier)</v>
      </c>
      <c r="L530" t="str">
        <f>_xll.ciqfunctions.udf.CIQ(A530, "IQ_LASTSALEPRICE", F530)</f>
        <v>(Invalid Identifier)</v>
      </c>
      <c r="M530" t="str">
        <f>_xll.ciqfunctions.udf.CIQ(A530, "IQ_LASTSALEPRICE", WORKDAY(F530,5))</f>
        <v>(Invalid Identifier)</v>
      </c>
      <c r="N530" t="e">
        <f t="shared" si="16"/>
        <v>#VALUE!</v>
      </c>
      <c r="O530" t="e">
        <f t="shared" si="17"/>
        <v>#VALUE!</v>
      </c>
      <c r="P530">
        <f>LN(_xll.ciqfunctions.udf.CIQ("XBI", "IQ_LASTSALEPRICE", WORKDAY(F530,-1))/_xll.ciqfunctions.udf.CIQ("XBI", "IQ_LASTSALEPRICE", WORKDAY(F530,1)))</f>
        <v>1.695674371877862E-2</v>
      </c>
      <c r="Q530">
        <f>LN(_xll.ciqfunctions.udf.CIQ("XBI", "IQ_LASTSALEPRICE", WORKDAY(F530,-1))/_xll.ciqfunctions.udf.CIQ("XBI", "IQ_LASTSALEPRICE", WORKDAY(F530,5)))</f>
        <v>2.8413594490896729E-3</v>
      </c>
      <c r="R530" t="str">
        <f>_xll.ciqfunctions.udf.CIQ(A530, "IQ_SHORT_INTEREST_PERCENT", F530)</f>
        <v>(Invalid Identifier)</v>
      </c>
      <c r="S530" t="str">
        <f>_xll.ciqfunctions.udf.CIQ(A530, "IQ_BETA_1YR_RSQ", F530)</f>
        <v>(Invalid Identifier)</v>
      </c>
      <c r="T530" t="str">
        <f>_xll.ciqfunctions.udf.CIQ(A530, "IQ_VALUE_TRADED", F530)</f>
        <v>(Invalid Identifier)</v>
      </c>
    </row>
    <row r="531" spans="1:20" x14ac:dyDescent="0.3">
      <c r="A531" t="s">
        <v>130</v>
      </c>
      <c r="B531">
        <v>122.88</v>
      </c>
      <c r="C531" t="s">
        <v>1620</v>
      </c>
      <c r="D531" t="s">
        <v>1621</v>
      </c>
      <c r="E531" t="s">
        <v>36</v>
      </c>
      <c r="F531" s="1">
        <v>45372</v>
      </c>
      <c r="G531" t="s">
        <v>1622</v>
      </c>
      <c r="I531">
        <f>_xll.ciqfunctions.udf.CIQ(A531, "IQ_MARKETCAP", F531)</f>
        <v>313085.43546000001</v>
      </c>
      <c r="J531">
        <f>_xll.ciqfunctions.udf.CIQ(A531, "IQ_PRICE_VOL_HIST_6MTH", F531)</f>
        <v>16.126000000000001</v>
      </c>
      <c r="K531">
        <f>_xll.ciqfunctions.udf.CIQ(A531, "IQ_LASTSALEPRICE", WORKDAY(F531,-1))</f>
        <v>123.85</v>
      </c>
      <c r="L531">
        <f>_xll.ciqfunctions.udf.CIQ(A531, "IQ_LASTSALEPRICE", F531)</f>
        <v>123.62</v>
      </c>
      <c r="M531">
        <f>_xll.ciqfunctions.udf.CIQ(A531, "IQ_LASTSALEPRICE", WORKDAY(F531,5))</f>
        <v>131.94999999999999</v>
      </c>
      <c r="N531">
        <f t="shared" si="16"/>
        <v>-1.8588117042412336E-3</v>
      </c>
      <c r="O531">
        <f t="shared" si="17"/>
        <v>6.3351907013964551E-2</v>
      </c>
      <c r="P531">
        <f>LN(_xll.ciqfunctions.udf.CIQ("XBI", "IQ_LASTSALEPRICE", WORKDAY(F531,-1))/_xll.ciqfunctions.udf.CIQ("XBI", "IQ_LASTSALEPRICE", WORKDAY(F531,1)))</f>
        <v>1.695674371877862E-2</v>
      </c>
      <c r="Q531">
        <f>LN(_xll.ciqfunctions.udf.CIQ("XBI", "IQ_LASTSALEPRICE", WORKDAY(F531,-1))/_xll.ciqfunctions.udf.CIQ("XBI", "IQ_LASTSALEPRICE", WORKDAY(F531,5)))</f>
        <v>2.8413594490896729E-3</v>
      </c>
      <c r="R531">
        <f>_xll.ciqfunctions.udf.CIQ(A531, "IQ_SHORT_INTEREST_PERCENT", F531)</f>
        <v>0.65563000000000005</v>
      </c>
      <c r="S531">
        <f>_xll.ciqfunctions.udf.CIQ(A531, "IQ_BETA_1YR_RSQ", F531)</f>
        <v>3.6999999999999999E-4</v>
      </c>
      <c r="T531">
        <f>_xll.ciqfunctions.udf.CIQ(A531, "IQ_VALUE_TRADED", F531)</f>
        <v>1008.28242</v>
      </c>
    </row>
    <row r="532" spans="1:20" x14ac:dyDescent="0.3">
      <c r="A532" t="s">
        <v>1469</v>
      </c>
      <c r="B532">
        <v>7.56</v>
      </c>
      <c r="C532" t="s">
        <v>1623</v>
      </c>
      <c r="D532" t="s">
        <v>1624</v>
      </c>
      <c r="E532" t="s">
        <v>89</v>
      </c>
      <c r="F532" s="1">
        <v>45372</v>
      </c>
      <c r="G532" t="s">
        <v>1625</v>
      </c>
      <c r="H532">
        <v>5</v>
      </c>
      <c r="I532">
        <f>_xll.ciqfunctions.udf.CIQ(A532, "IQ_MARKETCAP", F532)</f>
        <v>2.0525000000000002</v>
      </c>
      <c r="J532">
        <f>_xll.ciqfunctions.udf.CIQ(A532, "IQ_PRICE_VOL_HIST_6MTH", F532)</f>
        <v>164.791</v>
      </c>
      <c r="K532">
        <f>_xll.ciqfunctions.udf.CIQ(A532, "IQ_LASTSALEPRICE", WORKDAY(F532,-1))</f>
        <v>9.6300000000000008</v>
      </c>
      <c r="L532">
        <f>_xll.ciqfunctions.udf.CIQ(A532, "IQ_LASTSALEPRICE", F532)</f>
        <v>7.56</v>
      </c>
      <c r="M532">
        <f>_xll.ciqfunctions.udf.CIQ(A532, "IQ_LASTSALEPRICE", WORKDAY(F532,5))</f>
        <v>6.12</v>
      </c>
      <c r="N532">
        <f t="shared" si="16"/>
        <v>-0.24201203561859272</v>
      </c>
      <c r="O532">
        <f t="shared" si="17"/>
        <v>-0.45332112928579954</v>
      </c>
      <c r="P532">
        <f>LN(_xll.ciqfunctions.udf.CIQ("XBI", "IQ_LASTSALEPRICE", WORKDAY(F532,-1))/_xll.ciqfunctions.udf.CIQ("XBI", "IQ_LASTSALEPRICE", WORKDAY(F532,1)))</f>
        <v>1.695674371877862E-2</v>
      </c>
      <c r="Q532">
        <f>LN(_xll.ciqfunctions.udf.CIQ("XBI", "IQ_LASTSALEPRICE", WORKDAY(F532,-1))/_xll.ciqfunctions.udf.CIQ("XBI", "IQ_LASTSALEPRICE", WORKDAY(F532,5)))</f>
        <v>2.8413594490896729E-3</v>
      </c>
      <c r="R532">
        <f>_xll.ciqfunctions.udf.CIQ(A532, "IQ_SHORT_INTEREST_PERCENT", F532)</f>
        <v>1.8809899999999999</v>
      </c>
      <c r="S532">
        <f>_xll.ciqfunctions.udf.CIQ(A532, "IQ_BETA_1YR_RSQ", F532)</f>
        <v>5.7200000000000003E-3</v>
      </c>
      <c r="T532">
        <f>_xll.ciqfunctions.udf.CIQ(A532, "IQ_VALUE_TRADED", F532)</f>
        <v>0.89427999999999996</v>
      </c>
    </row>
    <row r="533" spans="1:20" x14ac:dyDescent="0.3">
      <c r="A533" t="s">
        <v>356</v>
      </c>
      <c r="B533">
        <v>415.71</v>
      </c>
      <c r="C533" t="s">
        <v>1626</v>
      </c>
      <c r="D533" t="s">
        <v>1627</v>
      </c>
      <c r="E533" t="s">
        <v>184</v>
      </c>
      <c r="F533" s="1">
        <v>45372</v>
      </c>
      <c r="G533" t="s">
        <v>1628</v>
      </c>
      <c r="H533">
        <v>256</v>
      </c>
      <c r="I533">
        <f>_xll.ciqfunctions.udf.CIQ(A533, "IQ_MARKETCAP", F533)</f>
        <v>107381.14219</v>
      </c>
      <c r="J533">
        <f>_xll.ciqfunctions.udf.CIQ(A533, "IQ_PRICE_VOL_HIST_6MTH", F533)</f>
        <v>27.233499999999999</v>
      </c>
      <c r="K533">
        <f>_xll.ciqfunctions.udf.CIQ(A533, "IQ_LASTSALEPRICE", WORKDAY(F533,-1))</f>
        <v>412.11</v>
      </c>
      <c r="L533">
        <f>_xll.ciqfunctions.udf.CIQ(A533, "IQ_LASTSALEPRICE", F533)</f>
        <v>415.71</v>
      </c>
      <c r="M533">
        <f>_xll.ciqfunctions.udf.CIQ(A533, "IQ_LASTSALEPRICE", WORKDAY(F533,5))</f>
        <v>418.01</v>
      </c>
      <c r="N533">
        <f t="shared" si="16"/>
        <v>8.6975977735097854E-3</v>
      </c>
      <c r="O533">
        <f t="shared" si="17"/>
        <v>1.4215051678347719E-2</v>
      </c>
      <c r="P533">
        <f>LN(_xll.ciqfunctions.udf.CIQ("XBI", "IQ_LASTSALEPRICE", WORKDAY(F533,-1))/_xll.ciqfunctions.udf.CIQ("XBI", "IQ_LASTSALEPRICE", WORKDAY(F533,1)))</f>
        <v>1.695674371877862E-2</v>
      </c>
      <c r="Q533">
        <f>LN(_xll.ciqfunctions.udf.CIQ("XBI", "IQ_LASTSALEPRICE", WORKDAY(F533,-1))/_xll.ciqfunctions.udf.CIQ("XBI", "IQ_LASTSALEPRICE", WORKDAY(F533,5)))</f>
        <v>2.8413594490896729E-3</v>
      </c>
      <c r="R533">
        <f>_xll.ciqfunctions.udf.CIQ(A533, "IQ_SHORT_INTEREST_PERCENT", F533)</f>
        <v>1.56972</v>
      </c>
      <c r="S533">
        <f>_xll.ciqfunctions.udf.CIQ(A533, "IQ_BETA_1YR_RSQ", F533)</f>
        <v>0.16664999999999999</v>
      </c>
      <c r="T533">
        <f>_xll.ciqfunctions.udf.CIQ(A533, "IQ_VALUE_TRADED", F533)</f>
        <v>372.18432999999999</v>
      </c>
    </row>
    <row r="534" spans="1:20" x14ac:dyDescent="0.3">
      <c r="A534" t="s">
        <v>1629</v>
      </c>
      <c r="B534">
        <v>41.6</v>
      </c>
      <c r="C534" t="s">
        <v>1630</v>
      </c>
      <c r="D534" t="s">
        <v>1631</v>
      </c>
      <c r="E534" t="s">
        <v>89</v>
      </c>
      <c r="F534" s="1">
        <v>45372</v>
      </c>
      <c r="G534" t="s">
        <v>1632</v>
      </c>
      <c r="H534">
        <v>68</v>
      </c>
      <c r="I534">
        <f>_xll.ciqfunctions.udf.CIQ(A534, "IQ_MARKETCAP", F534)</f>
        <v>67.066230000000004</v>
      </c>
      <c r="J534">
        <f>_xll.ciqfunctions.udf.CIQ(A534, "IQ_PRICE_VOL_HIST_6MTH", F534)</f>
        <v>56.505200000000002</v>
      </c>
      <c r="K534">
        <f>_xll.ciqfunctions.udf.CIQ(A534, "IQ_LASTSALEPRICE", WORKDAY(F534,-1))</f>
        <v>7.65</v>
      </c>
      <c r="L534">
        <f>_xll.ciqfunctions.udf.CIQ(A534, "IQ_LASTSALEPRICE", F534)</f>
        <v>7.7</v>
      </c>
      <c r="M534">
        <f>_xll.ciqfunctions.udf.CIQ(A534, "IQ_LASTSALEPRICE", WORKDAY(F534,5))</f>
        <v>7.7</v>
      </c>
      <c r="N534">
        <f t="shared" si="16"/>
        <v>6.5146810211936723E-3</v>
      </c>
      <c r="O534">
        <f t="shared" si="17"/>
        <v>6.5146810211936723E-3</v>
      </c>
      <c r="P534">
        <f>LN(_xll.ciqfunctions.udf.CIQ("XBI", "IQ_LASTSALEPRICE", WORKDAY(F534,-1))/_xll.ciqfunctions.udf.CIQ("XBI", "IQ_LASTSALEPRICE", WORKDAY(F534,1)))</f>
        <v>1.695674371877862E-2</v>
      </c>
      <c r="Q534">
        <f>LN(_xll.ciqfunctions.udf.CIQ("XBI", "IQ_LASTSALEPRICE", WORKDAY(F534,-1))/_xll.ciqfunctions.udf.CIQ("XBI", "IQ_LASTSALEPRICE", WORKDAY(F534,5)))</f>
        <v>2.8413594490896729E-3</v>
      </c>
      <c r="R534">
        <f>_xll.ciqfunctions.udf.CIQ(A534, "IQ_SHORT_INTEREST_PERCENT", F534)</f>
        <v>0</v>
      </c>
      <c r="S534">
        <f>_xll.ciqfunctions.udf.CIQ(A534, "IQ_BETA_1YR_RSQ", F534)</f>
        <v>2.988E-2</v>
      </c>
      <c r="T534">
        <f>_xll.ciqfunctions.udf.CIQ(A534, "IQ_VALUE_TRADED", F534)</f>
        <v>5.0800000000000003E-3</v>
      </c>
    </row>
    <row r="535" spans="1:20" x14ac:dyDescent="0.3">
      <c r="A535" t="s">
        <v>1633</v>
      </c>
      <c r="B535">
        <v>12.98</v>
      </c>
      <c r="C535" t="s">
        <v>1634</v>
      </c>
      <c r="D535" t="s">
        <v>1635</v>
      </c>
      <c r="E535" t="s">
        <v>22</v>
      </c>
      <c r="F535" s="1">
        <v>45372</v>
      </c>
      <c r="G535" t="s">
        <v>1636</v>
      </c>
      <c r="H535">
        <v>71</v>
      </c>
      <c r="I535">
        <f>_xll.ciqfunctions.udf.CIQ(A535, "IQ_MARKETCAP", F535)</f>
        <v>641.42209000000003</v>
      </c>
      <c r="J535">
        <f>_xll.ciqfunctions.udf.CIQ(A535, "IQ_PRICE_VOL_HIST_6MTH", F535)</f>
        <v>174.7807</v>
      </c>
      <c r="K535">
        <f>_xll.ciqfunctions.udf.CIQ(A535, "IQ_LASTSALEPRICE", WORKDAY(F535,-1))</f>
        <v>12.79</v>
      </c>
      <c r="L535">
        <f>_xll.ciqfunctions.udf.CIQ(A535, "IQ_LASTSALEPRICE", F535)</f>
        <v>12.98</v>
      </c>
      <c r="M535">
        <f>_xll.ciqfunctions.udf.CIQ(A535, "IQ_LASTSALEPRICE", WORKDAY(F535,5))</f>
        <v>10.81</v>
      </c>
      <c r="N535">
        <f t="shared" si="16"/>
        <v>1.4746095685192809E-2</v>
      </c>
      <c r="O535">
        <f t="shared" si="17"/>
        <v>-0.16819198393963425</v>
      </c>
      <c r="P535">
        <f>LN(_xll.ciqfunctions.udf.CIQ("XBI", "IQ_LASTSALEPRICE", WORKDAY(F535,-1))/_xll.ciqfunctions.udf.CIQ("XBI", "IQ_LASTSALEPRICE", WORKDAY(F535,1)))</f>
        <v>1.695674371877862E-2</v>
      </c>
      <c r="Q535">
        <f>LN(_xll.ciqfunctions.udf.CIQ("XBI", "IQ_LASTSALEPRICE", WORKDAY(F535,-1))/_xll.ciqfunctions.udf.CIQ("XBI", "IQ_LASTSALEPRICE", WORKDAY(F535,5)))</f>
        <v>2.8413594490896729E-3</v>
      </c>
      <c r="R535">
        <f>_xll.ciqfunctions.udf.CIQ(A535, "IQ_SHORT_INTEREST_PERCENT", F535)</f>
        <v>8.5839300000000005</v>
      </c>
      <c r="S535">
        <f>_xll.ciqfunctions.udf.CIQ(A535, "IQ_BETA_1YR_RSQ", F535)</f>
        <v>1.1599999999999999E-2</v>
      </c>
      <c r="T535">
        <f>_xll.ciqfunctions.udf.CIQ(A535, "IQ_VALUE_TRADED", F535)</f>
        <v>8.7686399999999995</v>
      </c>
    </row>
    <row r="536" spans="1:20" x14ac:dyDescent="0.3">
      <c r="A536" t="s">
        <v>208</v>
      </c>
      <c r="B536">
        <v>175.15</v>
      </c>
      <c r="C536" t="s">
        <v>1637</v>
      </c>
      <c r="D536" t="s">
        <v>1638</v>
      </c>
      <c r="E536" t="s">
        <v>160</v>
      </c>
      <c r="F536" s="1">
        <v>45373</v>
      </c>
      <c r="G536" t="s">
        <v>1639</v>
      </c>
      <c r="I536">
        <f>_xll.ciqfunctions.udf.CIQ(A536, "IQ_MARKETCAP", F536)</f>
        <v>315971.95412000001</v>
      </c>
      <c r="J536">
        <f>_xll.ciqfunctions.udf.CIQ(A536, "IQ_PRICE_VOL_HIST_6MTH", F536)</f>
        <v>16.326799999999999</v>
      </c>
      <c r="K536">
        <f>_xll.ciqfunctions.udf.CIQ(A536, "IQ_LASTSALEPRICE", WORKDAY(F536,-1))</f>
        <v>177.5</v>
      </c>
      <c r="L536">
        <f>_xll.ciqfunctions.udf.CIQ(A536, "IQ_LASTSALEPRICE", F536)</f>
        <v>178.45</v>
      </c>
      <c r="M536">
        <f>_xll.ciqfunctions.udf.CIQ(A536, "IQ_LASTSALEPRICE", WORKDAY(F536,5))</f>
        <v>182.1</v>
      </c>
      <c r="N536">
        <f t="shared" si="16"/>
        <v>5.3378410206988153E-3</v>
      </c>
      <c r="O536">
        <f t="shared" si="17"/>
        <v>2.5585377818091837E-2</v>
      </c>
      <c r="P536">
        <f>LN(_xll.ciqfunctions.udf.CIQ("XBI", "IQ_LASTSALEPRICE", WORKDAY(F536,-1))/_xll.ciqfunctions.udf.CIQ("XBI", "IQ_LASTSALEPRICE", WORKDAY(F536,1)))</f>
        <v>2.6935146198719569E-2</v>
      </c>
      <c r="Q536">
        <f>LN(_xll.ciqfunctions.udf.CIQ("XBI", "IQ_LASTSALEPRICE", WORKDAY(F536,-1))/_xll.ciqfunctions.udf.CIQ("XBI", "IQ_LASTSALEPRICE", WORKDAY(F536,5)))</f>
        <v>3.2616158116524443E-3</v>
      </c>
      <c r="R536">
        <f>_xll.ciqfunctions.udf.CIQ(A536, "IQ_SHORT_INTEREST_PERCENT", F536)</f>
        <v>0.80574000000000001</v>
      </c>
      <c r="S536">
        <f>_xll.ciqfunctions.udf.CIQ(A536, "IQ_BETA_1YR_RSQ", F536)</f>
        <v>4.4229999999999998E-2</v>
      </c>
      <c r="T536">
        <f>_xll.ciqfunctions.udf.CIQ(A536, "IQ_VALUE_TRADED", F536)</f>
        <v>728.85261000000003</v>
      </c>
    </row>
    <row r="537" spans="1:20" x14ac:dyDescent="0.3">
      <c r="A537" t="s">
        <v>212</v>
      </c>
      <c r="B537">
        <v>1.54</v>
      </c>
      <c r="C537" t="s">
        <v>213</v>
      </c>
      <c r="D537" t="s">
        <v>214</v>
      </c>
      <c r="E537" t="s">
        <v>76</v>
      </c>
      <c r="F537" s="1">
        <v>45373</v>
      </c>
      <c r="G537" t="s">
        <v>1640</v>
      </c>
      <c r="H537">
        <v>33</v>
      </c>
      <c r="I537">
        <f>_xll.ciqfunctions.udf.CIQ(A537, "IQ_MARKETCAP", F537)</f>
        <v>51.017339999999997</v>
      </c>
      <c r="J537">
        <f>_xll.ciqfunctions.udf.CIQ(A537, "IQ_PRICE_VOL_HIST_6MTH", F537)</f>
        <v>88.322400000000002</v>
      </c>
      <c r="K537">
        <f>_xll.ciqfunctions.udf.CIQ(A537, "IQ_LASTSALEPRICE", WORKDAY(F537,-1))</f>
        <v>1.76</v>
      </c>
      <c r="L537">
        <f>_xll.ciqfunctions.udf.CIQ(A537, "IQ_LASTSALEPRICE", F537)</f>
        <v>1.5349999999999999</v>
      </c>
      <c r="M537">
        <f>_xll.ciqfunctions.udf.CIQ(A537, "IQ_LASTSALEPRICE", WORKDAY(F537,5))</f>
        <v>1.49</v>
      </c>
      <c r="N537">
        <f t="shared" si="16"/>
        <v>-0.13678342801090004</v>
      </c>
      <c r="O537">
        <f t="shared" si="17"/>
        <v>-0.16653768909269268</v>
      </c>
      <c r="P537">
        <f>LN(_xll.ciqfunctions.udf.CIQ("XBI", "IQ_LASTSALEPRICE", WORKDAY(F537,-1))/_xll.ciqfunctions.udf.CIQ("XBI", "IQ_LASTSALEPRICE", WORKDAY(F537,1)))</f>
        <v>2.6935146198719569E-2</v>
      </c>
      <c r="Q537">
        <f>LN(_xll.ciqfunctions.udf.CIQ("XBI", "IQ_LASTSALEPRICE", WORKDAY(F537,-1))/_xll.ciqfunctions.udf.CIQ("XBI", "IQ_LASTSALEPRICE", WORKDAY(F537,5)))</f>
        <v>3.2616158116524443E-3</v>
      </c>
      <c r="R537">
        <f>_xll.ciqfunctions.udf.CIQ(A537, "IQ_SHORT_INTEREST_PERCENT", F537)</f>
        <v>0.19447</v>
      </c>
      <c r="S537">
        <f>_xll.ciqfunctions.udf.CIQ(A537, "IQ_BETA_1YR_RSQ", F537)</f>
        <v>2.4299999999999999E-2</v>
      </c>
      <c r="T537">
        <f>_xll.ciqfunctions.udf.CIQ(A537, "IQ_VALUE_TRADED", F537)</f>
        <v>3.27982</v>
      </c>
    </row>
    <row r="538" spans="1:20" x14ac:dyDescent="0.3">
      <c r="A538" t="s">
        <v>251</v>
      </c>
      <c r="B538">
        <v>3.37</v>
      </c>
      <c r="C538" t="s">
        <v>252</v>
      </c>
      <c r="D538" t="s">
        <v>253</v>
      </c>
      <c r="E538" t="s">
        <v>76</v>
      </c>
      <c r="F538" s="1">
        <v>45373</v>
      </c>
      <c r="G538" t="s">
        <v>1641</v>
      </c>
      <c r="H538">
        <v>744</v>
      </c>
      <c r="I538">
        <f>_xll.ciqfunctions.udf.CIQ(A538, "IQ_MARKETCAP", F538)</f>
        <v>2364.7403300000001</v>
      </c>
      <c r="J538">
        <f>_xll.ciqfunctions.udf.CIQ(A538, "IQ_PRICE_VOL_HIST_6MTH", F538)</f>
        <v>99.583299999999994</v>
      </c>
      <c r="K538">
        <f>_xll.ciqfunctions.udf.CIQ(A538, "IQ_LASTSALEPRICE", WORKDAY(F538,-1))</f>
        <v>3.55</v>
      </c>
      <c r="L538">
        <f>_xll.ciqfunctions.udf.CIQ(A538, "IQ_LASTSALEPRICE", F538)</f>
        <v>3.37</v>
      </c>
      <c r="M538">
        <f>_xll.ciqfunctions.udf.CIQ(A538, "IQ_LASTSALEPRICE", WORKDAY(F538,5))</f>
        <v>4.1399999999999997</v>
      </c>
      <c r="N538">
        <f t="shared" si="16"/>
        <v>-5.2034859123054E-2</v>
      </c>
      <c r="O538">
        <f t="shared" si="17"/>
        <v>0.15374818434989859</v>
      </c>
      <c r="P538">
        <f>LN(_xll.ciqfunctions.udf.CIQ("XBI", "IQ_LASTSALEPRICE", WORKDAY(F538,-1))/_xll.ciqfunctions.udf.CIQ("XBI", "IQ_LASTSALEPRICE", WORKDAY(F538,1)))</f>
        <v>2.6935146198719569E-2</v>
      </c>
      <c r="Q538">
        <f>LN(_xll.ciqfunctions.udf.CIQ("XBI", "IQ_LASTSALEPRICE", WORKDAY(F538,-1))/_xll.ciqfunctions.udf.CIQ("XBI", "IQ_LASTSALEPRICE", WORKDAY(F538,5)))</f>
        <v>3.2616158116524443E-3</v>
      </c>
      <c r="R538">
        <f>_xll.ciqfunctions.udf.CIQ(A538, "IQ_SHORT_INTEREST_PERCENT", F538)</f>
        <v>2.27319</v>
      </c>
      <c r="S538">
        <f>_xll.ciqfunctions.udf.CIQ(A538, "IQ_BETA_1YR_RSQ", F538)</f>
        <v>1.0000000000000001E-5</v>
      </c>
      <c r="T538">
        <f>_xll.ciqfunctions.udf.CIQ(A538, "IQ_VALUE_TRADED", F538)</f>
        <v>9.4893900000000002</v>
      </c>
    </row>
    <row r="539" spans="1:20" x14ac:dyDescent="0.3">
      <c r="A539" t="s">
        <v>251</v>
      </c>
      <c r="B539">
        <v>3.37</v>
      </c>
      <c r="C539" t="s">
        <v>1642</v>
      </c>
      <c r="D539" t="s">
        <v>1643</v>
      </c>
      <c r="E539" t="s">
        <v>76</v>
      </c>
      <c r="F539" s="1">
        <v>45373</v>
      </c>
      <c r="G539" t="s">
        <v>1644</v>
      </c>
      <c r="H539">
        <v>744</v>
      </c>
      <c r="I539">
        <f>_xll.ciqfunctions.udf.CIQ(A539, "IQ_MARKETCAP", F539)</f>
        <v>2364.7403300000001</v>
      </c>
      <c r="J539">
        <f>_xll.ciqfunctions.udf.CIQ(A539, "IQ_PRICE_VOL_HIST_6MTH", F539)</f>
        <v>99.583299999999994</v>
      </c>
      <c r="K539">
        <f>_xll.ciqfunctions.udf.CIQ(A539, "IQ_LASTSALEPRICE", WORKDAY(F539,-1))</f>
        <v>3.55</v>
      </c>
      <c r="L539">
        <f>_xll.ciqfunctions.udf.CIQ(A539, "IQ_LASTSALEPRICE", F539)</f>
        <v>3.37</v>
      </c>
      <c r="M539">
        <f>_xll.ciqfunctions.udf.CIQ(A539, "IQ_LASTSALEPRICE", WORKDAY(F539,5))</f>
        <v>4.1399999999999997</v>
      </c>
      <c r="N539">
        <f t="shared" si="16"/>
        <v>-5.2034859123054E-2</v>
      </c>
      <c r="O539">
        <f t="shared" si="17"/>
        <v>0.15374818434989859</v>
      </c>
      <c r="P539">
        <f>LN(_xll.ciqfunctions.udf.CIQ("XBI", "IQ_LASTSALEPRICE", WORKDAY(F539,-1))/_xll.ciqfunctions.udf.CIQ("XBI", "IQ_LASTSALEPRICE", WORKDAY(F539,1)))</f>
        <v>2.6935146198719569E-2</v>
      </c>
      <c r="Q539">
        <f>LN(_xll.ciqfunctions.udf.CIQ("XBI", "IQ_LASTSALEPRICE", WORKDAY(F539,-1))/_xll.ciqfunctions.udf.CIQ("XBI", "IQ_LASTSALEPRICE", WORKDAY(F539,5)))</f>
        <v>3.2616158116524443E-3</v>
      </c>
      <c r="R539">
        <f>_xll.ciqfunctions.udf.CIQ(A539, "IQ_SHORT_INTEREST_PERCENT", F539)</f>
        <v>2.27319</v>
      </c>
      <c r="S539">
        <f>_xll.ciqfunctions.udf.CIQ(A539, "IQ_BETA_1YR_RSQ", F539)</f>
        <v>1.0000000000000001E-5</v>
      </c>
      <c r="T539">
        <f>_xll.ciqfunctions.udf.CIQ(A539, "IQ_VALUE_TRADED", F539)</f>
        <v>9.4893900000000002</v>
      </c>
    </row>
    <row r="540" spans="1:20" x14ac:dyDescent="0.3">
      <c r="A540" t="s">
        <v>208</v>
      </c>
      <c r="B540">
        <v>175.15</v>
      </c>
      <c r="C540" t="s">
        <v>1645</v>
      </c>
      <c r="D540" t="s">
        <v>1646</v>
      </c>
      <c r="E540" t="s">
        <v>160</v>
      </c>
      <c r="F540" s="1">
        <v>45373</v>
      </c>
      <c r="G540" t="s">
        <v>1647</v>
      </c>
      <c r="I540">
        <f>_xll.ciqfunctions.udf.CIQ(A540, "IQ_MARKETCAP", F540)</f>
        <v>315971.95412000001</v>
      </c>
      <c r="J540">
        <f>_xll.ciqfunctions.udf.CIQ(A540, "IQ_PRICE_VOL_HIST_6MTH", F540)</f>
        <v>16.326799999999999</v>
      </c>
      <c r="K540">
        <f>_xll.ciqfunctions.udf.CIQ(A540, "IQ_LASTSALEPRICE", WORKDAY(F540,-1))</f>
        <v>177.5</v>
      </c>
      <c r="L540">
        <f>_xll.ciqfunctions.udf.CIQ(A540, "IQ_LASTSALEPRICE", F540)</f>
        <v>178.45</v>
      </c>
      <c r="M540">
        <f>_xll.ciqfunctions.udf.CIQ(A540, "IQ_LASTSALEPRICE", WORKDAY(F540,5))</f>
        <v>182.1</v>
      </c>
      <c r="N540">
        <f t="shared" si="16"/>
        <v>5.3378410206988153E-3</v>
      </c>
      <c r="O540">
        <f t="shared" si="17"/>
        <v>2.5585377818091837E-2</v>
      </c>
      <c r="P540">
        <f>LN(_xll.ciqfunctions.udf.CIQ("XBI", "IQ_LASTSALEPRICE", WORKDAY(F540,-1))/_xll.ciqfunctions.udf.CIQ("XBI", "IQ_LASTSALEPRICE", WORKDAY(F540,1)))</f>
        <v>2.6935146198719569E-2</v>
      </c>
      <c r="Q540">
        <f>LN(_xll.ciqfunctions.udf.CIQ("XBI", "IQ_LASTSALEPRICE", WORKDAY(F540,-1))/_xll.ciqfunctions.udf.CIQ("XBI", "IQ_LASTSALEPRICE", WORKDAY(F540,5)))</f>
        <v>3.2616158116524443E-3</v>
      </c>
      <c r="R540">
        <f>_xll.ciqfunctions.udf.CIQ(A540, "IQ_SHORT_INTEREST_PERCENT", F540)</f>
        <v>0.80574000000000001</v>
      </c>
      <c r="S540">
        <f>_xll.ciqfunctions.udf.CIQ(A540, "IQ_BETA_1YR_RSQ", F540)</f>
        <v>4.4229999999999998E-2</v>
      </c>
      <c r="T540">
        <f>_xll.ciqfunctions.udf.CIQ(A540, "IQ_VALUE_TRADED", F540)</f>
        <v>728.85261000000003</v>
      </c>
    </row>
    <row r="541" spans="1:20" x14ac:dyDescent="0.3">
      <c r="A541" t="s">
        <v>1648</v>
      </c>
      <c r="B541">
        <v>4.3600000000000003</v>
      </c>
      <c r="C541" t="s">
        <v>1649</v>
      </c>
      <c r="D541" t="s">
        <v>1650</v>
      </c>
      <c r="E541" t="s">
        <v>160</v>
      </c>
      <c r="F541" s="1">
        <v>45373</v>
      </c>
      <c r="G541" t="s">
        <v>1651</v>
      </c>
      <c r="H541">
        <v>120</v>
      </c>
      <c r="I541">
        <f>_xll.ciqfunctions.udf.CIQ(A541, "IQ_MARKETCAP", F541)</f>
        <v>518.16998999999998</v>
      </c>
      <c r="J541">
        <f>_xll.ciqfunctions.udf.CIQ(A541, "IQ_PRICE_VOL_HIST_6MTH", F541)</f>
        <v>138.3544</v>
      </c>
      <c r="K541">
        <f>_xll.ciqfunctions.udf.CIQ(A541, "IQ_LASTSALEPRICE", WORKDAY(F541,-1))</f>
        <v>3.09</v>
      </c>
      <c r="L541">
        <f>_xll.ciqfunctions.udf.CIQ(A541, "IQ_LASTSALEPRICE", F541)</f>
        <v>4.3600000000000003</v>
      </c>
      <c r="M541">
        <f>_xll.ciqfunctions.udf.CIQ(A541, "IQ_LASTSALEPRICE", WORKDAY(F541,5))</f>
        <v>4.4400000000000004</v>
      </c>
      <c r="N541">
        <f t="shared" si="16"/>
        <v>0.34430096645128894</v>
      </c>
      <c r="O541">
        <f t="shared" si="17"/>
        <v>0.36248328553447945</v>
      </c>
      <c r="P541">
        <f>LN(_xll.ciqfunctions.udf.CIQ("XBI", "IQ_LASTSALEPRICE", WORKDAY(F541,-1))/_xll.ciqfunctions.udf.CIQ("XBI", "IQ_LASTSALEPRICE", WORKDAY(F541,1)))</f>
        <v>2.6935146198719569E-2</v>
      </c>
      <c r="Q541">
        <f>LN(_xll.ciqfunctions.udf.CIQ("XBI", "IQ_LASTSALEPRICE", WORKDAY(F541,-1))/_xll.ciqfunctions.udf.CIQ("XBI", "IQ_LASTSALEPRICE", WORKDAY(F541,5)))</f>
        <v>3.2616158116524443E-3</v>
      </c>
      <c r="R541">
        <f>_xll.ciqfunctions.udf.CIQ(A541, "IQ_SHORT_INTEREST_PERCENT", F541)</f>
        <v>1.6053599999999999</v>
      </c>
      <c r="S541">
        <f>_xll.ciqfunctions.udf.CIQ(A541, "IQ_BETA_1YR_RSQ", F541)</f>
        <v>1.3600000000000001E-3</v>
      </c>
      <c r="T541">
        <f>_xll.ciqfunctions.udf.CIQ(A541, "IQ_VALUE_TRADED", F541)</f>
        <v>16.098009999999999</v>
      </c>
    </row>
    <row r="542" spans="1:20" x14ac:dyDescent="0.3">
      <c r="A542" t="s">
        <v>1648</v>
      </c>
      <c r="B542">
        <v>4.3600000000000003</v>
      </c>
      <c r="C542" t="s">
        <v>1649</v>
      </c>
      <c r="D542" t="s">
        <v>1650</v>
      </c>
      <c r="E542" t="s">
        <v>36</v>
      </c>
      <c r="F542" s="1">
        <v>45373</v>
      </c>
      <c r="G542" t="s">
        <v>1652</v>
      </c>
      <c r="H542">
        <v>120</v>
      </c>
      <c r="I542">
        <f>_xll.ciqfunctions.udf.CIQ(A542, "IQ_MARKETCAP", F542)</f>
        <v>518.16998999999998</v>
      </c>
      <c r="J542">
        <f>_xll.ciqfunctions.udf.CIQ(A542, "IQ_PRICE_VOL_HIST_6MTH", F542)</f>
        <v>138.3544</v>
      </c>
      <c r="K542">
        <f>_xll.ciqfunctions.udf.CIQ(A542, "IQ_LASTSALEPRICE", WORKDAY(F542,-1))</f>
        <v>3.09</v>
      </c>
      <c r="L542">
        <f>_xll.ciqfunctions.udf.CIQ(A542, "IQ_LASTSALEPRICE", F542)</f>
        <v>4.3600000000000003</v>
      </c>
      <c r="M542">
        <f>_xll.ciqfunctions.udf.CIQ(A542, "IQ_LASTSALEPRICE", WORKDAY(F542,5))</f>
        <v>4.4400000000000004</v>
      </c>
      <c r="N542">
        <f t="shared" si="16"/>
        <v>0.34430096645128894</v>
      </c>
      <c r="O542">
        <f t="shared" si="17"/>
        <v>0.36248328553447945</v>
      </c>
      <c r="P542">
        <f>LN(_xll.ciqfunctions.udf.CIQ("XBI", "IQ_LASTSALEPRICE", WORKDAY(F542,-1))/_xll.ciqfunctions.udf.CIQ("XBI", "IQ_LASTSALEPRICE", WORKDAY(F542,1)))</f>
        <v>2.6935146198719569E-2</v>
      </c>
      <c r="Q542">
        <f>LN(_xll.ciqfunctions.udf.CIQ("XBI", "IQ_LASTSALEPRICE", WORKDAY(F542,-1))/_xll.ciqfunctions.udf.CIQ("XBI", "IQ_LASTSALEPRICE", WORKDAY(F542,5)))</f>
        <v>3.2616158116524443E-3</v>
      </c>
      <c r="R542">
        <f>_xll.ciqfunctions.udf.CIQ(A542, "IQ_SHORT_INTEREST_PERCENT", F542)</f>
        <v>1.6053599999999999</v>
      </c>
      <c r="S542">
        <f>_xll.ciqfunctions.udf.CIQ(A542, "IQ_BETA_1YR_RSQ", F542)</f>
        <v>1.3600000000000001E-3</v>
      </c>
      <c r="T542">
        <f>_xll.ciqfunctions.udf.CIQ(A542, "IQ_VALUE_TRADED", F542)</f>
        <v>16.098009999999999</v>
      </c>
    </row>
    <row r="543" spans="1:20" x14ac:dyDescent="0.3">
      <c r="A543" t="s">
        <v>1653</v>
      </c>
      <c r="B543">
        <v>2.29</v>
      </c>
      <c r="C543" t="s">
        <v>1654</v>
      </c>
      <c r="D543" t="s">
        <v>1655</v>
      </c>
      <c r="E543" t="s">
        <v>160</v>
      </c>
      <c r="F543" s="1">
        <v>45373</v>
      </c>
      <c r="G543" t="s">
        <v>1639</v>
      </c>
      <c r="H543">
        <v>201</v>
      </c>
      <c r="I543">
        <f>_xll.ciqfunctions.udf.CIQ(A543, "IQ_MARKETCAP", F543)</f>
        <v>423.77069</v>
      </c>
      <c r="J543">
        <f>_xll.ciqfunctions.udf.CIQ(A543, "IQ_PRICE_VOL_HIST_6MTH", F543)</f>
        <v>102.10680000000001</v>
      </c>
      <c r="K543">
        <f>_xll.ciqfunctions.udf.CIQ(A543, "IQ_LASTSALEPRICE", WORKDAY(F543,-1))</f>
        <v>2.11</v>
      </c>
      <c r="L543">
        <f>_xll.ciqfunctions.udf.CIQ(A543, "IQ_LASTSALEPRICE", F543)</f>
        <v>2.29</v>
      </c>
      <c r="M543">
        <f>_xll.ciqfunctions.udf.CIQ(A543, "IQ_LASTSALEPRICE", WORKDAY(F543,5))</f>
        <v>2.68</v>
      </c>
      <c r="N543">
        <f t="shared" si="16"/>
        <v>8.186387007817314E-2</v>
      </c>
      <c r="O543">
        <f t="shared" si="17"/>
        <v>0.23912884703479037</v>
      </c>
      <c r="P543">
        <f>LN(_xll.ciqfunctions.udf.CIQ("XBI", "IQ_LASTSALEPRICE", WORKDAY(F543,-1))/_xll.ciqfunctions.udf.CIQ("XBI", "IQ_LASTSALEPRICE", WORKDAY(F543,1)))</f>
        <v>2.6935146198719569E-2</v>
      </c>
      <c r="Q543">
        <f>LN(_xll.ciqfunctions.udf.CIQ("XBI", "IQ_LASTSALEPRICE", WORKDAY(F543,-1))/_xll.ciqfunctions.udf.CIQ("XBI", "IQ_LASTSALEPRICE", WORKDAY(F543,5)))</f>
        <v>3.2616158116524443E-3</v>
      </c>
      <c r="R543">
        <f>_xll.ciqfunctions.udf.CIQ(A543, "IQ_SHORT_INTEREST_PERCENT", F543)</f>
        <v>9.1601400000000002</v>
      </c>
      <c r="S543">
        <f>_xll.ciqfunctions.udf.CIQ(A543, "IQ_BETA_1YR_RSQ", F543)</f>
        <v>0.22076999999999999</v>
      </c>
      <c r="T543">
        <f>_xll.ciqfunctions.udf.CIQ(A543, "IQ_VALUE_TRADED", F543)</f>
        <v>22.168279999999999</v>
      </c>
    </row>
    <row r="544" spans="1:20" x14ac:dyDescent="0.3">
      <c r="A544" t="s">
        <v>1337</v>
      </c>
      <c r="B544">
        <v>6.49</v>
      </c>
      <c r="C544" t="s">
        <v>1338</v>
      </c>
      <c r="D544" t="s">
        <v>1339</v>
      </c>
      <c r="E544" t="s">
        <v>89</v>
      </c>
      <c r="F544" s="1">
        <v>45373</v>
      </c>
      <c r="G544" t="s">
        <v>1656</v>
      </c>
      <c r="H544">
        <v>32</v>
      </c>
      <c r="I544">
        <f>_xll.ciqfunctions.udf.CIQ(A544, "IQ_MARKETCAP", F544)</f>
        <v>192.16768999999999</v>
      </c>
      <c r="J544">
        <f>_xll.ciqfunctions.udf.CIQ(A544, "IQ_PRICE_VOL_HIST_6MTH", F544)</f>
        <v>0</v>
      </c>
      <c r="K544">
        <f>_xll.ciqfunctions.udf.CIQ(A544, "IQ_LASTSALEPRICE", WORKDAY(F544,-1))</f>
        <v>6.79</v>
      </c>
      <c r="L544">
        <f>_xll.ciqfunctions.udf.CIQ(A544, "IQ_LASTSALEPRICE", F544)</f>
        <v>6.49</v>
      </c>
      <c r="M544">
        <f>_xll.ciqfunctions.udf.CIQ(A544, "IQ_LASTSALEPRICE", WORKDAY(F544,5))</f>
        <v>5.15</v>
      </c>
      <c r="N544">
        <f t="shared" si="16"/>
        <v>-4.5188410854606086E-2</v>
      </c>
      <c r="O544">
        <f t="shared" si="17"/>
        <v>-0.27645422689495985</v>
      </c>
      <c r="P544">
        <f>LN(_xll.ciqfunctions.udf.CIQ("XBI", "IQ_LASTSALEPRICE", WORKDAY(F544,-1))/_xll.ciqfunctions.udf.CIQ("XBI", "IQ_LASTSALEPRICE", WORKDAY(F544,1)))</f>
        <v>2.6935146198719569E-2</v>
      </c>
      <c r="Q544">
        <f>LN(_xll.ciqfunctions.udf.CIQ("XBI", "IQ_LASTSALEPRICE", WORKDAY(F544,-1))/_xll.ciqfunctions.udf.CIQ("XBI", "IQ_LASTSALEPRICE", WORKDAY(F544,5)))</f>
        <v>3.2616158116524443E-3</v>
      </c>
      <c r="R544">
        <f>_xll.ciqfunctions.udf.CIQ(A544, "IQ_SHORT_INTEREST_PERCENT", F544)</f>
        <v>1.533E-2</v>
      </c>
      <c r="S544">
        <f>_xll.ciqfunctions.udf.CIQ(A544, "IQ_BETA_1YR_RSQ", F544)</f>
        <v>2.4879999999999999E-2</v>
      </c>
      <c r="T544">
        <f>_xll.ciqfunctions.udf.CIQ(A544, "IQ_VALUE_TRADED", F544)</f>
        <v>0.18384</v>
      </c>
    </row>
    <row r="545" spans="1:20" x14ac:dyDescent="0.3">
      <c r="A545" t="s">
        <v>78</v>
      </c>
      <c r="B545">
        <v>4.96</v>
      </c>
      <c r="C545" t="s">
        <v>79</v>
      </c>
      <c r="D545" t="s">
        <v>1657</v>
      </c>
      <c r="E545" t="s">
        <v>17</v>
      </c>
      <c r="F545" s="1">
        <v>45373</v>
      </c>
      <c r="G545" t="s">
        <v>1658</v>
      </c>
      <c r="I545">
        <f>_xll.ciqfunctions.udf.CIQ(A545, "IQ_MARKETCAP", F545)</f>
        <v>2.6749000000000001</v>
      </c>
      <c r="J545">
        <f>_xll.ciqfunctions.udf.CIQ(A545, "IQ_PRICE_VOL_HIST_6MTH", F545)</f>
        <v>68.841200000000001</v>
      </c>
      <c r="K545">
        <f>_xll.ciqfunctions.udf.CIQ(A545, "IQ_LASTSALEPRICE", WORKDAY(F545,-1))</f>
        <v>70.21208</v>
      </c>
      <c r="L545">
        <f>_xll.ciqfunctions.udf.CIQ(A545, "IQ_LASTSALEPRICE", F545)</f>
        <v>74.399959999999993</v>
      </c>
      <c r="M545">
        <f>_xll.ciqfunctions.udf.CIQ(A545, "IQ_LASTSALEPRICE", WORKDAY(F545,5))</f>
        <v>63.43197</v>
      </c>
      <c r="N545">
        <f t="shared" si="16"/>
        <v>5.7935028204673403E-2</v>
      </c>
      <c r="O545">
        <f t="shared" si="17"/>
        <v>-0.1015523829772419</v>
      </c>
      <c r="P545">
        <f>LN(_xll.ciqfunctions.udf.CIQ("XBI", "IQ_LASTSALEPRICE", WORKDAY(F545,-1))/_xll.ciqfunctions.udf.CIQ("XBI", "IQ_LASTSALEPRICE", WORKDAY(F545,1)))</f>
        <v>2.6935146198719569E-2</v>
      </c>
      <c r="Q545">
        <f>LN(_xll.ciqfunctions.udf.CIQ("XBI", "IQ_LASTSALEPRICE", WORKDAY(F545,-1))/_xll.ciqfunctions.udf.CIQ("XBI", "IQ_LASTSALEPRICE", WORKDAY(F545,5)))</f>
        <v>3.2616158116524443E-3</v>
      </c>
      <c r="R545">
        <f>_xll.ciqfunctions.udf.CIQ(A545, "IQ_SHORT_INTEREST_PERCENT", F545)</f>
        <v>0.41743999999999998</v>
      </c>
      <c r="S545">
        <f>_xll.ciqfunctions.udf.CIQ(A545, "IQ_BETA_1YR_RSQ", F545)</f>
        <v>9.7300000000000008E-3</v>
      </c>
      <c r="T545">
        <f>_xll.ciqfunctions.udf.CIQ(A545, "IQ_VALUE_TRADED", F545)</f>
        <v>0.87017999999999995</v>
      </c>
    </row>
    <row r="546" spans="1:20" x14ac:dyDescent="0.3">
      <c r="A546" t="s">
        <v>429</v>
      </c>
      <c r="B546">
        <v>16.18</v>
      </c>
      <c r="C546" t="s">
        <v>1659</v>
      </c>
      <c r="D546" t="s">
        <v>1660</v>
      </c>
      <c r="E546" t="s">
        <v>89</v>
      </c>
      <c r="F546" s="1">
        <v>45373</v>
      </c>
      <c r="G546" t="s">
        <v>1661</v>
      </c>
      <c r="H546">
        <v>109</v>
      </c>
      <c r="I546">
        <f>_xll.ciqfunctions.udf.CIQ(A546, "IQ_MARKETCAP", F546)</f>
        <v>1597.2495200000001</v>
      </c>
      <c r="J546">
        <f>_xll.ciqfunctions.udf.CIQ(A546, "IQ_PRICE_VOL_HIST_6MTH", F546)</f>
        <v>58.794600000000003</v>
      </c>
      <c r="K546">
        <f>_xll.ciqfunctions.udf.CIQ(A546, "IQ_LASTSALEPRICE", WORKDAY(F546,-1))</f>
        <v>17.25</v>
      </c>
      <c r="L546">
        <f>_xll.ciqfunctions.udf.CIQ(A546, "IQ_LASTSALEPRICE", F546)</f>
        <v>16.18</v>
      </c>
      <c r="M546">
        <f>_xll.ciqfunctions.udf.CIQ(A546, "IQ_LASTSALEPRICE", WORKDAY(F546,5))</f>
        <v>16.02</v>
      </c>
      <c r="N546">
        <f t="shared" si="16"/>
        <v>-6.4036231847023214E-2</v>
      </c>
      <c r="O546">
        <f t="shared" si="17"/>
        <v>-7.3974201837155612E-2</v>
      </c>
      <c r="P546">
        <f>LN(_xll.ciqfunctions.udf.CIQ("XBI", "IQ_LASTSALEPRICE", WORKDAY(F546,-1))/_xll.ciqfunctions.udf.CIQ("XBI", "IQ_LASTSALEPRICE", WORKDAY(F546,1)))</f>
        <v>2.6935146198719569E-2</v>
      </c>
      <c r="Q546">
        <f>LN(_xll.ciqfunctions.udf.CIQ("XBI", "IQ_LASTSALEPRICE", WORKDAY(F546,-1))/_xll.ciqfunctions.udf.CIQ("XBI", "IQ_LASTSALEPRICE", WORKDAY(F546,5)))</f>
        <v>3.2616158116524443E-3</v>
      </c>
      <c r="R546">
        <f>_xll.ciqfunctions.udf.CIQ(A546, "IQ_SHORT_INTEREST_PERCENT", F546)</f>
        <v>4.1167100000000003</v>
      </c>
      <c r="S546">
        <f>_xll.ciqfunctions.udf.CIQ(A546, "IQ_BETA_1YR_RSQ", F546)</f>
        <v>0.10484</v>
      </c>
      <c r="T546">
        <f>_xll.ciqfunctions.udf.CIQ(A546, "IQ_VALUE_TRADED", F546)</f>
        <v>12.65582</v>
      </c>
    </row>
    <row r="547" spans="1:20" x14ac:dyDescent="0.3">
      <c r="A547" t="s">
        <v>1562</v>
      </c>
      <c r="B547">
        <v>77.349999999999994</v>
      </c>
      <c r="C547" t="s">
        <v>1662</v>
      </c>
      <c r="D547" t="s">
        <v>1663</v>
      </c>
      <c r="E547" t="s">
        <v>36</v>
      </c>
      <c r="F547" s="1">
        <v>45376</v>
      </c>
      <c r="G547" t="s">
        <v>1664</v>
      </c>
      <c r="H547">
        <v>49</v>
      </c>
      <c r="I547">
        <f>_xll.ciqfunctions.udf.CIQ(A547, "IQ_MARKETCAP", F547)</f>
        <v>3664.4079099999999</v>
      </c>
      <c r="J547">
        <f>_xll.ciqfunctions.udf.CIQ(A547, "IQ_PRICE_VOL_HIST_6MTH", F547)</f>
        <v>50.87</v>
      </c>
      <c r="K547">
        <f>_xll.ciqfunctions.udf.CIQ(A547, "IQ_LASTSALEPRICE", WORKDAY(F547,-1))</f>
        <v>80.66</v>
      </c>
      <c r="L547">
        <f>_xll.ciqfunctions.udf.CIQ(A547, "IQ_LASTSALEPRICE", F547)</f>
        <v>77.349999999999994</v>
      </c>
      <c r="M547">
        <f>_xll.ciqfunctions.udf.CIQ(A547, "IQ_LASTSALEPRICE", WORKDAY(F547,5))</f>
        <v>76.989999999999995</v>
      </c>
      <c r="N547">
        <f t="shared" si="16"/>
        <v>-4.1902212426146987E-2</v>
      </c>
      <c r="O547">
        <f t="shared" si="17"/>
        <v>-4.6567246155263926E-2</v>
      </c>
      <c r="P547">
        <f>LN(_xll.ciqfunctions.udf.CIQ("XBI", "IQ_LASTSALEPRICE", WORKDAY(F547,-1))/_xll.ciqfunctions.udf.CIQ("XBI", "IQ_LASTSALEPRICE", WORKDAY(F547,1)))</f>
        <v>9.342349828237121E-3</v>
      </c>
      <c r="Q547">
        <f>LN(_xll.ciqfunctions.udf.CIQ("XBI", "IQ_LASTSALEPRICE", WORKDAY(F547,-1))/_xll.ciqfunctions.udf.CIQ("XBI", "IQ_LASTSALEPRICE", WORKDAY(F547,5)))</f>
        <v>-3.0948213165395105E-3</v>
      </c>
      <c r="R547">
        <f>_xll.ciqfunctions.udf.CIQ(A547, "IQ_SHORT_INTEREST_PERCENT", F547)</f>
        <v>15.76873</v>
      </c>
      <c r="S547">
        <f>_xll.ciqfunctions.udf.CIQ(A547, "IQ_BETA_1YR_RSQ", F547)</f>
        <v>4.2639999999999997E-2</v>
      </c>
      <c r="T547">
        <f>_xll.ciqfunctions.udf.CIQ(A547, "IQ_VALUE_TRADED", F547)</f>
        <v>108.2002</v>
      </c>
    </row>
    <row r="548" spans="1:20" x14ac:dyDescent="0.3">
      <c r="A548" t="s">
        <v>433</v>
      </c>
      <c r="B548">
        <v>65.459999999999994</v>
      </c>
      <c r="C548" t="s">
        <v>1665</v>
      </c>
      <c r="D548" t="s">
        <v>1666</v>
      </c>
      <c r="E548" t="s">
        <v>160</v>
      </c>
      <c r="F548" s="1">
        <v>45376</v>
      </c>
      <c r="G548" t="s">
        <v>1667</v>
      </c>
      <c r="I548">
        <f>_xll.ciqfunctions.udf.CIQ(A548, "IQ_MARKETCAP", F548)</f>
        <v>161128.36154000001</v>
      </c>
      <c r="J548">
        <f>_xll.ciqfunctions.udf.CIQ(A548, "IQ_PRICE_VOL_HIST_6MTH", F548)</f>
        <v>23.3597</v>
      </c>
      <c r="K548">
        <f>_xll.ciqfunctions.udf.CIQ(A548, "IQ_LASTSALEPRICE", WORKDAY(F548,-1))</f>
        <v>104.82</v>
      </c>
      <c r="L548">
        <f>_xll.ciqfunctions.udf.CIQ(A548, "IQ_LASTSALEPRICE", F548)</f>
        <v>103.94</v>
      </c>
      <c r="M548">
        <f>_xll.ciqfunctions.udf.CIQ(A548, "IQ_LASTSALEPRICE", WORKDAY(F548,5))</f>
        <v>106.78</v>
      </c>
      <c r="N548">
        <f t="shared" si="16"/>
        <v>-8.4307837937243422E-3</v>
      </c>
      <c r="O548">
        <f t="shared" si="17"/>
        <v>1.852604969802003E-2</v>
      </c>
      <c r="P548">
        <f>LN(_xll.ciqfunctions.udf.CIQ("XBI", "IQ_LASTSALEPRICE", WORKDAY(F548,-1))/_xll.ciqfunctions.udf.CIQ("XBI", "IQ_LASTSALEPRICE", WORKDAY(F548,1)))</f>
        <v>9.342349828237121E-3</v>
      </c>
      <c r="Q548">
        <f>LN(_xll.ciqfunctions.udf.CIQ("XBI", "IQ_LASTSALEPRICE", WORKDAY(F548,-1))/_xll.ciqfunctions.udf.CIQ("XBI", "IQ_LASTSALEPRICE", WORKDAY(F548,5)))</f>
        <v>-3.0948213165395105E-3</v>
      </c>
      <c r="R548">
        <f>_xll.ciqfunctions.udf.CIQ(A548, "IQ_SHORT_INTEREST_PERCENT", F548)</f>
        <v>0</v>
      </c>
      <c r="S548">
        <f>_xll.ciqfunctions.udf.CIQ(A548, "IQ_BETA_1YR_RSQ", F548)</f>
        <v>0.22717000000000001</v>
      </c>
      <c r="T548">
        <f>_xll.ciqfunctions.udf.CIQ(A548, "IQ_VALUE_TRADED", F548)</f>
        <v>161.92335</v>
      </c>
    </row>
    <row r="549" spans="1:20" x14ac:dyDescent="0.3">
      <c r="A549" t="s">
        <v>433</v>
      </c>
      <c r="B549">
        <v>65.459999999999994</v>
      </c>
      <c r="C549" t="s">
        <v>1668</v>
      </c>
      <c r="D549" t="s">
        <v>1669</v>
      </c>
      <c r="E549" t="s">
        <v>160</v>
      </c>
      <c r="F549" s="1">
        <v>45376</v>
      </c>
      <c r="G549" t="s">
        <v>1670</v>
      </c>
      <c r="I549">
        <f>_xll.ciqfunctions.udf.CIQ(A549, "IQ_MARKETCAP", F549)</f>
        <v>161128.36154000001</v>
      </c>
      <c r="J549">
        <f>_xll.ciqfunctions.udf.CIQ(A549, "IQ_PRICE_VOL_HIST_6MTH", F549)</f>
        <v>23.3597</v>
      </c>
      <c r="K549">
        <f>_xll.ciqfunctions.udf.CIQ(A549, "IQ_LASTSALEPRICE", WORKDAY(F549,-1))</f>
        <v>104.82</v>
      </c>
      <c r="L549">
        <f>_xll.ciqfunctions.udf.CIQ(A549, "IQ_LASTSALEPRICE", F549)</f>
        <v>103.94</v>
      </c>
      <c r="M549">
        <f>_xll.ciqfunctions.udf.CIQ(A549, "IQ_LASTSALEPRICE", WORKDAY(F549,5))</f>
        <v>106.78</v>
      </c>
      <c r="N549">
        <f t="shared" si="16"/>
        <v>-8.4307837937243422E-3</v>
      </c>
      <c r="O549">
        <f t="shared" si="17"/>
        <v>1.852604969802003E-2</v>
      </c>
      <c r="P549">
        <f>LN(_xll.ciqfunctions.udf.CIQ("XBI", "IQ_LASTSALEPRICE", WORKDAY(F549,-1))/_xll.ciqfunctions.udf.CIQ("XBI", "IQ_LASTSALEPRICE", WORKDAY(F549,1)))</f>
        <v>9.342349828237121E-3</v>
      </c>
      <c r="Q549">
        <f>LN(_xll.ciqfunctions.udf.CIQ("XBI", "IQ_LASTSALEPRICE", WORKDAY(F549,-1))/_xll.ciqfunctions.udf.CIQ("XBI", "IQ_LASTSALEPRICE", WORKDAY(F549,5)))</f>
        <v>-3.0948213165395105E-3</v>
      </c>
      <c r="R549">
        <f>_xll.ciqfunctions.udf.CIQ(A549, "IQ_SHORT_INTEREST_PERCENT", F549)</f>
        <v>0</v>
      </c>
      <c r="S549">
        <f>_xll.ciqfunctions.udf.CIQ(A549, "IQ_BETA_1YR_RSQ", F549)</f>
        <v>0.22717000000000001</v>
      </c>
      <c r="T549">
        <f>_xll.ciqfunctions.udf.CIQ(A549, "IQ_VALUE_TRADED", F549)</f>
        <v>161.92335</v>
      </c>
    </row>
    <row r="550" spans="1:20" x14ac:dyDescent="0.3">
      <c r="A550" t="s">
        <v>1671</v>
      </c>
      <c r="B550">
        <v>14.75</v>
      </c>
      <c r="C550" t="s">
        <v>1672</v>
      </c>
      <c r="D550" t="s">
        <v>1673</v>
      </c>
      <c r="E550" t="s">
        <v>17</v>
      </c>
      <c r="F550" s="1">
        <v>45376</v>
      </c>
      <c r="G550" t="s">
        <v>1674</v>
      </c>
      <c r="H550">
        <v>56</v>
      </c>
      <c r="I550">
        <f>_xll.ciqfunctions.udf.CIQ(A550, "IQ_MARKETCAP", F550)</f>
        <v>809.82015000000001</v>
      </c>
      <c r="J550">
        <f>_xll.ciqfunctions.udf.CIQ(A550, "IQ_PRICE_VOL_HIST_6MTH", F550)</f>
        <v>78.699600000000004</v>
      </c>
      <c r="K550">
        <f>_xll.ciqfunctions.udf.CIQ(A550, "IQ_LASTSALEPRICE", WORKDAY(F550,-1))</f>
        <v>15.13</v>
      </c>
      <c r="L550">
        <f>_xll.ciqfunctions.udf.CIQ(A550, "IQ_LASTSALEPRICE", F550)</f>
        <v>14.75</v>
      </c>
      <c r="M550">
        <f>_xll.ciqfunctions.udf.CIQ(A550, "IQ_LASTSALEPRICE", WORKDAY(F550,5))</f>
        <v>13.51</v>
      </c>
      <c r="N550">
        <f t="shared" si="16"/>
        <v>-2.543644501443576E-2</v>
      </c>
      <c r="O550">
        <f t="shared" si="17"/>
        <v>-0.11324937582815715</v>
      </c>
      <c r="P550">
        <f>LN(_xll.ciqfunctions.udf.CIQ("XBI", "IQ_LASTSALEPRICE", WORKDAY(F550,-1))/_xll.ciqfunctions.udf.CIQ("XBI", "IQ_LASTSALEPRICE", WORKDAY(F550,1)))</f>
        <v>9.342349828237121E-3</v>
      </c>
      <c r="Q550">
        <f>LN(_xll.ciqfunctions.udf.CIQ("XBI", "IQ_LASTSALEPRICE", WORKDAY(F550,-1))/_xll.ciqfunctions.udf.CIQ("XBI", "IQ_LASTSALEPRICE", WORKDAY(F550,5)))</f>
        <v>-3.0948213165395105E-3</v>
      </c>
      <c r="R550">
        <f>_xll.ciqfunctions.udf.CIQ(A550, "IQ_SHORT_INTEREST_PERCENT", F550)</f>
        <v>3.0905100000000001</v>
      </c>
      <c r="S550">
        <f>_xll.ciqfunctions.udf.CIQ(A550, "IQ_BETA_1YR_RSQ", F550)</f>
        <v>5.0979999999999998E-2</v>
      </c>
      <c r="T550">
        <f>_xll.ciqfunctions.udf.CIQ(A550, "IQ_VALUE_TRADED", F550)</f>
        <v>66.503429999999994</v>
      </c>
    </row>
    <row r="551" spans="1:20" x14ac:dyDescent="0.3">
      <c r="A551" t="s">
        <v>1232</v>
      </c>
      <c r="B551">
        <v>65</v>
      </c>
      <c r="C551" t="s">
        <v>1675</v>
      </c>
      <c r="D551" t="s">
        <v>1676</v>
      </c>
      <c r="E551" t="s">
        <v>22</v>
      </c>
      <c r="F551" s="1">
        <v>45376</v>
      </c>
      <c r="G551" t="s">
        <v>1677</v>
      </c>
      <c r="H551">
        <v>59</v>
      </c>
      <c r="I551">
        <f>_xll.ciqfunctions.udf.CIQ(A551, "IQ_MARKETCAP", F551)</f>
        <v>3594.0787399999999</v>
      </c>
      <c r="J551">
        <f>_xll.ciqfunctions.udf.CIQ(A551, "IQ_PRICE_VOL_HIST_6MTH", F551)</f>
        <v>83.549000000000007</v>
      </c>
      <c r="K551">
        <f>_xll.ciqfunctions.udf.CIQ(A551, "IQ_LASTSALEPRICE", WORKDAY(F551,-1))</f>
        <v>68.430000000000007</v>
      </c>
      <c r="L551">
        <f>_xll.ciqfunctions.udf.CIQ(A551, "IQ_LASTSALEPRICE", F551)</f>
        <v>65</v>
      </c>
      <c r="M551">
        <f>_xll.ciqfunctions.udf.CIQ(A551, "IQ_LASTSALEPRICE", WORKDAY(F551,5))</f>
        <v>65.05</v>
      </c>
      <c r="N551">
        <f t="shared" si="16"/>
        <v>-5.142405506876932E-2</v>
      </c>
      <c r="O551">
        <f t="shared" si="17"/>
        <v>-5.065512000589216E-2</v>
      </c>
      <c r="P551">
        <f>LN(_xll.ciqfunctions.udf.CIQ("XBI", "IQ_LASTSALEPRICE", WORKDAY(F551,-1))/_xll.ciqfunctions.udf.CIQ("XBI", "IQ_LASTSALEPRICE", WORKDAY(F551,1)))</f>
        <v>9.342349828237121E-3</v>
      </c>
      <c r="Q551">
        <f>LN(_xll.ciqfunctions.udf.CIQ("XBI", "IQ_LASTSALEPRICE", WORKDAY(F551,-1))/_xll.ciqfunctions.udf.CIQ("XBI", "IQ_LASTSALEPRICE", WORKDAY(F551,5)))</f>
        <v>-3.0948213165395105E-3</v>
      </c>
      <c r="R551">
        <f>_xll.ciqfunctions.udf.CIQ(A551, "IQ_SHORT_INTEREST_PERCENT", F551)</f>
        <v>5.6685499999999998</v>
      </c>
      <c r="S551">
        <f>_xll.ciqfunctions.udf.CIQ(A551, "IQ_BETA_1YR_RSQ", F551)</f>
        <v>3.2320000000000002E-2</v>
      </c>
      <c r="T551">
        <f>_xll.ciqfunctions.udf.CIQ(A551, "IQ_VALUE_TRADED", F551)</f>
        <v>46.319200000000002</v>
      </c>
    </row>
    <row r="552" spans="1:20" x14ac:dyDescent="0.3">
      <c r="A552" t="s">
        <v>1678</v>
      </c>
      <c r="B552">
        <v>5.25</v>
      </c>
      <c r="C552" t="s">
        <v>1679</v>
      </c>
      <c r="D552" t="s">
        <v>1680</v>
      </c>
      <c r="E552" t="s">
        <v>17</v>
      </c>
      <c r="F552" s="1">
        <v>45376</v>
      </c>
      <c r="G552" t="s">
        <v>1681</v>
      </c>
      <c r="H552">
        <v>30</v>
      </c>
      <c r="I552">
        <f>_xll.ciqfunctions.udf.CIQ(A552, "IQ_MARKETCAP", F552)</f>
        <v>11.694459999999999</v>
      </c>
      <c r="J552">
        <f>_xll.ciqfunctions.udf.CIQ(A552, "IQ_PRICE_VOL_HIST_6MTH", F552)</f>
        <v>105.88890000000001</v>
      </c>
      <c r="K552">
        <f>_xll.ciqfunctions.udf.CIQ(A552, "IQ_LASTSALEPRICE", WORKDAY(F552,-1))</f>
        <v>5.7046999999999999</v>
      </c>
      <c r="L552">
        <f>_xll.ciqfunctions.udf.CIQ(A552, "IQ_LASTSALEPRICE", F552)</f>
        <v>5.25</v>
      </c>
      <c r="M552">
        <f>_xll.ciqfunctions.udf.CIQ(A552, "IQ_LASTSALEPRICE", WORKDAY(F552,5))</f>
        <v>5.67</v>
      </c>
      <c r="N552">
        <f t="shared" si="16"/>
        <v>-8.3062319876484769E-2</v>
      </c>
      <c r="O552">
        <f t="shared" si="17"/>
        <v>-6.1012787403564904E-3</v>
      </c>
      <c r="P552">
        <f>LN(_xll.ciqfunctions.udf.CIQ("XBI", "IQ_LASTSALEPRICE", WORKDAY(F552,-1))/_xll.ciqfunctions.udf.CIQ("XBI", "IQ_LASTSALEPRICE", WORKDAY(F552,1)))</f>
        <v>9.342349828237121E-3</v>
      </c>
      <c r="Q552">
        <f>LN(_xll.ciqfunctions.udf.CIQ("XBI", "IQ_LASTSALEPRICE", WORKDAY(F552,-1))/_xll.ciqfunctions.udf.CIQ("XBI", "IQ_LASTSALEPRICE", WORKDAY(F552,5)))</f>
        <v>-3.0948213165395105E-3</v>
      </c>
      <c r="R552">
        <f>_xll.ciqfunctions.udf.CIQ(A552, "IQ_SHORT_INTEREST_PERCENT", F552)</f>
        <v>0.40234999999999999</v>
      </c>
      <c r="S552">
        <f>_xll.ciqfunctions.udf.CIQ(A552, "IQ_BETA_1YR_RSQ", F552)</f>
        <v>1.2999999999999999E-2</v>
      </c>
      <c r="T552">
        <f>_xll.ciqfunctions.udf.CIQ(A552, "IQ_VALUE_TRADED", F552)</f>
        <v>4.8075400000000004</v>
      </c>
    </row>
    <row r="553" spans="1:20" x14ac:dyDescent="0.3">
      <c r="A553" t="s">
        <v>385</v>
      </c>
      <c r="B553">
        <v>961.09</v>
      </c>
      <c r="C553" t="s">
        <v>1682</v>
      </c>
      <c r="D553" t="s">
        <v>1683</v>
      </c>
      <c r="E553" t="s">
        <v>281</v>
      </c>
      <c r="F553" s="1">
        <v>45376</v>
      </c>
      <c r="G553" t="s">
        <v>1684</v>
      </c>
      <c r="H553">
        <v>105</v>
      </c>
      <c r="I553">
        <f>_xll.ciqfunctions.udf.CIQ(A553, "IQ_MARKETCAP", F553)</f>
        <v>103280.55362999999</v>
      </c>
      <c r="J553">
        <f>_xll.ciqfunctions.udf.CIQ(A553, "IQ_PRICE_VOL_HIST_6MTH", F553)</f>
        <v>16.9925</v>
      </c>
      <c r="K553">
        <f>_xll.ciqfunctions.udf.CIQ(A553, "IQ_LASTSALEPRICE", WORKDAY(F553,-1))</f>
        <v>967.24</v>
      </c>
      <c r="L553">
        <f>_xll.ciqfunctions.udf.CIQ(A553, "IQ_LASTSALEPRICE", F553)</f>
        <v>961.09</v>
      </c>
      <c r="M553">
        <f>_xll.ciqfunctions.udf.CIQ(A553, "IQ_LASTSALEPRICE", WORKDAY(F553,5))</f>
        <v>969.31</v>
      </c>
      <c r="N553">
        <f t="shared" si="16"/>
        <v>-6.3785979078506607E-3</v>
      </c>
      <c r="O553">
        <f t="shared" si="17"/>
        <v>2.1378232303577572E-3</v>
      </c>
      <c r="P553">
        <f>LN(_xll.ciqfunctions.udf.CIQ("XBI", "IQ_LASTSALEPRICE", WORKDAY(F553,-1))/_xll.ciqfunctions.udf.CIQ("XBI", "IQ_LASTSALEPRICE", WORKDAY(F553,1)))</f>
        <v>9.342349828237121E-3</v>
      </c>
      <c r="Q553">
        <f>LN(_xll.ciqfunctions.udf.CIQ("XBI", "IQ_LASTSALEPRICE", WORKDAY(F553,-1))/_xll.ciqfunctions.udf.CIQ("XBI", "IQ_LASTSALEPRICE", WORKDAY(F553,5)))</f>
        <v>-3.0948213165395105E-3</v>
      </c>
      <c r="R553">
        <f>_xll.ciqfunctions.udf.CIQ(A553, "IQ_SHORT_INTEREST_PERCENT", F553)</f>
        <v>1.26284</v>
      </c>
      <c r="S553">
        <f>_xll.ciqfunctions.udf.CIQ(A553, "IQ_BETA_1YR_RSQ", F553)</f>
        <v>9.9360000000000004E-2</v>
      </c>
      <c r="T553">
        <f>_xll.ciqfunctions.udf.CIQ(A553, "IQ_VALUE_TRADED", F553)</f>
        <v>309.74777</v>
      </c>
    </row>
    <row r="554" spans="1:20" x14ac:dyDescent="0.3">
      <c r="A554" t="s">
        <v>429</v>
      </c>
      <c r="B554">
        <v>16.25</v>
      </c>
      <c r="C554" t="s">
        <v>1682</v>
      </c>
      <c r="D554" t="s">
        <v>1683</v>
      </c>
      <c r="E554" t="s">
        <v>281</v>
      </c>
      <c r="F554" s="1">
        <v>45376</v>
      </c>
      <c r="G554" t="s">
        <v>1684</v>
      </c>
      <c r="H554">
        <v>109</v>
      </c>
      <c r="I554">
        <f>_xll.ciqfunctions.udf.CIQ(A554, "IQ_MARKETCAP", F554)</f>
        <v>1604.15975</v>
      </c>
      <c r="J554">
        <f>_xll.ciqfunctions.udf.CIQ(A554, "IQ_PRICE_VOL_HIST_6MTH", F554)</f>
        <v>58.755099999999999</v>
      </c>
      <c r="K554">
        <f>_xll.ciqfunctions.udf.CIQ(A554, "IQ_LASTSALEPRICE", WORKDAY(F554,-1))</f>
        <v>16.18</v>
      </c>
      <c r="L554">
        <f>_xll.ciqfunctions.udf.CIQ(A554, "IQ_LASTSALEPRICE", F554)</f>
        <v>16.25</v>
      </c>
      <c r="M554">
        <f>_xll.ciqfunctions.udf.CIQ(A554, "IQ_LASTSALEPRICE", WORKDAY(F554,5))</f>
        <v>16.72</v>
      </c>
      <c r="N554">
        <f t="shared" si="16"/>
        <v>4.3169971454009182E-3</v>
      </c>
      <c r="O554">
        <f t="shared" si="17"/>
        <v>3.2829696026209901E-2</v>
      </c>
      <c r="P554">
        <f>LN(_xll.ciqfunctions.udf.CIQ("XBI", "IQ_LASTSALEPRICE", WORKDAY(F554,-1))/_xll.ciqfunctions.udf.CIQ("XBI", "IQ_LASTSALEPRICE", WORKDAY(F554,1)))</f>
        <v>9.342349828237121E-3</v>
      </c>
      <c r="Q554">
        <f>LN(_xll.ciqfunctions.udf.CIQ("XBI", "IQ_LASTSALEPRICE", WORKDAY(F554,-1))/_xll.ciqfunctions.udf.CIQ("XBI", "IQ_LASTSALEPRICE", WORKDAY(F554,5)))</f>
        <v>-3.0948213165395105E-3</v>
      </c>
      <c r="R554">
        <f>_xll.ciqfunctions.udf.CIQ(A554, "IQ_SHORT_INTEREST_PERCENT", F554)</f>
        <v>4.1167100000000003</v>
      </c>
      <c r="S554">
        <f>_xll.ciqfunctions.udf.CIQ(A554, "IQ_BETA_1YR_RSQ", F554)</f>
        <v>0.10484</v>
      </c>
      <c r="T554">
        <f>_xll.ciqfunctions.udf.CIQ(A554, "IQ_VALUE_TRADED", F554)</f>
        <v>10.308009999999999</v>
      </c>
    </row>
    <row r="555" spans="1:20" x14ac:dyDescent="0.3">
      <c r="A555" t="s">
        <v>1685</v>
      </c>
      <c r="B555">
        <v>27.89</v>
      </c>
      <c r="C555" t="s">
        <v>1686</v>
      </c>
      <c r="D555" t="s">
        <v>1687</v>
      </c>
      <c r="E555" t="s">
        <v>76</v>
      </c>
      <c r="F555" s="1">
        <v>45376</v>
      </c>
      <c r="G555" t="s">
        <v>1688</v>
      </c>
      <c r="H555">
        <v>138</v>
      </c>
      <c r="I555">
        <f>_xll.ciqfunctions.udf.CIQ(A555, "IQ_MARKETCAP", F555)</f>
        <v>3455.4849300000001</v>
      </c>
      <c r="J555">
        <f>_xll.ciqfunctions.udf.CIQ(A555, "IQ_PRICE_VOL_HIST_6MTH", F555)</f>
        <v>78.128799999999998</v>
      </c>
      <c r="K555">
        <f>_xll.ciqfunctions.udf.CIQ(A555, "IQ_LASTSALEPRICE", WORKDAY(F555,-1))</f>
        <v>27.21</v>
      </c>
      <c r="L555">
        <f>_xll.ciqfunctions.udf.CIQ(A555, "IQ_LASTSALEPRICE", F555)</f>
        <v>27.89</v>
      </c>
      <c r="M555">
        <f>_xll.ciqfunctions.udf.CIQ(A555, "IQ_LASTSALEPRICE", WORKDAY(F555,5))</f>
        <v>28.24</v>
      </c>
      <c r="N555">
        <f t="shared" si="16"/>
        <v>2.4683648844242546E-2</v>
      </c>
      <c r="O555">
        <f t="shared" si="17"/>
        <v>3.7154859829886352E-2</v>
      </c>
      <c r="P555">
        <f>LN(_xll.ciqfunctions.udf.CIQ("XBI", "IQ_LASTSALEPRICE", WORKDAY(F555,-1))/_xll.ciqfunctions.udf.CIQ("XBI", "IQ_LASTSALEPRICE", WORKDAY(F555,1)))</f>
        <v>9.342349828237121E-3</v>
      </c>
      <c r="Q555">
        <f>LN(_xll.ciqfunctions.udf.CIQ("XBI", "IQ_LASTSALEPRICE", WORKDAY(F555,-1))/_xll.ciqfunctions.udf.CIQ("XBI", "IQ_LASTSALEPRICE", WORKDAY(F555,5)))</f>
        <v>-3.0948213165395105E-3</v>
      </c>
      <c r="R555">
        <f>_xll.ciqfunctions.udf.CIQ(A555, "IQ_SHORT_INTEREST_PERCENT", F555)</f>
        <v>7.13408</v>
      </c>
      <c r="S555">
        <f>_xll.ciqfunctions.udf.CIQ(A555, "IQ_BETA_1YR_RSQ", F555)</f>
        <v>0.11894</v>
      </c>
      <c r="T555">
        <f>_xll.ciqfunctions.udf.CIQ(A555, "IQ_VALUE_TRADED", F555)</f>
        <v>14.4307</v>
      </c>
    </row>
    <row r="556" spans="1:20" x14ac:dyDescent="0.3">
      <c r="A556" t="s">
        <v>117</v>
      </c>
      <c r="B556">
        <v>39.65</v>
      </c>
      <c r="C556" t="s">
        <v>1689</v>
      </c>
      <c r="D556" t="s">
        <v>1690</v>
      </c>
      <c r="E556" t="s">
        <v>22</v>
      </c>
      <c r="F556" s="1">
        <v>45376</v>
      </c>
      <c r="G556" t="s">
        <v>1691</v>
      </c>
      <c r="H556">
        <v>66</v>
      </c>
      <c r="I556">
        <f>_xll.ciqfunctions.udf.CIQ(A556, "IQ_MARKETCAP", F556)</f>
        <v>2384.5706300000002</v>
      </c>
      <c r="J556">
        <f>_xll.ciqfunctions.udf.CIQ(A556, "IQ_PRICE_VOL_HIST_6MTH", F556)</f>
        <v>61.634399999999999</v>
      </c>
      <c r="K556">
        <f>_xll.ciqfunctions.udf.CIQ(A556, "IQ_LASTSALEPRICE", WORKDAY(F556,-1))</f>
        <v>40.549999999999997</v>
      </c>
      <c r="L556">
        <f>_xll.ciqfunctions.udf.CIQ(A556, "IQ_LASTSALEPRICE", F556)</f>
        <v>39.65</v>
      </c>
      <c r="M556">
        <f>_xll.ciqfunctions.udf.CIQ(A556, "IQ_LASTSALEPRICE", WORKDAY(F556,5))</f>
        <v>42.68</v>
      </c>
      <c r="N556">
        <f t="shared" si="16"/>
        <v>-2.2444832480564898E-2</v>
      </c>
      <c r="O556">
        <f t="shared" si="17"/>
        <v>5.1194645872130774E-2</v>
      </c>
      <c r="P556">
        <f>LN(_xll.ciqfunctions.udf.CIQ("XBI", "IQ_LASTSALEPRICE", WORKDAY(F556,-1))/_xll.ciqfunctions.udf.CIQ("XBI", "IQ_LASTSALEPRICE", WORKDAY(F556,1)))</f>
        <v>9.342349828237121E-3</v>
      </c>
      <c r="Q556">
        <f>LN(_xll.ciqfunctions.udf.CIQ("XBI", "IQ_LASTSALEPRICE", WORKDAY(F556,-1))/_xll.ciqfunctions.udf.CIQ("XBI", "IQ_LASTSALEPRICE", WORKDAY(F556,5)))</f>
        <v>-3.0948213165395105E-3</v>
      </c>
      <c r="R556">
        <f>_xll.ciqfunctions.udf.CIQ(A556, "IQ_SHORT_INTEREST_PERCENT", F556)</f>
        <v>14.97223</v>
      </c>
      <c r="S556">
        <f>_xll.ciqfunctions.udf.CIQ(A556, "IQ_BETA_1YR_RSQ", F556)</f>
        <v>0.16686000000000001</v>
      </c>
      <c r="T556">
        <f>_xll.ciqfunctions.udf.CIQ(A556, "IQ_VALUE_TRADED", F556)</f>
        <v>17.18197</v>
      </c>
    </row>
    <row r="557" spans="1:20" x14ac:dyDescent="0.3">
      <c r="A557" t="s">
        <v>130</v>
      </c>
      <c r="B557">
        <v>124.56</v>
      </c>
      <c r="C557" t="s">
        <v>1692</v>
      </c>
      <c r="D557" t="s">
        <v>1693</v>
      </c>
      <c r="E557" t="s">
        <v>76</v>
      </c>
      <c r="F557" s="1">
        <v>45376</v>
      </c>
      <c r="G557" t="s">
        <v>1694</v>
      </c>
      <c r="I557">
        <f>_xll.ciqfunctions.udf.CIQ(A557, "IQ_MARKETCAP", F557)</f>
        <v>317365.60359999997</v>
      </c>
      <c r="J557">
        <f>_xll.ciqfunctions.udf.CIQ(A557, "IQ_PRICE_VOL_HIST_6MTH", F557)</f>
        <v>16.157699999999998</v>
      </c>
      <c r="K557">
        <f>_xll.ciqfunctions.udf.CIQ(A557, "IQ_LASTSALEPRICE", WORKDAY(F557,-1))</f>
        <v>123.85</v>
      </c>
      <c r="L557">
        <f>_xll.ciqfunctions.udf.CIQ(A557, "IQ_LASTSALEPRICE", F557)</f>
        <v>125.31</v>
      </c>
      <c r="M557">
        <f>_xll.ciqfunctions.udf.CIQ(A557, "IQ_LASTSALEPRICE", WORKDAY(F557,5))</f>
        <v>130.99</v>
      </c>
      <c r="N557">
        <f t="shared" si="16"/>
        <v>1.1719511241825083E-2</v>
      </c>
      <c r="O557">
        <f t="shared" si="17"/>
        <v>5.6049828474189198E-2</v>
      </c>
      <c r="P557">
        <f>LN(_xll.ciqfunctions.udf.CIQ("XBI", "IQ_LASTSALEPRICE", WORKDAY(F557,-1))/_xll.ciqfunctions.udf.CIQ("XBI", "IQ_LASTSALEPRICE", WORKDAY(F557,1)))</f>
        <v>9.342349828237121E-3</v>
      </c>
      <c r="Q557">
        <f>LN(_xll.ciqfunctions.udf.CIQ("XBI", "IQ_LASTSALEPRICE", WORKDAY(F557,-1))/_xll.ciqfunctions.udf.CIQ("XBI", "IQ_LASTSALEPRICE", WORKDAY(F557,5)))</f>
        <v>-3.0948213165395105E-3</v>
      </c>
      <c r="R557">
        <f>_xll.ciqfunctions.udf.CIQ(A557, "IQ_SHORT_INTEREST_PERCENT", F557)</f>
        <v>0.65563000000000005</v>
      </c>
      <c r="S557">
        <f>_xll.ciqfunctions.udf.CIQ(A557, "IQ_BETA_1YR_RSQ", F557)</f>
        <v>9.8999999999999999E-4</v>
      </c>
      <c r="T557">
        <f>_xll.ciqfunctions.udf.CIQ(A557, "IQ_VALUE_TRADED", F557)</f>
        <v>953.07716000000005</v>
      </c>
    </row>
    <row r="558" spans="1:20" x14ac:dyDescent="0.3">
      <c r="A558" t="s">
        <v>1695</v>
      </c>
      <c r="B558">
        <v>3.47</v>
      </c>
      <c r="C558" t="s">
        <v>1692</v>
      </c>
      <c r="D558" t="s">
        <v>1693</v>
      </c>
      <c r="E558" t="s">
        <v>76</v>
      </c>
      <c r="F558" s="1">
        <v>45376</v>
      </c>
      <c r="G558" t="s">
        <v>1694</v>
      </c>
      <c r="H558">
        <v>40</v>
      </c>
      <c r="I558">
        <f>_xll.ciqfunctions.udf.CIQ(A558, "IQ_MARKETCAP", F558)</f>
        <v>135.3837</v>
      </c>
      <c r="J558">
        <f>_xll.ciqfunctions.udf.CIQ(A558, "IQ_PRICE_VOL_HIST_6MTH", F558)</f>
        <v>124.8625</v>
      </c>
      <c r="K558">
        <f>_xll.ciqfunctions.udf.CIQ(A558, "IQ_LASTSALEPRICE", WORKDAY(F558,-1))</f>
        <v>3.12</v>
      </c>
      <c r="L558">
        <f>_xll.ciqfunctions.udf.CIQ(A558, "IQ_LASTSALEPRICE", F558)</f>
        <v>3.47</v>
      </c>
      <c r="M558">
        <f>_xll.ciqfunctions.udf.CIQ(A558, "IQ_LASTSALEPRICE", WORKDAY(F558,5))</f>
        <v>3.6</v>
      </c>
      <c r="N558">
        <f t="shared" si="16"/>
        <v>0.10632159213737688</v>
      </c>
      <c r="O558">
        <f t="shared" si="17"/>
        <v>0.14310084364067324</v>
      </c>
      <c r="P558">
        <f>LN(_xll.ciqfunctions.udf.CIQ("XBI", "IQ_LASTSALEPRICE", WORKDAY(F558,-1))/_xll.ciqfunctions.udf.CIQ("XBI", "IQ_LASTSALEPRICE", WORKDAY(F558,1)))</f>
        <v>9.342349828237121E-3</v>
      </c>
      <c r="Q558">
        <f>LN(_xll.ciqfunctions.udf.CIQ("XBI", "IQ_LASTSALEPRICE", WORKDAY(F558,-1))/_xll.ciqfunctions.udf.CIQ("XBI", "IQ_LASTSALEPRICE", WORKDAY(F558,5)))</f>
        <v>-3.0948213165395105E-3</v>
      </c>
      <c r="R558">
        <f>_xll.ciqfunctions.udf.CIQ(A558, "IQ_SHORT_INTEREST_PERCENT", F558)</f>
        <v>4.8301499999999997</v>
      </c>
      <c r="S558">
        <f>_xll.ciqfunctions.udf.CIQ(A558, "IQ_BETA_1YR_RSQ", F558)</f>
        <v>3.4000000000000002E-4</v>
      </c>
      <c r="T558">
        <f>_xll.ciqfunctions.udf.CIQ(A558, "IQ_VALUE_TRADED", F558)</f>
        <v>0.96628000000000003</v>
      </c>
    </row>
    <row r="559" spans="1:20" x14ac:dyDescent="0.3">
      <c r="A559" t="s">
        <v>1696</v>
      </c>
      <c r="B559">
        <v>6.4</v>
      </c>
      <c r="C559" t="s">
        <v>1697</v>
      </c>
      <c r="D559" t="s">
        <v>1698</v>
      </c>
      <c r="E559" t="s">
        <v>36</v>
      </c>
      <c r="F559" s="1">
        <v>45376</v>
      </c>
      <c r="G559" t="s">
        <v>1699</v>
      </c>
      <c r="H559">
        <v>26</v>
      </c>
      <c r="I559">
        <f>_xll.ciqfunctions.udf.CIQ(A559, "IQ_MARKETCAP", F559)</f>
        <v>166.44264000000001</v>
      </c>
      <c r="J559">
        <f>_xll.ciqfunctions.udf.CIQ(A559, "IQ_PRICE_VOL_HIST_6MTH", F559)</f>
        <v>108.25109999999999</v>
      </c>
      <c r="K559">
        <f>_xll.ciqfunctions.udf.CIQ(A559, "IQ_LASTSALEPRICE", WORKDAY(F559,-1))</f>
        <v>6.27</v>
      </c>
      <c r="L559">
        <f>_xll.ciqfunctions.udf.CIQ(A559, "IQ_LASTSALEPRICE", F559)</f>
        <v>6.4</v>
      </c>
      <c r="M559">
        <f>_xll.ciqfunctions.udf.CIQ(A559, "IQ_LASTSALEPRICE", WORKDAY(F559,5))</f>
        <v>5.04</v>
      </c>
      <c r="N559">
        <f t="shared" si="16"/>
        <v>2.0521635720796988E-2</v>
      </c>
      <c r="O559">
        <f t="shared" si="17"/>
        <v>-0.21837027256155198</v>
      </c>
      <c r="P559">
        <f>LN(_xll.ciqfunctions.udf.CIQ("XBI", "IQ_LASTSALEPRICE", WORKDAY(F559,-1))/_xll.ciqfunctions.udf.CIQ("XBI", "IQ_LASTSALEPRICE", WORKDAY(F559,1)))</f>
        <v>9.342349828237121E-3</v>
      </c>
      <c r="Q559">
        <f>LN(_xll.ciqfunctions.udf.CIQ("XBI", "IQ_LASTSALEPRICE", WORKDAY(F559,-1))/_xll.ciqfunctions.udf.CIQ("XBI", "IQ_LASTSALEPRICE", WORKDAY(F559,5)))</f>
        <v>-3.0948213165395105E-3</v>
      </c>
      <c r="R559">
        <f>_xll.ciqfunctions.udf.CIQ(A559, "IQ_SHORT_INTEREST_PERCENT", F559)</f>
        <v>5.08413</v>
      </c>
      <c r="S559">
        <f>_xll.ciqfunctions.udf.CIQ(A559, "IQ_BETA_1YR_RSQ", F559)</f>
        <v>7.4400000000000004E-3</v>
      </c>
      <c r="T559">
        <f>_xll.ciqfunctions.udf.CIQ(A559, "IQ_VALUE_TRADED", F559)</f>
        <v>0.99863999999999997</v>
      </c>
    </row>
    <row r="560" spans="1:20" x14ac:dyDescent="0.3">
      <c r="A560" t="s">
        <v>1071</v>
      </c>
      <c r="B560">
        <v>0.28999999999999998</v>
      </c>
      <c r="C560" t="s">
        <v>1700</v>
      </c>
      <c r="D560" t="s">
        <v>1701</v>
      </c>
      <c r="E560" t="s">
        <v>89</v>
      </c>
      <c r="F560" s="1">
        <v>45376</v>
      </c>
      <c r="G560" t="s">
        <v>1702</v>
      </c>
      <c r="H560">
        <v>5</v>
      </c>
      <c r="I560">
        <f>_xll.ciqfunctions.udf.CIQ(A560, "IQ_MARKETCAP", F560)</f>
        <v>63.050159999999998</v>
      </c>
      <c r="J560">
        <f>_xll.ciqfunctions.udf.CIQ(A560, "IQ_PRICE_VOL_HIST_6MTH", F560)</f>
        <v>267.43540000000002</v>
      </c>
      <c r="K560">
        <f>_xll.ciqfunctions.udf.CIQ(A560, "IQ_LASTSALEPRICE", WORKDAY(F560,-1))</f>
        <v>13.9</v>
      </c>
      <c r="L560">
        <f>_xll.ciqfunctions.udf.CIQ(A560, "IQ_LASTSALEPRICE", F560)</f>
        <v>14.51</v>
      </c>
      <c r="M560">
        <f>_xll.ciqfunctions.udf.CIQ(A560, "IQ_LASTSALEPRICE", WORKDAY(F560,5))</f>
        <v>18.489999999999998</v>
      </c>
      <c r="N560">
        <f t="shared" si="16"/>
        <v>4.2949226759450315E-2</v>
      </c>
      <c r="O560">
        <f t="shared" si="17"/>
        <v>0.28534120526238721</v>
      </c>
      <c r="P560">
        <f>LN(_xll.ciqfunctions.udf.CIQ("XBI", "IQ_LASTSALEPRICE", WORKDAY(F560,-1))/_xll.ciqfunctions.udf.CIQ("XBI", "IQ_LASTSALEPRICE", WORKDAY(F560,1)))</f>
        <v>9.342349828237121E-3</v>
      </c>
      <c r="Q560">
        <f>LN(_xll.ciqfunctions.udf.CIQ("XBI", "IQ_LASTSALEPRICE", WORKDAY(F560,-1))/_xll.ciqfunctions.udf.CIQ("XBI", "IQ_LASTSALEPRICE", WORKDAY(F560,5)))</f>
        <v>-3.0948213165395105E-3</v>
      </c>
      <c r="R560">
        <f>_xll.ciqfunctions.udf.CIQ(A560, "IQ_SHORT_INTEREST_PERCENT", F560)</f>
        <v>0.67657</v>
      </c>
      <c r="S560">
        <f>_xll.ciqfunctions.udf.CIQ(A560, "IQ_BETA_1YR_RSQ", F560)</f>
        <v>1.333E-2</v>
      </c>
      <c r="T560">
        <f>_xll.ciqfunctions.udf.CIQ(A560, "IQ_VALUE_TRADED", F560)</f>
        <v>0.88929000000000002</v>
      </c>
    </row>
    <row r="561" spans="1:20" x14ac:dyDescent="0.3">
      <c r="A561" t="s">
        <v>1703</v>
      </c>
      <c r="B561">
        <v>6.5</v>
      </c>
      <c r="C561" t="s">
        <v>1704</v>
      </c>
      <c r="D561" t="s">
        <v>1705</v>
      </c>
      <c r="E561" t="s">
        <v>17</v>
      </c>
      <c r="F561" s="1">
        <v>45376</v>
      </c>
      <c r="G561" t="s">
        <v>1706</v>
      </c>
      <c r="H561">
        <v>54</v>
      </c>
      <c r="I561">
        <f>_xll.ciqfunctions.udf.CIQ(A561, "IQ_MARKETCAP", F561)</f>
        <v>300.97433000000001</v>
      </c>
      <c r="J561">
        <f>_xll.ciqfunctions.udf.CIQ(A561, "IQ_PRICE_VOL_HIST_6MTH", F561)</f>
        <v>88.556399999999996</v>
      </c>
      <c r="K561">
        <f>_xll.ciqfunctions.udf.CIQ(A561, "IQ_LASTSALEPRICE", WORKDAY(F561,-1))</f>
        <v>6.3</v>
      </c>
      <c r="L561">
        <f>_xll.ciqfunctions.udf.CIQ(A561, "IQ_LASTSALEPRICE", F561)</f>
        <v>6.5</v>
      </c>
      <c r="M561">
        <f>_xll.ciqfunctions.udf.CIQ(A561, "IQ_LASTSALEPRICE", WORKDAY(F561,5))</f>
        <v>13.49</v>
      </c>
      <c r="N561">
        <f t="shared" si="16"/>
        <v>3.125254350410453E-2</v>
      </c>
      <c r="O561">
        <f t="shared" si="17"/>
        <v>0.76139903682217747</v>
      </c>
      <c r="P561">
        <f>LN(_xll.ciqfunctions.udf.CIQ("XBI", "IQ_LASTSALEPRICE", WORKDAY(F561,-1))/_xll.ciqfunctions.udf.CIQ("XBI", "IQ_LASTSALEPRICE", WORKDAY(F561,1)))</f>
        <v>9.342349828237121E-3</v>
      </c>
      <c r="Q561">
        <f>LN(_xll.ciqfunctions.udf.CIQ("XBI", "IQ_LASTSALEPRICE", WORKDAY(F561,-1))/_xll.ciqfunctions.udf.CIQ("XBI", "IQ_LASTSALEPRICE", WORKDAY(F561,5)))</f>
        <v>-3.0948213165395105E-3</v>
      </c>
      <c r="R561">
        <f>_xll.ciqfunctions.udf.CIQ(A561, "IQ_SHORT_INTEREST_PERCENT", F561)</f>
        <v>8.1310699999999994</v>
      </c>
      <c r="S561">
        <f>_xll.ciqfunctions.udf.CIQ(A561, "IQ_BETA_1YR_RSQ", F561)</f>
        <v>9.98E-2</v>
      </c>
      <c r="T561">
        <f>_xll.ciqfunctions.udf.CIQ(A561, "IQ_VALUE_TRADED", F561)</f>
        <v>16.683240000000001</v>
      </c>
    </row>
    <row r="562" spans="1:20" x14ac:dyDescent="0.3">
      <c r="A562" t="s">
        <v>1707</v>
      </c>
      <c r="B562">
        <v>2.16</v>
      </c>
      <c r="C562" t="s">
        <v>1708</v>
      </c>
      <c r="D562" t="s">
        <v>1576</v>
      </c>
      <c r="E562" t="s">
        <v>22</v>
      </c>
      <c r="F562" s="1">
        <v>45376</v>
      </c>
      <c r="G562" t="s">
        <v>1709</v>
      </c>
      <c r="H562">
        <v>124</v>
      </c>
      <c r="I562">
        <f>_xll.ciqfunctions.udf.CIQ(A562, "IQ_MARKETCAP", F562)</f>
        <v>47.280189999999997</v>
      </c>
      <c r="J562">
        <f>_xll.ciqfunctions.udf.CIQ(A562, "IQ_PRICE_VOL_HIST_6MTH", F562)</f>
        <v>185.57830000000001</v>
      </c>
      <c r="K562">
        <f>_xll.ciqfunctions.udf.CIQ(A562, "IQ_LASTSALEPRICE", WORKDAY(F562,-1))</f>
        <v>2.3199999999999998</v>
      </c>
      <c r="L562">
        <f>_xll.ciqfunctions.udf.CIQ(A562, "IQ_LASTSALEPRICE", F562)</f>
        <v>2.16</v>
      </c>
      <c r="M562">
        <f>_xll.ciqfunctions.udf.CIQ(A562, "IQ_LASTSALEPRICE", WORKDAY(F562,5))</f>
        <v>1.95</v>
      </c>
      <c r="N562">
        <f t="shared" si="16"/>
        <v>-7.1458963982144866E-2</v>
      </c>
      <c r="O562">
        <f t="shared" si="17"/>
        <v>-0.17373781310256312</v>
      </c>
      <c r="P562">
        <f>LN(_xll.ciqfunctions.udf.CIQ("XBI", "IQ_LASTSALEPRICE", WORKDAY(F562,-1))/_xll.ciqfunctions.udf.CIQ("XBI", "IQ_LASTSALEPRICE", WORKDAY(F562,1)))</f>
        <v>9.342349828237121E-3</v>
      </c>
      <c r="Q562">
        <f>LN(_xll.ciqfunctions.udf.CIQ("XBI", "IQ_LASTSALEPRICE", WORKDAY(F562,-1))/_xll.ciqfunctions.udf.CIQ("XBI", "IQ_LASTSALEPRICE", WORKDAY(F562,5)))</f>
        <v>-3.0948213165395105E-3</v>
      </c>
      <c r="R562">
        <f>_xll.ciqfunctions.udf.CIQ(A562, "IQ_SHORT_INTEREST_PERCENT", F562)</f>
        <v>1.53495</v>
      </c>
      <c r="S562">
        <f>_xll.ciqfunctions.udf.CIQ(A562, "IQ_BETA_1YR_RSQ", F562)</f>
        <v>1.307E-2</v>
      </c>
      <c r="T562">
        <f>_xll.ciqfunctions.udf.CIQ(A562, "IQ_VALUE_TRADED", F562)</f>
        <v>3.2785000000000002</v>
      </c>
    </row>
    <row r="563" spans="1:20" x14ac:dyDescent="0.3">
      <c r="A563" t="s">
        <v>1710</v>
      </c>
      <c r="B563">
        <v>5.91</v>
      </c>
      <c r="C563" t="s">
        <v>1711</v>
      </c>
      <c r="D563" t="s">
        <v>1712</v>
      </c>
      <c r="E563" t="s">
        <v>160</v>
      </c>
      <c r="F563" s="1">
        <v>45376</v>
      </c>
      <c r="G563" t="s">
        <v>1713</v>
      </c>
      <c r="H563">
        <v>314</v>
      </c>
      <c r="I563">
        <f>_xll.ciqfunctions.udf.CIQ(A563, "IQ_MARKETCAP", F563)</f>
        <v>1823.55549</v>
      </c>
      <c r="J563">
        <f>_xll.ciqfunctions.udf.CIQ(A563, "IQ_PRICE_VOL_HIST_6MTH", F563)</f>
        <v>56.470399999999998</v>
      </c>
      <c r="K563">
        <f>_xll.ciqfunctions.udf.CIQ(A563, "IQ_LASTSALEPRICE", WORKDAY(F563,-1))</f>
        <v>6.07</v>
      </c>
      <c r="L563">
        <f>_xll.ciqfunctions.udf.CIQ(A563, "IQ_LASTSALEPRICE", F563)</f>
        <v>5.91</v>
      </c>
      <c r="M563">
        <f>_xll.ciqfunctions.udf.CIQ(A563, "IQ_LASTSALEPRICE", WORKDAY(F563,5))</f>
        <v>6.05</v>
      </c>
      <c r="N563">
        <f t="shared" si="16"/>
        <v>-2.6712773653400058E-2</v>
      </c>
      <c r="O563">
        <f t="shared" si="17"/>
        <v>-3.3003330286568541E-3</v>
      </c>
      <c r="P563">
        <f>LN(_xll.ciqfunctions.udf.CIQ("XBI", "IQ_LASTSALEPRICE", WORKDAY(F563,-1))/_xll.ciqfunctions.udf.CIQ("XBI", "IQ_LASTSALEPRICE", WORKDAY(F563,1)))</f>
        <v>9.342349828237121E-3</v>
      </c>
      <c r="Q563">
        <f>LN(_xll.ciqfunctions.udf.CIQ("XBI", "IQ_LASTSALEPRICE", WORKDAY(F563,-1))/_xll.ciqfunctions.udf.CIQ("XBI", "IQ_LASTSALEPRICE", WORKDAY(F563,5)))</f>
        <v>-3.0948213165395105E-3</v>
      </c>
      <c r="R563">
        <f>_xll.ciqfunctions.udf.CIQ(A563, "IQ_SHORT_INTEREST_PERCENT", F563)</f>
        <v>0.59165999999999996</v>
      </c>
      <c r="S563">
        <f>_xll.ciqfunctions.udf.CIQ(A563, "IQ_BETA_1YR_RSQ", F563)</f>
        <v>2.4340000000000001E-2</v>
      </c>
      <c r="T563">
        <f>_xll.ciqfunctions.udf.CIQ(A563, "IQ_VALUE_TRADED", F563)</f>
        <v>5.2556200000000004</v>
      </c>
    </row>
    <row r="564" spans="1:20" x14ac:dyDescent="0.3">
      <c r="A564" t="s">
        <v>385</v>
      </c>
      <c r="B564">
        <v>961.09</v>
      </c>
      <c r="C564" t="s">
        <v>1714</v>
      </c>
      <c r="D564" t="s">
        <v>1715</v>
      </c>
      <c r="E564" t="s">
        <v>281</v>
      </c>
      <c r="F564" s="1">
        <v>45376</v>
      </c>
      <c r="G564" t="s">
        <v>1716</v>
      </c>
      <c r="H564">
        <v>105</v>
      </c>
      <c r="I564">
        <f>_xll.ciqfunctions.udf.CIQ(A564, "IQ_MARKETCAP", F564)</f>
        <v>103280.55362999999</v>
      </c>
      <c r="J564">
        <f>_xll.ciqfunctions.udf.CIQ(A564, "IQ_PRICE_VOL_HIST_6MTH", F564)</f>
        <v>16.9925</v>
      </c>
      <c r="K564">
        <f>_xll.ciqfunctions.udf.CIQ(A564, "IQ_LASTSALEPRICE", WORKDAY(F564,-1))</f>
        <v>967.24</v>
      </c>
      <c r="L564">
        <f>_xll.ciqfunctions.udf.CIQ(A564, "IQ_LASTSALEPRICE", F564)</f>
        <v>961.09</v>
      </c>
      <c r="M564">
        <f>_xll.ciqfunctions.udf.CIQ(A564, "IQ_LASTSALEPRICE", WORKDAY(F564,5))</f>
        <v>969.31</v>
      </c>
      <c r="N564">
        <f t="shared" si="16"/>
        <v>-6.3785979078506607E-3</v>
      </c>
      <c r="O564">
        <f t="shared" si="17"/>
        <v>2.1378232303577572E-3</v>
      </c>
      <c r="P564">
        <f>LN(_xll.ciqfunctions.udf.CIQ("XBI", "IQ_LASTSALEPRICE", WORKDAY(F564,-1))/_xll.ciqfunctions.udf.CIQ("XBI", "IQ_LASTSALEPRICE", WORKDAY(F564,1)))</f>
        <v>9.342349828237121E-3</v>
      </c>
      <c r="Q564">
        <f>LN(_xll.ciqfunctions.udf.CIQ("XBI", "IQ_LASTSALEPRICE", WORKDAY(F564,-1))/_xll.ciqfunctions.udf.CIQ("XBI", "IQ_LASTSALEPRICE", WORKDAY(F564,5)))</f>
        <v>-3.0948213165395105E-3</v>
      </c>
      <c r="R564">
        <f>_xll.ciqfunctions.udf.CIQ(A564, "IQ_SHORT_INTEREST_PERCENT", F564)</f>
        <v>1.26284</v>
      </c>
      <c r="S564">
        <f>_xll.ciqfunctions.udf.CIQ(A564, "IQ_BETA_1YR_RSQ", F564)</f>
        <v>9.9360000000000004E-2</v>
      </c>
      <c r="T564">
        <f>_xll.ciqfunctions.udf.CIQ(A564, "IQ_VALUE_TRADED", F564)</f>
        <v>309.74777</v>
      </c>
    </row>
    <row r="565" spans="1:20" x14ac:dyDescent="0.3">
      <c r="A565" t="s">
        <v>429</v>
      </c>
      <c r="B565">
        <v>16.25</v>
      </c>
      <c r="C565" t="s">
        <v>1714</v>
      </c>
      <c r="D565" t="s">
        <v>1715</v>
      </c>
      <c r="E565" t="s">
        <v>281</v>
      </c>
      <c r="F565" s="1">
        <v>45376</v>
      </c>
      <c r="G565" t="s">
        <v>1716</v>
      </c>
      <c r="H565">
        <v>109</v>
      </c>
      <c r="I565">
        <f>_xll.ciqfunctions.udf.CIQ(A565, "IQ_MARKETCAP", F565)</f>
        <v>1604.15975</v>
      </c>
      <c r="J565">
        <f>_xll.ciqfunctions.udf.CIQ(A565, "IQ_PRICE_VOL_HIST_6MTH", F565)</f>
        <v>58.755099999999999</v>
      </c>
      <c r="K565">
        <f>_xll.ciqfunctions.udf.CIQ(A565, "IQ_LASTSALEPRICE", WORKDAY(F565,-1))</f>
        <v>16.18</v>
      </c>
      <c r="L565">
        <f>_xll.ciqfunctions.udf.CIQ(A565, "IQ_LASTSALEPRICE", F565)</f>
        <v>16.25</v>
      </c>
      <c r="M565">
        <f>_xll.ciqfunctions.udf.CIQ(A565, "IQ_LASTSALEPRICE", WORKDAY(F565,5))</f>
        <v>16.72</v>
      </c>
      <c r="N565">
        <f t="shared" si="16"/>
        <v>4.3169971454009182E-3</v>
      </c>
      <c r="O565">
        <f t="shared" si="17"/>
        <v>3.2829696026209901E-2</v>
      </c>
      <c r="P565">
        <f>LN(_xll.ciqfunctions.udf.CIQ("XBI", "IQ_LASTSALEPRICE", WORKDAY(F565,-1))/_xll.ciqfunctions.udf.CIQ("XBI", "IQ_LASTSALEPRICE", WORKDAY(F565,1)))</f>
        <v>9.342349828237121E-3</v>
      </c>
      <c r="Q565">
        <f>LN(_xll.ciqfunctions.udf.CIQ("XBI", "IQ_LASTSALEPRICE", WORKDAY(F565,-1))/_xll.ciqfunctions.udf.CIQ("XBI", "IQ_LASTSALEPRICE", WORKDAY(F565,5)))</f>
        <v>-3.0948213165395105E-3</v>
      </c>
      <c r="R565">
        <f>_xll.ciqfunctions.udf.CIQ(A565, "IQ_SHORT_INTEREST_PERCENT", F565)</f>
        <v>4.1167100000000003</v>
      </c>
      <c r="S565">
        <f>_xll.ciqfunctions.udf.CIQ(A565, "IQ_BETA_1YR_RSQ", F565)</f>
        <v>0.10484</v>
      </c>
      <c r="T565">
        <f>_xll.ciqfunctions.udf.CIQ(A565, "IQ_VALUE_TRADED", F565)</f>
        <v>10.308009999999999</v>
      </c>
    </row>
    <row r="566" spans="1:20" x14ac:dyDescent="0.3">
      <c r="A566" t="s">
        <v>1717</v>
      </c>
      <c r="B566">
        <v>62.18</v>
      </c>
      <c r="C566" t="s">
        <v>1718</v>
      </c>
      <c r="D566" t="s">
        <v>1719</v>
      </c>
      <c r="E566" t="s">
        <v>76</v>
      </c>
      <c r="F566" s="1">
        <v>45377</v>
      </c>
      <c r="G566" t="s">
        <v>1720</v>
      </c>
      <c r="H566">
        <v>21</v>
      </c>
      <c r="I566">
        <f>_xll.ciqfunctions.udf.CIQ(A566, "IQ_MARKETCAP", F566)</f>
        <v>823.16053999999997</v>
      </c>
      <c r="J566">
        <f>_xll.ciqfunctions.udf.CIQ(A566, "IQ_PRICE_VOL_HIST_6MTH", F566)</f>
        <v>107.32769999999999</v>
      </c>
      <c r="K566">
        <f>_xll.ciqfunctions.udf.CIQ(A566, "IQ_LASTSALEPRICE", WORKDAY(F566,-1))</f>
        <v>50.5</v>
      </c>
      <c r="L566">
        <f>_xll.ciqfunctions.udf.CIQ(A566, "IQ_LASTSALEPRICE", F566)</f>
        <v>62.18</v>
      </c>
      <c r="M566">
        <f>_xll.ciqfunctions.udf.CIQ(A566, "IQ_LASTSALEPRICE", WORKDAY(F566,5))</f>
        <v>55.57</v>
      </c>
      <c r="N566">
        <f t="shared" si="16"/>
        <v>0.20806006834929361</v>
      </c>
      <c r="O566">
        <f t="shared" si="17"/>
        <v>9.5670151010515819E-2</v>
      </c>
      <c r="P566">
        <f>LN(_xll.ciqfunctions.udf.CIQ("XBI", "IQ_LASTSALEPRICE", WORKDAY(F566,-1))/_xll.ciqfunctions.udf.CIQ("XBI", "IQ_LASTSALEPRICE", WORKDAY(F566,1)))</f>
        <v>-2.3884278543800746E-2</v>
      </c>
      <c r="Q566">
        <f>LN(_xll.ciqfunctions.udf.CIQ("XBI", "IQ_LASTSALEPRICE", WORKDAY(F566,-1))/_xll.ciqfunctions.udf.CIQ("XBI", "IQ_LASTSALEPRICE", WORKDAY(F566,5)))</f>
        <v>2.1707969959271795E-2</v>
      </c>
      <c r="R566">
        <f>_xll.ciqfunctions.udf.CIQ(A566, "IQ_SHORT_INTEREST_PERCENT", F566)</f>
        <v>3.09213</v>
      </c>
      <c r="S566">
        <f>_xll.ciqfunctions.udf.CIQ(A566, "IQ_BETA_1YR_RSQ", F566)</f>
        <v>7.45E-3</v>
      </c>
      <c r="T566">
        <f>_xll.ciqfunctions.udf.CIQ(A566, "IQ_VALUE_TRADED", F566)</f>
        <v>51.356200000000001</v>
      </c>
    </row>
    <row r="567" spans="1:20" x14ac:dyDescent="0.3">
      <c r="A567" t="s">
        <v>1178</v>
      </c>
      <c r="B567">
        <v>1.06</v>
      </c>
      <c r="C567" t="s">
        <v>1179</v>
      </c>
      <c r="D567" t="s">
        <v>1180</v>
      </c>
      <c r="E567" t="s">
        <v>17</v>
      </c>
      <c r="F567" s="1">
        <v>45377</v>
      </c>
      <c r="G567" t="s">
        <v>1721</v>
      </c>
      <c r="H567">
        <v>105</v>
      </c>
      <c r="I567">
        <f>_xll.ciqfunctions.udf.CIQ(A567, "IQ_MARKETCAP", F567)</f>
        <v>58.454909999999998</v>
      </c>
      <c r="J567">
        <f>_xll.ciqfunctions.udf.CIQ(A567, "IQ_PRICE_VOL_HIST_6MTH", F567)</f>
        <v>125.4697</v>
      </c>
      <c r="K567">
        <f>_xll.ciqfunctions.udf.CIQ(A567, "IQ_LASTSALEPRICE", WORKDAY(F567,-1))</f>
        <v>1.04</v>
      </c>
      <c r="L567">
        <f>_xll.ciqfunctions.udf.CIQ(A567, "IQ_LASTSALEPRICE", F567)</f>
        <v>1.06</v>
      </c>
      <c r="M567">
        <f>_xll.ciqfunctions.udf.CIQ(A567, "IQ_LASTSALEPRICE", WORKDAY(F567,5))</f>
        <v>1.18</v>
      </c>
      <c r="N567">
        <f t="shared" si="16"/>
        <v>1.9048194970694411E-2</v>
      </c>
      <c r="O567">
        <f t="shared" si="17"/>
        <v>0.12629372532429206</v>
      </c>
      <c r="P567">
        <f>LN(_xll.ciqfunctions.udf.CIQ("XBI", "IQ_LASTSALEPRICE", WORKDAY(F567,-1))/_xll.ciqfunctions.udf.CIQ("XBI", "IQ_LASTSALEPRICE", WORKDAY(F567,1)))</f>
        <v>-2.3884278543800746E-2</v>
      </c>
      <c r="Q567">
        <f>LN(_xll.ciqfunctions.udf.CIQ("XBI", "IQ_LASTSALEPRICE", WORKDAY(F567,-1))/_xll.ciqfunctions.udf.CIQ("XBI", "IQ_LASTSALEPRICE", WORKDAY(F567,5)))</f>
        <v>2.1707969959271795E-2</v>
      </c>
      <c r="R567">
        <f>_xll.ciqfunctions.udf.CIQ(A567, "IQ_SHORT_INTEREST_PERCENT", F567)</f>
        <v>9.3931100000000001</v>
      </c>
      <c r="S567">
        <f>_xll.ciqfunctions.udf.CIQ(A567, "IQ_BETA_1YR_RSQ", F567)</f>
        <v>8.9160000000000003E-2</v>
      </c>
      <c r="T567">
        <f>_xll.ciqfunctions.udf.CIQ(A567, "IQ_VALUE_TRADED", F567)</f>
        <v>4.4373199999999997</v>
      </c>
    </row>
    <row r="568" spans="1:20" x14ac:dyDescent="0.3">
      <c r="A568" t="s">
        <v>1722</v>
      </c>
      <c r="B568" t="s">
        <v>43</v>
      </c>
      <c r="C568" t="s">
        <v>1723</v>
      </c>
      <c r="D568" t="s">
        <v>1724</v>
      </c>
      <c r="E568" t="s">
        <v>97</v>
      </c>
      <c r="F568" s="1">
        <v>45377</v>
      </c>
      <c r="G568" t="s">
        <v>1725</v>
      </c>
      <c r="H568">
        <v>18</v>
      </c>
      <c r="I568">
        <f>_xll.ciqfunctions.udf.CIQ(A568, "IQ_MARKETCAP", F568)</f>
        <v>0</v>
      </c>
      <c r="J568">
        <f>_xll.ciqfunctions.udf.CIQ(A568, "IQ_PRICE_VOL_HIST_6MTH", F568)</f>
        <v>0</v>
      </c>
      <c r="K568">
        <f>_xll.ciqfunctions.udf.CIQ(A568, "IQ_LASTSALEPRICE", WORKDAY(F568,-1))</f>
        <v>0</v>
      </c>
      <c r="L568">
        <f>_xll.ciqfunctions.udf.CIQ(A568, "IQ_LASTSALEPRICE", F568)</f>
        <v>0</v>
      </c>
      <c r="M568">
        <f>_xll.ciqfunctions.udf.CIQ(A568, "IQ_LASTSALEPRICE", WORKDAY(F568,5))</f>
        <v>0</v>
      </c>
      <c r="N568" t="e">
        <f t="shared" si="16"/>
        <v>#DIV/0!</v>
      </c>
      <c r="O568" t="e">
        <f t="shared" si="17"/>
        <v>#DIV/0!</v>
      </c>
      <c r="P568">
        <f>LN(_xll.ciqfunctions.udf.CIQ("XBI", "IQ_LASTSALEPRICE", WORKDAY(F568,-1))/_xll.ciqfunctions.udf.CIQ("XBI", "IQ_LASTSALEPRICE", WORKDAY(F568,1)))</f>
        <v>-2.3884278543800746E-2</v>
      </c>
      <c r="Q568">
        <f>LN(_xll.ciqfunctions.udf.CIQ("XBI", "IQ_LASTSALEPRICE", WORKDAY(F568,-1))/_xll.ciqfunctions.udf.CIQ("XBI", "IQ_LASTSALEPRICE", WORKDAY(F568,5)))</f>
        <v>2.1707969959271795E-2</v>
      </c>
      <c r="R568">
        <f>_xll.ciqfunctions.udf.CIQ(A568, "IQ_SHORT_INTEREST_PERCENT", F568)</f>
        <v>0</v>
      </c>
      <c r="S568">
        <f>_xll.ciqfunctions.udf.CIQ(A568, "IQ_BETA_1YR_RSQ", F568)</f>
        <v>0</v>
      </c>
      <c r="T568">
        <f>_xll.ciqfunctions.udf.CIQ(A568, "IQ_VALUE_TRADED", F568)</f>
        <v>0</v>
      </c>
    </row>
    <row r="569" spans="1:20" x14ac:dyDescent="0.3">
      <c r="A569" t="s">
        <v>1088</v>
      </c>
      <c r="B569">
        <v>80.83</v>
      </c>
      <c r="C569" t="s">
        <v>1726</v>
      </c>
      <c r="D569" t="s">
        <v>1727</v>
      </c>
      <c r="E569" t="s">
        <v>22</v>
      </c>
      <c r="F569" s="1">
        <v>45377</v>
      </c>
      <c r="G569" t="s">
        <v>1728</v>
      </c>
      <c r="H569">
        <v>113</v>
      </c>
      <c r="I569">
        <f>_xll.ciqfunctions.udf.CIQ(A569, "IQ_MARKETCAP", F569)</f>
        <v>8839.26908</v>
      </c>
      <c r="J569">
        <f>_xll.ciqfunctions.udf.CIQ(A569, "IQ_PRICE_VOL_HIST_6MTH", F569)</f>
        <v>144.54140000000001</v>
      </c>
      <c r="K569">
        <f>_xll.ciqfunctions.udf.CIQ(A569, "IQ_LASTSALEPRICE", WORKDAY(F569,-1))</f>
        <v>69.19</v>
      </c>
      <c r="L569">
        <f>_xll.ciqfunctions.udf.CIQ(A569, "IQ_LASTSALEPRICE", F569)</f>
        <v>80.83</v>
      </c>
      <c r="M569">
        <f>_xll.ciqfunctions.udf.CIQ(A569, "IQ_LASTSALEPRICE", WORKDAY(F569,5))</f>
        <v>77.349999999999994</v>
      </c>
      <c r="N569">
        <f t="shared" si="16"/>
        <v>0.15549184023503335</v>
      </c>
      <c r="O569">
        <f t="shared" si="17"/>
        <v>0.1114842335083553</v>
      </c>
      <c r="P569">
        <f>LN(_xll.ciqfunctions.udf.CIQ("XBI", "IQ_LASTSALEPRICE", WORKDAY(F569,-1))/_xll.ciqfunctions.udf.CIQ("XBI", "IQ_LASTSALEPRICE", WORKDAY(F569,1)))</f>
        <v>-2.3884278543800746E-2</v>
      </c>
      <c r="Q569">
        <f>LN(_xll.ciqfunctions.udf.CIQ("XBI", "IQ_LASTSALEPRICE", WORKDAY(F569,-1))/_xll.ciqfunctions.udf.CIQ("XBI", "IQ_LASTSALEPRICE", WORKDAY(F569,5)))</f>
        <v>2.1707969959271795E-2</v>
      </c>
      <c r="R569">
        <f>_xll.ciqfunctions.udf.CIQ(A569, "IQ_SHORT_INTEREST_PERCENT", F569)</f>
        <v>10.188599999999999</v>
      </c>
      <c r="S569">
        <f>_xll.ciqfunctions.udf.CIQ(A569, "IQ_BETA_1YR_RSQ", F569)</f>
        <v>8.294E-2</v>
      </c>
      <c r="T569">
        <f>_xll.ciqfunctions.udf.CIQ(A569, "IQ_VALUE_TRADED", F569)</f>
        <v>1581.4686200000001</v>
      </c>
    </row>
    <row r="570" spans="1:20" x14ac:dyDescent="0.3">
      <c r="A570" t="s">
        <v>1566</v>
      </c>
      <c r="B570">
        <v>1.74</v>
      </c>
      <c r="C570" t="s">
        <v>1729</v>
      </c>
      <c r="D570" t="s">
        <v>1730</v>
      </c>
      <c r="E570" t="s">
        <v>160</v>
      </c>
      <c r="F570" s="1">
        <v>45377</v>
      </c>
      <c r="G570" t="s">
        <v>1731</v>
      </c>
      <c r="H570">
        <v>191</v>
      </c>
      <c r="I570">
        <f>_xll.ciqfunctions.udf.CIQ(A570, "IQ_MARKETCAP", F570)</f>
        <v>315.43194</v>
      </c>
      <c r="J570">
        <f>_xll.ciqfunctions.udf.CIQ(A570, "IQ_PRICE_VOL_HIST_6MTH", F570)</f>
        <v>84.709500000000006</v>
      </c>
      <c r="K570">
        <f>_xll.ciqfunctions.udf.CIQ(A570, "IQ_LASTSALEPRICE", WORKDAY(F570,-1))</f>
        <v>1.75</v>
      </c>
      <c r="L570">
        <f>_xll.ciqfunctions.udf.CIQ(A570, "IQ_LASTSALEPRICE", F570)</f>
        <v>1.74</v>
      </c>
      <c r="M570">
        <f>_xll.ciqfunctions.udf.CIQ(A570, "IQ_LASTSALEPRICE", WORKDAY(F570,5))</f>
        <v>1.76</v>
      </c>
      <c r="N570">
        <f t="shared" si="16"/>
        <v>-5.7306747089849834E-3</v>
      </c>
      <c r="O570">
        <f t="shared" si="17"/>
        <v>5.6980211146377959E-3</v>
      </c>
      <c r="P570">
        <f>LN(_xll.ciqfunctions.udf.CIQ("XBI", "IQ_LASTSALEPRICE", WORKDAY(F570,-1))/_xll.ciqfunctions.udf.CIQ("XBI", "IQ_LASTSALEPRICE", WORKDAY(F570,1)))</f>
        <v>-2.3884278543800746E-2</v>
      </c>
      <c r="Q570">
        <f>LN(_xll.ciqfunctions.udf.CIQ("XBI", "IQ_LASTSALEPRICE", WORKDAY(F570,-1))/_xll.ciqfunctions.udf.CIQ("XBI", "IQ_LASTSALEPRICE", WORKDAY(F570,5)))</f>
        <v>2.1707969959271795E-2</v>
      </c>
      <c r="R570">
        <f>_xll.ciqfunctions.udf.CIQ(A570, "IQ_SHORT_INTEREST_PERCENT", F570)</f>
        <v>2.7954400000000001</v>
      </c>
      <c r="S570">
        <f>_xll.ciqfunctions.udf.CIQ(A570, "IQ_BETA_1YR_RSQ", F570)</f>
        <v>0.35106999999999999</v>
      </c>
      <c r="T570">
        <f>_xll.ciqfunctions.udf.CIQ(A570, "IQ_VALUE_TRADED", F570)</f>
        <v>2.8993899999999999</v>
      </c>
    </row>
    <row r="571" spans="1:20" x14ac:dyDescent="0.3">
      <c r="A571" t="s">
        <v>1732</v>
      </c>
      <c r="B571" t="s">
        <v>43</v>
      </c>
      <c r="C571" t="s">
        <v>1733</v>
      </c>
      <c r="D571" t="s">
        <v>1734</v>
      </c>
      <c r="E571" t="s">
        <v>22</v>
      </c>
      <c r="F571" s="1">
        <v>45377</v>
      </c>
      <c r="G571" t="s">
        <v>1735</v>
      </c>
      <c r="H571">
        <v>35</v>
      </c>
      <c r="I571">
        <f>_xll.ciqfunctions.udf.CIQ(A571, "IQ_MARKETCAP", F571)</f>
        <v>25.718630000000001</v>
      </c>
      <c r="J571">
        <f>_xll.ciqfunctions.udf.CIQ(A571, "IQ_PRICE_VOL_HIST_6MTH", F571)</f>
        <v>59.607399999999998</v>
      </c>
      <c r="K571">
        <f>_xll.ciqfunctions.udf.CIQ(A571, "IQ_LASTSALEPRICE", WORKDAY(F571,-1))</f>
        <v>3.8719999999999999</v>
      </c>
      <c r="L571">
        <f>_xll.ciqfunctions.udf.CIQ(A571, "IQ_LASTSALEPRICE", F571)</f>
        <v>3.86</v>
      </c>
      <c r="M571">
        <f>_xll.ciqfunctions.udf.CIQ(A571, "IQ_LASTSALEPRICE", WORKDAY(F571,5))</f>
        <v>4</v>
      </c>
      <c r="N571">
        <f t="shared" si="16"/>
        <v>-3.1039859375911073E-3</v>
      </c>
      <c r="O571">
        <f t="shared" si="17"/>
        <v>3.2523191705560145E-2</v>
      </c>
      <c r="P571">
        <f>LN(_xll.ciqfunctions.udf.CIQ("XBI", "IQ_LASTSALEPRICE", WORKDAY(F571,-1))/_xll.ciqfunctions.udf.CIQ("XBI", "IQ_LASTSALEPRICE", WORKDAY(F571,1)))</f>
        <v>-2.3884278543800746E-2</v>
      </c>
      <c r="Q571">
        <f>LN(_xll.ciqfunctions.udf.CIQ("XBI", "IQ_LASTSALEPRICE", WORKDAY(F571,-1))/_xll.ciqfunctions.udf.CIQ("XBI", "IQ_LASTSALEPRICE", WORKDAY(F571,5)))</f>
        <v>2.1707969959271795E-2</v>
      </c>
      <c r="R571">
        <f>_xll.ciqfunctions.udf.CIQ(A571, "IQ_SHORT_INTEREST_PERCENT", F571)</f>
        <v>0.13652</v>
      </c>
      <c r="S571">
        <f>_xll.ciqfunctions.udf.CIQ(A571, "IQ_BETA_1YR_RSQ", F571)</f>
        <v>3.5060000000000001E-2</v>
      </c>
      <c r="T571">
        <f>_xll.ciqfunctions.udf.CIQ(A571, "IQ_VALUE_TRADED", F571)</f>
        <v>9.8339999999999997E-2</v>
      </c>
    </row>
    <row r="572" spans="1:20" x14ac:dyDescent="0.3">
      <c r="A572" t="s">
        <v>1736</v>
      </c>
      <c r="B572">
        <v>3.86</v>
      </c>
      <c r="C572" t="s">
        <v>1733</v>
      </c>
      <c r="D572" t="s">
        <v>1734</v>
      </c>
      <c r="E572" t="s">
        <v>22</v>
      </c>
      <c r="F572" s="1">
        <v>45377</v>
      </c>
      <c r="G572" t="s">
        <v>1735</v>
      </c>
      <c r="H572">
        <v>6</v>
      </c>
      <c r="I572">
        <f>_xll.ciqfunctions.udf.CIQ(A572, "IQ_MARKETCAP", F572)</f>
        <v>25.718630000000001</v>
      </c>
      <c r="J572">
        <f>_xll.ciqfunctions.udf.CIQ(A572, "IQ_PRICE_VOL_HIST_6MTH", F572)</f>
        <v>0</v>
      </c>
      <c r="K572">
        <f>_xll.ciqfunctions.udf.CIQ(A572, "IQ_LASTSALEPRICE", WORKDAY(F572,-1))</f>
        <v>0</v>
      </c>
      <c r="L572">
        <f>_xll.ciqfunctions.udf.CIQ(A572, "IQ_LASTSALEPRICE", F572)</f>
        <v>0</v>
      </c>
      <c r="M572">
        <f>_xll.ciqfunctions.udf.CIQ(A572, "IQ_LASTSALEPRICE", WORKDAY(F572,5))</f>
        <v>0</v>
      </c>
      <c r="N572" t="e">
        <f t="shared" si="16"/>
        <v>#DIV/0!</v>
      </c>
      <c r="O572" t="e">
        <f t="shared" si="17"/>
        <v>#DIV/0!</v>
      </c>
      <c r="P572">
        <f>LN(_xll.ciqfunctions.udf.CIQ("XBI", "IQ_LASTSALEPRICE", WORKDAY(F572,-1))/_xll.ciqfunctions.udf.CIQ("XBI", "IQ_LASTSALEPRICE", WORKDAY(F572,1)))</f>
        <v>-2.3884278543800746E-2</v>
      </c>
      <c r="Q572">
        <f>LN(_xll.ciqfunctions.udf.CIQ("XBI", "IQ_LASTSALEPRICE", WORKDAY(F572,-1))/_xll.ciqfunctions.udf.CIQ("XBI", "IQ_LASTSALEPRICE", WORKDAY(F572,5)))</f>
        <v>2.1707969959271795E-2</v>
      </c>
      <c r="R572">
        <f>_xll.ciqfunctions.udf.CIQ(A572, "IQ_SHORT_INTEREST_PERCENT", F572)</f>
        <v>0</v>
      </c>
      <c r="S572">
        <f>_xll.ciqfunctions.udf.CIQ(A572, "IQ_BETA_1YR_RSQ", F572)</f>
        <v>0</v>
      </c>
      <c r="T572">
        <f>_xll.ciqfunctions.udf.CIQ(A572, "IQ_VALUE_TRADED", F572)</f>
        <v>0</v>
      </c>
    </row>
    <row r="573" spans="1:20" x14ac:dyDescent="0.3">
      <c r="A573" t="s">
        <v>1703</v>
      </c>
      <c r="B573">
        <v>10.29</v>
      </c>
      <c r="C573" t="s">
        <v>1737</v>
      </c>
      <c r="D573" t="s">
        <v>1738</v>
      </c>
      <c r="E573" t="s">
        <v>17</v>
      </c>
      <c r="F573" s="1">
        <v>45377</v>
      </c>
      <c r="G573" t="s">
        <v>1739</v>
      </c>
      <c r="H573">
        <v>54</v>
      </c>
      <c r="I573">
        <f>_xll.ciqfunctions.udf.CIQ(A573, "IQ_MARKETCAP", F573)</f>
        <v>476.46552000000003</v>
      </c>
      <c r="J573">
        <f>_xll.ciqfunctions.udf.CIQ(A573, "IQ_PRICE_VOL_HIST_6MTH", F573)</f>
        <v>109.48439999999999</v>
      </c>
      <c r="K573">
        <f>_xll.ciqfunctions.udf.CIQ(A573, "IQ_LASTSALEPRICE", WORKDAY(F573,-1))</f>
        <v>6.5</v>
      </c>
      <c r="L573">
        <f>_xll.ciqfunctions.udf.CIQ(A573, "IQ_LASTSALEPRICE", F573)</f>
        <v>10.29</v>
      </c>
      <c r="M573">
        <f>_xll.ciqfunctions.udf.CIQ(A573, "IQ_LASTSALEPRICE", WORKDAY(F573,5))</f>
        <v>13.08</v>
      </c>
      <c r="N573">
        <f t="shared" si="16"/>
        <v>0.45937037294436678</v>
      </c>
      <c r="O573">
        <f t="shared" si="17"/>
        <v>0.69928216912746122</v>
      </c>
      <c r="P573">
        <f>LN(_xll.ciqfunctions.udf.CIQ("XBI", "IQ_LASTSALEPRICE", WORKDAY(F573,-1))/_xll.ciqfunctions.udf.CIQ("XBI", "IQ_LASTSALEPRICE", WORKDAY(F573,1)))</f>
        <v>-2.3884278543800746E-2</v>
      </c>
      <c r="Q573">
        <f>LN(_xll.ciqfunctions.udf.CIQ("XBI", "IQ_LASTSALEPRICE", WORKDAY(F573,-1))/_xll.ciqfunctions.udf.CIQ("XBI", "IQ_LASTSALEPRICE", WORKDAY(F573,5)))</f>
        <v>2.1707969959271795E-2</v>
      </c>
      <c r="R573">
        <f>_xll.ciqfunctions.udf.CIQ(A573, "IQ_SHORT_INTEREST_PERCENT", F573)</f>
        <v>7.6746100000000004</v>
      </c>
      <c r="S573">
        <f>_xll.ciqfunctions.udf.CIQ(A573, "IQ_BETA_1YR_RSQ", F573)</f>
        <v>9.98E-2</v>
      </c>
      <c r="T573">
        <f>_xll.ciqfunctions.udf.CIQ(A573, "IQ_VALUE_TRADED", F573)</f>
        <v>200.33613</v>
      </c>
    </row>
    <row r="574" spans="1:20" x14ac:dyDescent="0.3">
      <c r="A574" t="s">
        <v>1025</v>
      </c>
      <c r="B574">
        <v>8.1199999999999992</v>
      </c>
      <c r="C574" t="s">
        <v>1740</v>
      </c>
      <c r="D574" t="s">
        <v>1741</v>
      </c>
      <c r="E574" t="s">
        <v>22</v>
      </c>
      <c r="F574" s="1">
        <v>45377</v>
      </c>
      <c r="G574" t="s">
        <v>1742</v>
      </c>
      <c r="H574">
        <v>31</v>
      </c>
      <c r="I574">
        <f>_xll.ciqfunctions.udf.CIQ(A574, "IQ_MARKETCAP", F574)</f>
        <v>225.44557</v>
      </c>
      <c r="J574">
        <f>_xll.ciqfunctions.udf.CIQ(A574, "IQ_PRICE_VOL_HIST_6MTH", F574)</f>
        <v>85.868499999999997</v>
      </c>
      <c r="K574">
        <f>_xll.ciqfunctions.udf.CIQ(A574, "IQ_LASTSALEPRICE", WORKDAY(F574,-1))</f>
        <v>8.67</v>
      </c>
      <c r="L574">
        <f>_xll.ciqfunctions.udf.CIQ(A574, "IQ_LASTSALEPRICE", F574)</f>
        <v>8.1199999999999992</v>
      </c>
      <c r="M574">
        <f>_xll.ciqfunctions.udf.CIQ(A574, "IQ_LASTSALEPRICE", WORKDAY(F574,5))</f>
        <v>8.6</v>
      </c>
      <c r="N574">
        <f t="shared" si="16"/>
        <v>-6.5538636618864027E-2</v>
      </c>
      <c r="O574">
        <f t="shared" si="17"/>
        <v>-8.1065875329884851E-3</v>
      </c>
      <c r="P574">
        <f>LN(_xll.ciqfunctions.udf.CIQ("XBI", "IQ_LASTSALEPRICE", WORKDAY(F574,-1))/_xll.ciqfunctions.udf.CIQ("XBI", "IQ_LASTSALEPRICE", WORKDAY(F574,1)))</f>
        <v>-2.3884278543800746E-2</v>
      </c>
      <c r="Q574">
        <f>LN(_xll.ciqfunctions.udf.CIQ("XBI", "IQ_LASTSALEPRICE", WORKDAY(F574,-1))/_xll.ciqfunctions.udf.CIQ("XBI", "IQ_LASTSALEPRICE", WORKDAY(F574,5)))</f>
        <v>2.1707969959271795E-2</v>
      </c>
      <c r="R574">
        <f>_xll.ciqfunctions.udf.CIQ(A574, "IQ_SHORT_INTEREST_PERCENT", F574)</f>
        <v>6.5673599999999999</v>
      </c>
      <c r="S574">
        <f>_xll.ciqfunctions.udf.CIQ(A574, "IQ_BETA_1YR_RSQ", F574)</f>
        <v>2.2179999999999998E-2</v>
      </c>
      <c r="T574">
        <f>_xll.ciqfunctions.udf.CIQ(A574, "IQ_VALUE_TRADED", F574)</f>
        <v>4.59985</v>
      </c>
    </row>
    <row r="575" spans="1:20" x14ac:dyDescent="0.3">
      <c r="A575" t="s">
        <v>1743</v>
      </c>
      <c r="B575">
        <v>5.72</v>
      </c>
      <c r="C575" t="s">
        <v>1744</v>
      </c>
      <c r="D575" t="s">
        <v>1745</v>
      </c>
      <c r="E575" t="s">
        <v>76</v>
      </c>
      <c r="F575" s="1">
        <v>45377</v>
      </c>
      <c r="G575" t="s">
        <v>1746</v>
      </c>
      <c r="H575">
        <v>56</v>
      </c>
      <c r="I575">
        <f>_xll.ciqfunctions.udf.CIQ(A575, "IQ_MARKETCAP", F575)</f>
        <v>237.29656</v>
      </c>
      <c r="J575">
        <f>_xll.ciqfunctions.udf.CIQ(A575, "IQ_PRICE_VOL_HIST_6MTH", F575)</f>
        <v>54.909799999999997</v>
      </c>
      <c r="K575">
        <f>_xll.ciqfunctions.udf.CIQ(A575, "IQ_LASTSALEPRICE", WORKDAY(F575,-1))</f>
        <v>5.64</v>
      </c>
      <c r="L575">
        <f>_xll.ciqfunctions.udf.CIQ(A575, "IQ_LASTSALEPRICE", F575)</f>
        <v>5.72</v>
      </c>
      <c r="M575">
        <f>_xll.ciqfunctions.udf.CIQ(A575, "IQ_LASTSALEPRICE", WORKDAY(F575,5))</f>
        <v>5.1150000000000002</v>
      </c>
      <c r="N575">
        <f t="shared" si="16"/>
        <v>1.4084739881739023E-2</v>
      </c>
      <c r="O575">
        <f t="shared" si="17"/>
        <v>-9.7706666106377613E-2</v>
      </c>
      <c r="P575">
        <f>LN(_xll.ciqfunctions.udf.CIQ("XBI", "IQ_LASTSALEPRICE", WORKDAY(F575,-1))/_xll.ciqfunctions.udf.CIQ("XBI", "IQ_LASTSALEPRICE", WORKDAY(F575,1)))</f>
        <v>-2.3884278543800746E-2</v>
      </c>
      <c r="Q575">
        <f>LN(_xll.ciqfunctions.udf.CIQ("XBI", "IQ_LASTSALEPRICE", WORKDAY(F575,-1))/_xll.ciqfunctions.udf.CIQ("XBI", "IQ_LASTSALEPRICE", WORKDAY(F575,5)))</f>
        <v>2.1707969959271795E-2</v>
      </c>
      <c r="R575">
        <f>_xll.ciqfunctions.udf.CIQ(A575, "IQ_SHORT_INTEREST_PERCENT", F575)</f>
        <v>5.1401899999999996</v>
      </c>
      <c r="S575">
        <f>_xll.ciqfunctions.udf.CIQ(A575, "IQ_BETA_1YR_RSQ", F575)</f>
        <v>4.863E-2</v>
      </c>
      <c r="T575">
        <f>_xll.ciqfunctions.udf.CIQ(A575, "IQ_VALUE_TRADED", F575)</f>
        <v>1.0778300000000001</v>
      </c>
    </row>
    <row r="576" spans="1:20" x14ac:dyDescent="0.3">
      <c r="A576" t="s">
        <v>130</v>
      </c>
      <c r="B576">
        <v>124.77</v>
      </c>
      <c r="C576" t="s">
        <v>1747</v>
      </c>
      <c r="D576" t="s">
        <v>1748</v>
      </c>
      <c r="E576" t="s">
        <v>160</v>
      </c>
      <c r="F576" s="1">
        <v>45377</v>
      </c>
      <c r="G576" t="s">
        <v>1749</v>
      </c>
      <c r="I576">
        <f>_xll.ciqfunctions.udf.CIQ(A576, "IQ_MARKETCAP", F576)</f>
        <v>317897.45880999998</v>
      </c>
      <c r="J576">
        <f>_xll.ciqfunctions.udf.CIQ(A576, "IQ_PRICE_VOL_HIST_6MTH", F576)</f>
        <v>16.1371</v>
      </c>
      <c r="K576">
        <f>_xll.ciqfunctions.udf.CIQ(A576, "IQ_LASTSALEPRICE", WORKDAY(F576,-1))</f>
        <v>125.31</v>
      </c>
      <c r="L576">
        <f>_xll.ciqfunctions.udf.CIQ(A576, "IQ_LASTSALEPRICE", F576)</f>
        <v>125.52</v>
      </c>
      <c r="M576">
        <f>_xll.ciqfunctions.udf.CIQ(A576, "IQ_LASTSALEPRICE", WORKDAY(F576,5))</f>
        <v>130.35</v>
      </c>
      <c r="N576">
        <f t="shared" si="16"/>
        <v>1.674441247583413E-3</v>
      </c>
      <c r="O576">
        <f t="shared" si="17"/>
        <v>3.943247320231693E-2</v>
      </c>
      <c r="P576">
        <f>LN(_xll.ciqfunctions.udf.CIQ("XBI", "IQ_LASTSALEPRICE", WORKDAY(F576,-1))/_xll.ciqfunctions.udf.CIQ("XBI", "IQ_LASTSALEPRICE", WORKDAY(F576,1)))</f>
        <v>-2.3884278543800746E-2</v>
      </c>
      <c r="Q576">
        <f>LN(_xll.ciqfunctions.udf.CIQ("XBI", "IQ_LASTSALEPRICE", WORKDAY(F576,-1))/_xll.ciqfunctions.udf.CIQ("XBI", "IQ_LASTSALEPRICE", WORKDAY(F576,5)))</f>
        <v>2.1707969959271795E-2</v>
      </c>
      <c r="R576">
        <f>_xll.ciqfunctions.udf.CIQ(A576, "IQ_SHORT_INTEREST_PERCENT", F576)</f>
        <v>0.9143</v>
      </c>
      <c r="S576">
        <f>_xll.ciqfunctions.udf.CIQ(A576, "IQ_BETA_1YR_RSQ", F576)</f>
        <v>9.8999999999999999E-4</v>
      </c>
      <c r="T576">
        <f>_xll.ciqfunctions.udf.CIQ(A576, "IQ_VALUE_TRADED", F576)</f>
        <v>1112.6597400000001</v>
      </c>
    </row>
    <row r="577" spans="1:20" x14ac:dyDescent="0.3">
      <c r="A577" t="s">
        <v>173</v>
      </c>
      <c r="B577">
        <v>398.59</v>
      </c>
      <c r="C577" t="s">
        <v>1750</v>
      </c>
      <c r="D577" t="s">
        <v>1751</v>
      </c>
      <c r="E577" t="s">
        <v>76</v>
      </c>
      <c r="F577" s="1">
        <v>45378</v>
      </c>
      <c r="G577" t="s">
        <v>1752</v>
      </c>
      <c r="H577">
        <v>60</v>
      </c>
      <c r="I577">
        <f>_xll.ciqfunctions.udf.CIQ(A577, "IQ_MARKETCAP", F577)</f>
        <v>21866.124759999999</v>
      </c>
      <c r="J577">
        <f>_xll.ciqfunctions.udf.CIQ(A577, "IQ_PRICE_VOL_HIST_6MTH", F577)</f>
        <v>57.869700000000002</v>
      </c>
      <c r="K577">
        <f>_xll.ciqfunctions.udf.CIQ(A577, "IQ_LASTSALEPRICE", WORKDAY(F577,-1))</f>
        <v>366</v>
      </c>
      <c r="L577">
        <f>_xll.ciqfunctions.udf.CIQ(A577, "IQ_LASTSALEPRICE", F577)</f>
        <v>368.2</v>
      </c>
      <c r="M577">
        <f>_xll.ciqfunctions.udf.CIQ(A577, "IQ_LASTSALEPRICE", WORKDAY(F577,5))</f>
        <v>366.9</v>
      </c>
      <c r="N577">
        <f t="shared" si="16"/>
        <v>5.9929353976113046E-3</v>
      </c>
      <c r="O577">
        <f t="shared" si="17"/>
        <v>2.4559979598700824E-3</v>
      </c>
      <c r="P577">
        <f>LN(_xll.ciqfunctions.udf.CIQ("XBI", "IQ_LASTSALEPRICE", WORKDAY(F577,-1))/_xll.ciqfunctions.udf.CIQ("XBI", "IQ_LASTSALEPRICE", WORKDAY(F577,1)))</f>
        <v>-2.345773409792587E-2</v>
      </c>
      <c r="Q577">
        <f>LN(_xll.ciqfunctions.udf.CIQ("XBI", "IQ_LASTSALEPRICE", WORKDAY(F577,-1))/_xll.ciqfunctions.udf.CIQ("XBI", "IQ_LASTSALEPRICE", WORKDAY(F577,5)))</f>
        <v>1.7961621509720475E-2</v>
      </c>
      <c r="R577">
        <f>_xll.ciqfunctions.udf.CIQ(A577, "IQ_SHORT_INTEREST_PERCENT", F577)</f>
        <v>0</v>
      </c>
      <c r="S577">
        <f>_xll.ciqfunctions.udf.CIQ(A577, "IQ_BETA_1YR_RSQ", F577)</f>
        <v>9.2000000000000003E-4</v>
      </c>
      <c r="T577">
        <f>_xll.ciqfunctions.udf.CIQ(A577, "IQ_VALUE_TRADED", F577)</f>
        <v>18.54439</v>
      </c>
    </row>
    <row r="578" spans="1:20" x14ac:dyDescent="0.3">
      <c r="A578" t="s">
        <v>1753</v>
      </c>
      <c r="B578">
        <v>110.59</v>
      </c>
      <c r="C578" t="s">
        <v>1754</v>
      </c>
      <c r="D578" t="s">
        <v>273</v>
      </c>
      <c r="E578" t="s">
        <v>36</v>
      </c>
      <c r="F578" s="1">
        <v>45378</v>
      </c>
      <c r="G578" t="s">
        <v>1755</v>
      </c>
      <c r="H578">
        <v>389</v>
      </c>
      <c r="I578">
        <f>_xll.ciqfunctions.udf.CIQ(A578, "IQ_MARKETCAP", F578)</f>
        <v>42342.656289999999</v>
      </c>
      <c r="J578">
        <f>_xll.ciqfunctions.udf.CIQ(A578, "IQ_PRICE_VOL_HIST_6MTH", F578)</f>
        <v>55.292400000000001</v>
      </c>
      <c r="K578">
        <f>_xll.ciqfunctions.udf.CIQ(A578, "IQ_LASTSALEPRICE", WORKDAY(F578,-1))</f>
        <v>107.41</v>
      </c>
      <c r="L578">
        <f>_xll.ciqfunctions.udf.CIQ(A578, "IQ_LASTSALEPRICE", F578)</f>
        <v>110.59</v>
      </c>
      <c r="M578">
        <f>_xll.ciqfunctions.udf.CIQ(A578, "IQ_LASTSALEPRICE", WORKDAY(F578,5))</f>
        <v>101.21</v>
      </c>
      <c r="N578">
        <f t="shared" si="16"/>
        <v>2.9176381477313062E-2</v>
      </c>
      <c r="O578">
        <f t="shared" si="17"/>
        <v>-5.9455721409145824E-2</v>
      </c>
      <c r="P578">
        <f>LN(_xll.ciqfunctions.udf.CIQ("XBI", "IQ_LASTSALEPRICE", WORKDAY(F578,-1))/_xll.ciqfunctions.udf.CIQ("XBI", "IQ_LASTSALEPRICE", WORKDAY(F578,1)))</f>
        <v>-2.345773409792587E-2</v>
      </c>
      <c r="Q578">
        <f>LN(_xll.ciqfunctions.udf.CIQ("XBI", "IQ_LASTSALEPRICE", WORKDAY(F578,-1))/_xll.ciqfunctions.udf.CIQ("XBI", "IQ_LASTSALEPRICE", WORKDAY(F578,5)))</f>
        <v>1.7961621509720475E-2</v>
      </c>
      <c r="R578">
        <f>_xll.ciqfunctions.udf.CIQ(A578, "IQ_SHORT_INTEREST_PERCENT", F578)</f>
        <v>5.80525</v>
      </c>
      <c r="S578">
        <f>_xll.ciqfunctions.udf.CIQ(A578, "IQ_BETA_1YR_RSQ", F578)</f>
        <v>0.17776</v>
      </c>
      <c r="T578">
        <f>_xll.ciqfunctions.udf.CIQ(A578, "IQ_VALUE_TRADED", F578)</f>
        <v>505.96794</v>
      </c>
    </row>
    <row r="579" spans="1:20" x14ac:dyDescent="0.3">
      <c r="A579" t="s">
        <v>1753</v>
      </c>
      <c r="B579">
        <v>110.59</v>
      </c>
      <c r="C579" t="s">
        <v>1754</v>
      </c>
      <c r="D579" t="s">
        <v>273</v>
      </c>
      <c r="E579" t="s">
        <v>36</v>
      </c>
      <c r="F579" s="1">
        <v>45378</v>
      </c>
      <c r="G579" t="s">
        <v>1755</v>
      </c>
      <c r="H579">
        <v>389</v>
      </c>
      <c r="I579">
        <f>_xll.ciqfunctions.udf.CIQ(A579, "IQ_MARKETCAP", F579)</f>
        <v>42342.656289999999</v>
      </c>
      <c r="J579">
        <f>_xll.ciqfunctions.udf.CIQ(A579, "IQ_PRICE_VOL_HIST_6MTH", F579)</f>
        <v>55.292400000000001</v>
      </c>
      <c r="K579">
        <f>_xll.ciqfunctions.udf.CIQ(A579, "IQ_LASTSALEPRICE", WORKDAY(F579,-1))</f>
        <v>107.41</v>
      </c>
      <c r="L579">
        <f>_xll.ciqfunctions.udf.CIQ(A579, "IQ_LASTSALEPRICE", F579)</f>
        <v>110.59</v>
      </c>
      <c r="M579">
        <f>_xll.ciqfunctions.udf.CIQ(A579, "IQ_LASTSALEPRICE", WORKDAY(F579,5))</f>
        <v>101.21</v>
      </c>
      <c r="N579">
        <f t="shared" ref="N579:N642" si="18">LN(L579/K579)</f>
        <v>2.9176381477313062E-2</v>
      </c>
      <c r="O579">
        <f t="shared" ref="O579:O642" si="19">LN(M579/K579)</f>
        <v>-5.9455721409145824E-2</v>
      </c>
      <c r="P579">
        <f>LN(_xll.ciqfunctions.udf.CIQ("XBI", "IQ_LASTSALEPRICE", WORKDAY(F579,-1))/_xll.ciqfunctions.udf.CIQ("XBI", "IQ_LASTSALEPRICE", WORKDAY(F579,1)))</f>
        <v>-2.345773409792587E-2</v>
      </c>
      <c r="Q579">
        <f>LN(_xll.ciqfunctions.udf.CIQ("XBI", "IQ_LASTSALEPRICE", WORKDAY(F579,-1))/_xll.ciqfunctions.udf.CIQ("XBI", "IQ_LASTSALEPRICE", WORKDAY(F579,5)))</f>
        <v>1.7961621509720475E-2</v>
      </c>
      <c r="R579">
        <f>_xll.ciqfunctions.udf.CIQ(A579, "IQ_SHORT_INTEREST_PERCENT", F579)</f>
        <v>5.80525</v>
      </c>
      <c r="S579">
        <f>_xll.ciqfunctions.udf.CIQ(A579, "IQ_BETA_1YR_RSQ", F579)</f>
        <v>0.17776</v>
      </c>
      <c r="T579">
        <f>_xll.ciqfunctions.udf.CIQ(A579, "IQ_VALUE_TRADED", F579)</f>
        <v>505.96794</v>
      </c>
    </row>
    <row r="580" spans="1:20" x14ac:dyDescent="0.3">
      <c r="A580" t="s">
        <v>1408</v>
      </c>
      <c r="B580">
        <v>14.64</v>
      </c>
      <c r="C580" t="s">
        <v>1756</v>
      </c>
      <c r="D580" t="s">
        <v>1757</v>
      </c>
      <c r="E580" t="s">
        <v>36</v>
      </c>
      <c r="F580" s="1">
        <v>45378</v>
      </c>
      <c r="G580" t="s">
        <v>1758</v>
      </c>
      <c r="H580">
        <v>111</v>
      </c>
      <c r="I580">
        <f>_xll.ciqfunctions.udf.CIQ(A580, "IQ_MARKETCAP", F580)</f>
        <v>1567.8478399999999</v>
      </c>
      <c r="J580">
        <f>_xll.ciqfunctions.udf.CIQ(A580, "IQ_PRICE_VOL_HIST_6MTH", F580)</f>
        <v>70.779700000000005</v>
      </c>
      <c r="K580">
        <f>_xll.ciqfunctions.udf.CIQ(A580, "IQ_LASTSALEPRICE", WORKDAY(F580,-1))</f>
        <v>13.07</v>
      </c>
      <c r="L580">
        <f>_xll.ciqfunctions.udf.CIQ(A580, "IQ_LASTSALEPRICE", F580)</f>
        <v>14.64</v>
      </c>
      <c r="M580">
        <f>_xll.ciqfunctions.udf.CIQ(A580, "IQ_LASTSALEPRICE", WORKDAY(F580,5))</f>
        <v>14.42</v>
      </c>
      <c r="N580">
        <f t="shared" si="18"/>
        <v>0.11343798089703484</v>
      </c>
      <c r="O580">
        <f t="shared" si="19"/>
        <v>9.8296604220672421E-2</v>
      </c>
      <c r="P580">
        <f>LN(_xll.ciqfunctions.udf.CIQ("XBI", "IQ_LASTSALEPRICE", WORKDAY(F580,-1))/_xll.ciqfunctions.udf.CIQ("XBI", "IQ_LASTSALEPRICE", WORKDAY(F580,1)))</f>
        <v>-2.345773409792587E-2</v>
      </c>
      <c r="Q580">
        <f>LN(_xll.ciqfunctions.udf.CIQ("XBI", "IQ_LASTSALEPRICE", WORKDAY(F580,-1))/_xll.ciqfunctions.udf.CIQ("XBI", "IQ_LASTSALEPRICE", WORKDAY(F580,5)))</f>
        <v>1.7961621509720475E-2</v>
      </c>
      <c r="R580">
        <f>_xll.ciqfunctions.udf.CIQ(A580, "IQ_SHORT_INTEREST_PERCENT", F580)</f>
        <v>5.1742900000000001</v>
      </c>
      <c r="S580">
        <f>_xll.ciqfunctions.udf.CIQ(A580, "IQ_BETA_1YR_RSQ", F580)</f>
        <v>5.5449999999999999E-2</v>
      </c>
      <c r="T580">
        <f>_xll.ciqfunctions.udf.CIQ(A580, "IQ_VALUE_TRADED", F580)</f>
        <v>174.78973999999999</v>
      </c>
    </row>
    <row r="581" spans="1:20" x14ac:dyDescent="0.3">
      <c r="A581" t="s">
        <v>429</v>
      </c>
      <c r="B581">
        <v>16.190000000000001</v>
      </c>
      <c r="C581" t="s">
        <v>1756</v>
      </c>
      <c r="D581" t="s">
        <v>1757</v>
      </c>
      <c r="E581" t="s">
        <v>36</v>
      </c>
      <c r="F581" s="1">
        <v>45378</v>
      </c>
      <c r="G581" t="s">
        <v>1758</v>
      </c>
      <c r="H581">
        <v>109</v>
      </c>
      <c r="I581">
        <f>_xll.ciqfunctions.udf.CIQ(A581, "IQ_MARKETCAP", F581)</f>
        <v>1598.2366999999999</v>
      </c>
      <c r="J581">
        <f>_xll.ciqfunctions.udf.CIQ(A581, "IQ_PRICE_VOL_HIST_6MTH", F581)</f>
        <v>58.791499999999999</v>
      </c>
      <c r="K581">
        <f>_xll.ciqfunctions.udf.CIQ(A581, "IQ_LASTSALEPRICE", WORKDAY(F581,-1))</f>
        <v>15.95</v>
      </c>
      <c r="L581">
        <f>_xll.ciqfunctions.udf.CIQ(A581, "IQ_LASTSALEPRICE", F581)</f>
        <v>16.190000000000001</v>
      </c>
      <c r="M581">
        <f>_xll.ciqfunctions.udf.CIQ(A581, "IQ_LASTSALEPRICE", WORKDAY(F581,5))</f>
        <v>15.9</v>
      </c>
      <c r="N581">
        <f t="shared" si="18"/>
        <v>1.4934938458690393E-2</v>
      </c>
      <c r="O581">
        <f t="shared" si="19"/>
        <v>-3.1397200046676412E-3</v>
      </c>
      <c r="P581">
        <f>LN(_xll.ciqfunctions.udf.CIQ("XBI", "IQ_LASTSALEPRICE", WORKDAY(F581,-1))/_xll.ciqfunctions.udf.CIQ("XBI", "IQ_LASTSALEPRICE", WORKDAY(F581,1)))</f>
        <v>-2.345773409792587E-2</v>
      </c>
      <c r="Q581">
        <f>LN(_xll.ciqfunctions.udf.CIQ("XBI", "IQ_LASTSALEPRICE", WORKDAY(F581,-1))/_xll.ciqfunctions.udf.CIQ("XBI", "IQ_LASTSALEPRICE", WORKDAY(F581,5)))</f>
        <v>1.7961621509720475E-2</v>
      </c>
      <c r="R581">
        <f>_xll.ciqfunctions.udf.CIQ(A581, "IQ_SHORT_INTEREST_PERCENT", F581)</f>
        <v>3.7113100000000001</v>
      </c>
      <c r="S581">
        <f>_xll.ciqfunctions.udf.CIQ(A581, "IQ_BETA_1YR_RSQ", F581)</f>
        <v>0.10484</v>
      </c>
      <c r="T581">
        <f>_xll.ciqfunctions.udf.CIQ(A581, "IQ_VALUE_TRADED", F581)</f>
        <v>16.795909999999999</v>
      </c>
    </row>
    <row r="582" spans="1:20" x14ac:dyDescent="0.3">
      <c r="A582" t="s">
        <v>19</v>
      </c>
      <c r="B582">
        <v>1.79</v>
      </c>
      <c r="C582" t="s">
        <v>1759</v>
      </c>
      <c r="D582" t="s">
        <v>1760</v>
      </c>
      <c r="E582" t="s">
        <v>124</v>
      </c>
      <c r="F582" s="1">
        <v>45378</v>
      </c>
      <c r="G582" t="s">
        <v>1761</v>
      </c>
      <c r="H582">
        <v>214</v>
      </c>
      <c r="I582">
        <f>_xll.ciqfunctions.udf.CIQ(A582, "IQ_MARKETCAP", F582)</f>
        <v>297.15875</v>
      </c>
      <c r="J582">
        <f>_xll.ciqfunctions.udf.CIQ(A582, "IQ_PRICE_VOL_HIST_6MTH", F582)</f>
        <v>93.045299999999997</v>
      </c>
      <c r="K582">
        <f>_xll.ciqfunctions.udf.CIQ(A582, "IQ_LASTSALEPRICE", WORKDAY(F582,-1))</f>
        <v>1.73</v>
      </c>
      <c r="L582">
        <f>_xll.ciqfunctions.udf.CIQ(A582, "IQ_LASTSALEPRICE", F582)</f>
        <v>1.79</v>
      </c>
      <c r="M582">
        <f>_xll.ciqfunctions.udf.CIQ(A582, "IQ_LASTSALEPRICE", WORKDAY(F582,5))</f>
        <v>2.39</v>
      </c>
      <c r="N582">
        <f t="shared" si="18"/>
        <v>3.409421134297614E-2</v>
      </c>
      <c r="O582">
        <f t="shared" si="19"/>
        <v>0.32317195743373184</v>
      </c>
      <c r="P582">
        <f>LN(_xll.ciqfunctions.udf.CIQ("XBI", "IQ_LASTSALEPRICE", WORKDAY(F582,-1))/_xll.ciqfunctions.udf.CIQ("XBI", "IQ_LASTSALEPRICE", WORKDAY(F582,1)))</f>
        <v>-2.345773409792587E-2</v>
      </c>
      <c r="Q582">
        <f>LN(_xll.ciqfunctions.udf.CIQ("XBI", "IQ_LASTSALEPRICE", WORKDAY(F582,-1))/_xll.ciqfunctions.udf.CIQ("XBI", "IQ_LASTSALEPRICE", WORKDAY(F582,5)))</f>
        <v>1.7961621509720475E-2</v>
      </c>
      <c r="R582">
        <f>_xll.ciqfunctions.udf.CIQ(A582, "IQ_SHORT_INTEREST_PERCENT", F582)</f>
        <v>3.13558</v>
      </c>
      <c r="S582">
        <f>_xll.ciqfunctions.udf.CIQ(A582, "IQ_BETA_1YR_RSQ", F582)</f>
        <v>0.17238999999999999</v>
      </c>
      <c r="T582">
        <f>_xll.ciqfunctions.udf.CIQ(A582, "IQ_VALUE_TRADED", F582)</f>
        <v>2.4024999999999999</v>
      </c>
    </row>
    <row r="583" spans="1:20" x14ac:dyDescent="0.3">
      <c r="A583" t="s">
        <v>190</v>
      </c>
      <c r="B583">
        <v>8.89</v>
      </c>
      <c r="C583" t="s">
        <v>191</v>
      </c>
      <c r="D583" t="s">
        <v>192</v>
      </c>
      <c r="E583" t="s">
        <v>76</v>
      </c>
      <c r="F583" s="1">
        <v>45378</v>
      </c>
      <c r="G583" t="s">
        <v>1762</v>
      </c>
      <c r="H583">
        <v>88</v>
      </c>
      <c r="I583">
        <f>_xll.ciqfunctions.udf.CIQ(A583, "IQ_MARKETCAP", F583)</f>
        <v>630.25909000000001</v>
      </c>
      <c r="J583">
        <f>_xll.ciqfunctions.udf.CIQ(A583, "IQ_PRICE_VOL_HIST_6MTH", F583)</f>
        <v>123.4174</v>
      </c>
      <c r="K583">
        <f>_xll.ciqfunctions.udf.CIQ(A583, "IQ_LASTSALEPRICE", WORKDAY(F583,-1))</f>
        <v>8.65</v>
      </c>
      <c r="L583">
        <f>_xll.ciqfunctions.udf.CIQ(A583, "IQ_LASTSALEPRICE", F583)</f>
        <v>8.89</v>
      </c>
      <c r="M583">
        <f>_xll.ciqfunctions.udf.CIQ(A583, "IQ_LASTSALEPRICE", WORKDAY(F583,5))</f>
        <v>9.2899999999999991</v>
      </c>
      <c r="N583">
        <f t="shared" si="18"/>
        <v>2.7367728582025245E-2</v>
      </c>
      <c r="O583">
        <f t="shared" si="19"/>
        <v>7.137923188195916E-2</v>
      </c>
      <c r="P583">
        <f>LN(_xll.ciqfunctions.udf.CIQ("XBI", "IQ_LASTSALEPRICE", WORKDAY(F583,-1))/_xll.ciqfunctions.udf.CIQ("XBI", "IQ_LASTSALEPRICE", WORKDAY(F583,1)))</f>
        <v>-2.345773409792587E-2</v>
      </c>
      <c r="Q583">
        <f>LN(_xll.ciqfunctions.udf.CIQ("XBI", "IQ_LASTSALEPRICE", WORKDAY(F583,-1))/_xll.ciqfunctions.udf.CIQ("XBI", "IQ_LASTSALEPRICE", WORKDAY(F583,5)))</f>
        <v>1.7961621509720475E-2</v>
      </c>
      <c r="R583">
        <f>_xll.ciqfunctions.udf.CIQ(A583, "IQ_SHORT_INTEREST_PERCENT", F583)</f>
        <v>17.647790000000001</v>
      </c>
      <c r="S583">
        <f>_xll.ciqfunctions.udf.CIQ(A583, "IQ_BETA_1YR_RSQ", F583)</f>
        <v>3.5589999999999997E-2</v>
      </c>
      <c r="T583">
        <f>_xll.ciqfunctions.udf.CIQ(A583, "IQ_VALUE_TRADED", F583)</f>
        <v>99.077340000000007</v>
      </c>
    </row>
    <row r="584" spans="1:20" x14ac:dyDescent="0.3">
      <c r="A584" t="s">
        <v>190</v>
      </c>
      <c r="B584">
        <v>8.89</v>
      </c>
      <c r="C584" t="s">
        <v>1763</v>
      </c>
      <c r="D584" t="s">
        <v>1764</v>
      </c>
      <c r="E584" t="s">
        <v>76</v>
      </c>
      <c r="F584" s="1">
        <v>45378</v>
      </c>
      <c r="G584" t="s">
        <v>1765</v>
      </c>
      <c r="H584">
        <v>88</v>
      </c>
      <c r="I584">
        <f>_xll.ciqfunctions.udf.CIQ(A584, "IQ_MARKETCAP", F584)</f>
        <v>630.25909000000001</v>
      </c>
      <c r="J584">
        <f>_xll.ciqfunctions.udf.CIQ(A584, "IQ_PRICE_VOL_HIST_6MTH", F584)</f>
        <v>123.4174</v>
      </c>
      <c r="K584">
        <f>_xll.ciqfunctions.udf.CIQ(A584, "IQ_LASTSALEPRICE", WORKDAY(F584,-1))</f>
        <v>8.65</v>
      </c>
      <c r="L584">
        <f>_xll.ciqfunctions.udf.CIQ(A584, "IQ_LASTSALEPRICE", F584)</f>
        <v>8.89</v>
      </c>
      <c r="M584">
        <f>_xll.ciqfunctions.udf.CIQ(A584, "IQ_LASTSALEPRICE", WORKDAY(F584,5))</f>
        <v>9.2899999999999991</v>
      </c>
      <c r="N584">
        <f t="shared" si="18"/>
        <v>2.7367728582025245E-2</v>
      </c>
      <c r="O584">
        <f t="shared" si="19"/>
        <v>7.137923188195916E-2</v>
      </c>
      <c r="P584">
        <f>LN(_xll.ciqfunctions.udf.CIQ("XBI", "IQ_LASTSALEPRICE", WORKDAY(F584,-1))/_xll.ciqfunctions.udf.CIQ("XBI", "IQ_LASTSALEPRICE", WORKDAY(F584,1)))</f>
        <v>-2.345773409792587E-2</v>
      </c>
      <c r="Q584">
        <f>LN(_xll.ciqfunctions.udf.CIQ("XBI", "IQ_LASTSALEPRICE", WORKDAY(F584,-1))/_xll.ciqfunctions.udf.CIQ("XBI", "IQ_LASTSALEPRICE", WORKDAY(F584,5)))</f>
        <v>1.7961621509720475E-2</v>
      </c>
      <c r="R584">
        <f>_xll.ciqfunctions.udf.CIQ(A584, "IQ_SHORT_INTEREST_PERCENT", F584)</f>
        <v>17.647790000000001</v>
      </c>
      <c r="S584">
        <f>_xll.ciqfunctions.udf.CIQ(A584, "IQ_BETA_1YR_RSQ", F584)</f>
        <v>3.5589999999999997E-2</v>
      </c>
      <c r="T584">
        <f>_xll.ciqfunctions.udf.CIQ(A584, "IQ_VALUE_TRADED", F584)</f>
        <v>99.077340000000007</v>
      </c>
    </row>
    <row r="585" spans="1:20" x14ac:dyDescent="0.3">
      <c r="A585" t="s">
        <v>1766</v>
      </c>
      <c r="B585">
        <v>4.75</v>
      </c>
      <c r="C585" t="s">
        <v>1767</v>
      </c>
      <c r="D585" t="s">
        <v>210</v>
      </c>
      <c r="E585" t="s">
        <v>76</v>
      </c>
      <c r="F585" s="1">
        <v>45378</v>
      </c>
      <c r="G585" t="s">
        <v>1768</v>
      </c>
      <c r="H585">
        <v>13</v>
      </c>
      <c r="I585">
        <f>_xll.ciqfunctions.udf.CIQ(A585, "IQ_MARKETCAP", F585)</f>
        <v>3.8075999999999999</v>
      </c>
      <c r="J585">
        <f>_xll.ciqfunctions.udf.CIQ(A585, "IQ_PRICE_VOL_HIST_6MTH", F585)</f>
        <v>154.60380000000001</v>
      </c>
      <c r="K585">
        <f>_xll.ciqfunctions.udf.CIQ(A585, "IQ_LASTSALEPRICE", WORKDAY(F585,-1))</f>
        <v>4.6242000000000001</v>
      </c>
      <c r="L585">
        <f>_xll.ciqfunctions.udf.CIQ(A585, "IQ_LASTSALEPRICE", F585)</f>
        <v>4.75</v>
      </c>
      <c r="M585">
        <f>_xll.ciqfunctions.udf.CIQ(A585, "IQ_LASTSALEPRICE", WORKDAY(F585,5))</f>
        <v>16.309999999999999</v>
      </c>
      <c r="N585">
        <f t="shared" si="18"/>
        <v>2.6841235016684242E-2</v>
      </c>
      <c r="O585">
        <f t="shared" si="19"/>
        <v>1.2604750336030568</v>
      </c>
      <c r="P585">
        <f>LN(_xll.ciqfunctions.udf.CIQ("XBI", "IQ_LASTSALEPRICE", WORKDAY(F585,-1))/_xll.ciqfunctions.udf.CIQ("XBI", "IQ_LASTSALEPRICE", WORKDAY(F585,1)))</f>
        <v>-2.345773409792587E-2</v>
      </c>
      <c r="Q585">
        <f>LN(_xll.ciqfunctions.udf.CIQ("XBI", "IQ_LASTSALEPRICE", WORKDAY(F585,-1))/_xll.ciqfunctions.udf.CIQ("XBI", "IQ_LASTSALEPRICE", WORKDAY(F585,5)))</f>
        <v>1.7961621509720475E-2</v>
      </c>
      <c r="R585">
        <f>_xll.ciqfunctions.udf.CIQ(A585, "IQ_SHORT_INTEREST_PERCENT", F585)</f>
        <v>8.3808699999999998</v>
      </c>
      <c r="S585">
        <f>_xll.ciqfunctions.udf.CIQ(A585, "IQ_BETA_1YR_RSQ", F585)</f>
        <v>2.5000000000000001E-4</v>
      </c>
      <c r="T585">
        <f>_xll.ciqfunctions.udf.CIQ(A585, "IQ_VALUE_TRADED", F585)</f>
        <v>14.956329999999999</v>
      </c>
    </row>
    <row r="586" spans="1:20" x14ac:dyDescent="0.3">
      <c r="A586" t="s">
        <v>1613</v>
      </c>
      <c r="B586">
        <v>6.59</v>
      </c>
      <c r="C586" t="s">
        <v>1769</v>
      </c>
      <c r="D586" t="s">
        <v>1770</v>
      </c>
      <c r="E586" t="s">
        <v>76</v>
      </c>
      <c r="F586" s="1">
        <v>45378</v>
      </c>
      <c r="G586" t="s">
        <v>1771</v>
      </c>
      <c r="H586">
        <v>4</v>
      </c>
      <c r="I586">
        <f>_xll.ciqfunctions.udf.CIQ(A586, "IQ_MARKETCAP", F586)</f>
        <v>936.57600000000002</v>
      </c>
      <c r="J586">
        <f>_xll.ciqfunctions.udf.CIQ(A586, "IQ_PRICE_VOL_HIST_6MTH", F586)</f>
        <v>75.708100000000002</v>
      </c>
      <c r="K586">
        <f>_xll.ciqfunctions.udf.CIQ(A586, "IQ_LASTSALEPRICE", WORKDAY(F586,-1))</f>
        <v>42.55</v>
      </c>
      <c r="L586">
        <f>_xll.ciqfunctions.udf.CIQ(A586, "IQ_LASTSALEPRICE", F586)</f>
        <v>42.55</v>
      </c>
      <c r="M586">
        <f>_xll.ciqfunctions.udf.CIQ(A586, "IQ_LASTSALEPRICE", WORKDAY(F586,5))</f>
        <v>43.2</v>
      </c>
      <c r="N586">
        <f t="shared" si="18"/>
        <v>0</v>
      </c>
      <c r="O586">
        <f t="shared" si="19"/>
        <v>1.5160640230681666E-2</v>
      </c>
      <c r="P586">
        <f>LN(_xll.ciqfunctions.udf.CIQ("XBI", "IQ_LASTSALEPRICE", WORKDAY(F586,-1))/_xll.ciqfunctions.udf.CIQ("XBI", "IQ_LASTSALEPRICE", WORKDAY(F586,1)))</f>
        <v>-2.345773409792587E-2</v>
      </c>
      <c r="Q586">
        <f>LN(_xll.ciqfunctions.udf.CIQ("XBI", "IQ_LASTSALEPRICE", WORKDAY(F586,-1))/_xll.ciqfunctions.udf.CIQ("XBI", "IQ_LASTSALEPRICE", WORKDAY(F586,5)))</f>
        <v>1.7961621509720475E-2</v>
      </c>
      <c r="R586">
        <f>_xll.ciqfunctions.udf.CIQ(A586, "IQ_SHORT_INTEREST_PERCENT", F586)</f>
        <v>0</v>
      </c>
      <c r="S586">
        <f>_xll.ciqfunctions.udf.CIQ(A586, "IQ_BETA_1YR_RSQ", F586)</f>
        <v>0</v>
      </c>
      <c r="T586">
        <f>_xll.ciqfunctions.udf.CIQ(A586, "IQ_VALUE_TRADED", F586)</f>
        <v>0</v>
      </c>
    </row>
    <row r="587" spans="1:20" x14ac:dyDescent="0.3">
      <c r="A587" t="s">
        <v>1613</v>
      </c>
      <c r="B587">
        <v>6.59</v>
      </c>
      <c r="C587" t="s">
        <v>1614</v>
      </c>
      <c r="D587" t="s">
        <v>1615</v>
      </c>
      <c r="E587" t="s">
        <v>76</v>
      </c>
      <c r="F587" s="1">
        <v>45378</v>
      </c>
      <c r="G587" t="s">
        <v>1772</v>
      </c>
      <c r="H587">
        <v>4</v>
      </c>
      <c r="I587">
        <f>_xll.ciqfunctions.udf.CIQ(A587, "IQ_MARKETCAP", F587)</f>
        <v>936.57600000000002</v>
      </c>
      <c r="J587">
        <f>_xll.ciqfunctions.udf.CIQ(A587, "IQ_PRICE_VOL_HIST_6MTH", F587)</f>
        <v>75.708100000000002</v>
      </c>
      <c r="K587">
        <f>_xll.ciqfunctions.udf.CIQ(A587, "IQ_LASTSALEPRICE", WORKDAY(F587,-1))</f>
        <v>42.55</v>
      </c>
      <c r="L587">
        <f>_xll.ciqfunctions.udf.CIQ(A587, "IQ_LASTSALEPRICE", F587)</f>
        <v>42.55</v>
      </c>
      <c r="M587">
        <f>_xll.ciqfunctions.udf.CIQ(A587, "IQ_LASTSALEPRICE", WORKDAY(F587,5))</f>
        <v>43.2</v>
      </c>
      <c r="N587">
        <f t="shared" si="18"/>
        <v>0</v>
      </c>
      <c r="O587">
        <f t="shared" si="19"/>
        <v>1.5160640230681666E-2</v>
      </c>
      <c r="P587">
        <f>LN(_xll.ciqfunctions.udf.CIQ("XBI", "IQ_LASTSALEPRICE", WORKDAY(F587,-1))/_xll.ciqfunctions.udf.CIQ("XBI", "IQ_LASTSALEPRICE", WORKDAY(F587,1)))</f>
        <v>-2.345773409792587E-2</v>
      </c>
      <c r="Q587">
        <f>LN(_xll.ciqfunctions.udf.CIQ("XBI", "IQ_LASTSALEPRICE", WORKDAY(F587,-1))/_xll.ciqfunctions.udf.CIQ("XBI", "IQ_LASTSALEPRICE", WORKDAY(F587,5)))</f>
        <v>1.7961621509720475E-2</v>
      </c>
      <c r="R587">
        <f>_xll.ciqfunctions.udf.CIQ(A587, "IQ_SHORT_INTEREST_PERCENT", F587)</f>
        <v>0</v>
      </c>
      <c r="S587">
        <f>_xll.ciqfunctions.udf.CIQ(A587, "IQ_BETA_1YR_RSQ", F587)</f>
        <v>0</v>
      </c>
      <c r="T587">
        <f>_xll.ciqfunctions.udf.CIQ(A587, "IQ_VALUE_TRADED", F587)</f>
        <v>0</v>
      </c>
    </row>
    <row r="588" spans="1:20" x14ac:dyDescent="0.3">
      <c r="A588" t="s">
        <v>1028</v>
      </c>
      <c r="B588">
        <v>0.06</v>
      </c>
      <c r="C588" t="s">
        <v>1029</v>
      </c>
      <c r="D588" t="s">
        <v>1030</v>
      </c>
      <c r="E588" t="s">
        <v>22</v>
      </c>
      <c r="F588" s="1">
        <v>45378</v>
      </c>
      <c r="G588" t="s">
        <v>1773</v>
      </c>
      <c r="H588">
        <v>154</v>
      </c>
      <c r="I588">
        <f>_xll.ciqfunctions.udf.CIQ(A588, "IQ_MARKETCAP", F588)</f>
        <v>9.1198200000000007</v>
      </c>
      <c r="J588">
        <f>_xll.ciqfunctions.udf.CIQ(A588, "IQ_PRICE_VOL_HIST_6MTH", F588)</f>
        <v>0</v>
      </c>
      <c r="K588">
        <f>_xll.ciqfunctions.udf.CIQ(A588, "IQ_LASTSALEPRICE", WORKDAY(F588,-1))</f>
        <v>0</v>
      </c>
      <c r="L588">
        <f>_xll.ciqfunctions.udf.CIQ(A588, "IQ_LASTSALEPRICE", F588)</f>
        <v>0</v>
      </c>
      <c r="M588">
        <f>_xll.ciqfunctions.udf.CIQ(A588, "IQ_LASTSALEPRICE", WORKDAY(F588,5))</f>
        <v>0</v>
      </c>
      <c r="N588" t="e">
        <f t="shared" si="18"/>
        <v>#DIV/0!</v>
      </c>
      <c r="O588" t="e">
        <f t="shared" si="19"/>
        <v>#DIV/0!</v>
      </c>
      <c r="P588">
        <f>LN(_xll.ciqfunctions.udf.CIQ("XBI", "IQ_LASTSALEPRICE", WORKDAY(F588,-1))/_xll.ciqfunctions.udf.CIQ("XBI", "IQ_LASTSALEPRICE", WORKDAY(F588,1)))</f>
        <v>-2.345773409792587E-2</v>
      </c>
      <c r="Q588">
        <f>LN(_xll.ciqfunctions.udf.CIQ("XBI", "IQ_LASTSALEPRICE", WORKDAY(F588,-1))/_xll.ciqfunctions.udf.CIQ("XBI", "IQ_LASTSALEPRICE", WORKDAY(F588,5)))</f>
        <v>1.7961621509720475E-2</v>
      </c>
      <c r="R588">
        <f>_xll.ciqfunctions.udf.CIQ(A588, "IQ_SHORT_INTEREST_PERCENT", F588)</f>
        <v>0</v>
      </c>
      <c r="S588">
        <f>_xll.ciqfunctions.udf.CIQ(A588, "IQ_BETA_1YR_RSQ", F588)</f>
        <v>0</v>
      </c>
      <c r="T588">
        <f>_xll.ciqfunctions.udf.CIQ(A588, "IQ_VALUE_TRADED", F588)</f>
        <v>0</v>
      </c>
    </row>
    <row r="589" spans="1:20" x14ac:dyDescent="0.3">
      <c r="A589" t="s">
        <v>385</v>
      </c>
      <c r="B589">
        <v>966.3</v>
      </c>
      <c r="C589" t="s">
        <v>1774</v>
      </c>
      <c r="D589" t="s">
        <v>1775</v>
      </c>
      <c r="E589" t="s">
        <v>17</v>
      </c>
      <c r="F589" s="1">
        <v>45378</v>
      </c>
      <c r="G589" t="s">
        <v>1776</v>
      </c>
      <c r="H589">
        <v>105</v>
      </c>
      <c r="I589">
        <f>_xll.ciqfunctions.udf.CIQ(A589, "IQ_MARKETCAP", F589)</f>
        <v>103840.43011</v>
      </c>
      <c r="J589">
        <f>_xll.ciqfunctions.udf.CIQ(A589, "IQ_PRICE_VOL_HIST_6MTH", F589)</f>
        <v>16.9862</v>
      </c>
      <c r="K589">
        <f>_xll.ciqfunctions.udf.CIQ(A589, "IQ_LASTSALEPRICE", WORKDAY(F589,-1))</f>
        <v>963.55</v>
      </c>
      <c r="L589">
        <f>_xll.ciqfunctions.udf.CIQ(A589, "IQ_LASTSALEPRICE", F589)</f>
        <v>966.3</v>
      </c>
      <c r="M589">
        <f>_xll.ciqfunctions.udf.CIQ(A589, "IQ_LASTSALEPRICE", WORKDAY(F589,5))</f>
        <v>950.95</v>
      </c>
      <c r="N589">
        <f t="shared" si="18"/>
        <v>2.8499643613331999E-3</v>
      </c>
      <c r="O589">
        <f t="shared" si="19"/>
        <v>-1.3162895716259455E-2</v>
      </c>
      <c r="P589">
        <f>LN(_xll.ciqfunctions.udf.CIQ("XBI", "IQ_LASTSALEPRICE", WORKDAY(F589,-1))/_xll.ciqfunctions.udf.CIQ("XBI", "IQ_LASTSALEPRICE", WORKDAY(F589,1)))</f>
        <v>-2.345773409792587E-2</v>
      </c>
      <c r="Q589">
        <f>LN(_xll.ciqfunctions.udf.CIQ("XBI", "IQ_LASTSALEPRICE", WORKDAY(F589,-1))/_xll.ciqfunctions.udf.CIQ("XBI", "IQ_LASTSALEPRICE", WORKDAY(F589,5)))</f>
        <v>1.7961621509720475E-2</v>
      </c>
      <c r="R589">
        <f>_xll.ciqfunctions.udf.CIQ(A589, "IQ_SHORT_INTEREST_PERCENT", F589)</f>
        <v>1.29575</v>
      </c>
      <c r="S589">
        <f>_xll.ciqfunctions.udf.CIQ(A589, "IQ_BETA_1YR_RSQ", F589)</f>
        <v>9.9360000000000004E-2</v>
      </c>
      <c r="T589">
        <f>_xll.ciqfunctions.udf.CIQ(A589, "IQ_VALUE_TRADED", F589)</f>
        <v>304.14776000000001</v>
      </c>
    </row>
    <row r="590" spans="1:20" x14ac:dyDescent="0.3">
      <c r="A590" t="s">
        <v>699</v>
      </c>
      <c r="B590">
        <v>46.82</v>
      </c>
      <c r="C590" t="s">
        <v>1777</v>
      </c>
      <c r="D590" t="s">
        <v>1778</v>
      </c>
      <c r="E590" t="s">
        <v>27</v>
      </c>
      <c r="F590" s="1">
        <v>45378</v>
      </c>
      <c r="G590" t="s">
        <v>1779</v>
      </c>
      <c r="H590">
        <v>96</v>
      </c>
      <c r="I590">
        <f>_xll.ciqfunctions.udf.CIQ(A590, "IQ_MARKETCAP", F590)</f>
        <v>3854.95687</v>
      </c>
      <c r="J590">
        <f>_xll.ciqfunctions.udf.CIQ(A590, "IQ_PRICE_VOL_HIST_6MTH", F590)</f>
        <v>52.942900000000002</v>
      </c>
      <c r="K590">
        <f>_xll.ciqfunctions.udf.CIQ(A590, "IQ_LASTSALEPRICE", WORKDAY(F590,-1))</f>
        <v>45.46</v>
      </c>
      <c r="L590">
        <f>_xll.ciqfunctions.udf.CIQ(A590, "IQ_LASTSALEPRICE", F590)</f>
        <v>46.82</v>
      </c>
      <c r="M590">
        <f>_xll.ciqfunctions.udf.CIQ(A590, "IQ_LASTSALEPRICE", WORKDAY(F590,5))</f>
        <v>47.08</v>
      </c>
      <c r="N590">
        <f t="shared" si="18"/>
        <v>2.9477643638367516E-2</v>
      </c>
      <c r="O590">
        <f t="shared" si="19"/>
        <v>3.5015463967678781E-2</v>
      </c>
      <c r="P590">
        <f>LN(_xll.ciqfunctions.udf.CIQ("XBI", "IQ_LASTSALEPRICE", WORKDAY(F590,-1))/_xll.ciqfunctions.udf.CIQ("XBI", "IQ_LASTSALEPRICE", WORKDAY(F590,1)))</f>
        <v>-2.345773409792587E-2</v>
      </c>
      <c r="Q590">
        <f>LN(_xll.ciqfunctions.udf.CIQ("XBI", "IQ_LASTSALEPRICE", WORKDAY(F590,-1))/_xll.ciqfunctions.udf.CIQ("XBI", "IQ_LASTSALEPRICE", WORKDAY(F590,5)))</f>
        <v>1.7961621509720475E-2</v>
      </c>
      <c r="R590">
        <f>_xll.ciqfunctions.udf.CIQ(A590, "IQ_SHORT_INTEREST_PERCENT", F590)</f>
        <v>4.5920899999999998</v>
      </c>
      <c r="S590">
        <f>_xll.ciqfunctions.udf.CIQ(A590, "IQ_BETA_1YR_RSQ", F590)</f>
        <v>0.12166</v>
      </c>
      <c r="T590">
        <f>_xll.ciqfunctions.udf.CIQ(A590, "IQ_VALUE_TRADED", F590)</f>
        <v>25.814299999999999</v>
      </c>
    </row>
    <row r="591" spans="1:20" x14ac:dyDescent="0.3">
      <c r="A591" t="s">
        <v>1780</v>
      </c>
      <c r="B591">
        <v>3</v>
      </c>
      <c r="C591" t="s">
        <v>1777</v>
      </c>
      <c r="D591" t="s">
        <v>1778</v>
      </c>
      <c r="E591" t="s">
        <v>27</v>
      </c>
      <c r="F591" s="1">
        <v>45378</v>
      </c>
      <c r="G591" t="s">
        <v>1779</v>
      </c>
      <c r="H591">
        <v>155</v>
      </c>
      <c r="I591">
        <f>_xll.ciqfunctions.udf.CIQ(A591, "IQ_MARKETCAP", F591)</f>
        <v>420.02985000000001</v>
      </c>
      <c r="J591">
        <f>_xll.ciqfunctions.udf.CIQ(A591, "IQ_PRICE_VOL_HIST_6MTH", F591)</f>
        <v>72.3245</v>
      </c>
      <c r="K591">
        <f>_xll.ciqfunctions.udf.CIQ(A591, "IQ_LASTSALEPRICE", WORKDAY(F591,-1))</f>
        <v>2.95</v>
      </c>
      <c r="L591">
        <f>_xll.ciqfunctions.udf.CIQ(A591, "IQ_LASTSALEPRICE", F591)</f>
        <v>3</v>
      </c>
      <c r="M591">
        <f>_xll.ciqfunctions.udf.CIQ(A591, "IQ_LASTSALEPRICE", WORKDAY(F591,5))</f>
        <v>3.41</v>
      </c>
      <c r="N591">
        <f t="shared" si="18"/>
        <v>1.6807118316381191E-2</v>
      </c>
      <c r="O591">
        <f t="shared" si="19"/>
        <v>0.14490712094369695</v>
      </c>
      <c r="P591">
        <f>LN(_xll.ciqfunctions.udf.CIQ("XBI", "IQ_LASTSALEPRICE", WORKDAY(F591,-1))/_xll.ciqfunctions.udf.CIQ("XBI", "IQ_LASTSALEPRICE", WORKDAY(F591,1)))</f>
        <v>-2.345773409792587E-2</v>
      </c>
      <c r="Q591">
        <f>LN(_xll.ciqfunctions.udf.CIQ("XBI", "IQ_LASTSALEPRICE", WORKDAY(F591,-1))/_xll.ciqfunctions.udf.CIQ("XBI", "IQ_LASTSALEPRICE", WORKDAY(F591,5)))</f>
        <v>1.7961621509720475E-2</v>
      </c>
      <c r="R591">
        <f>_xll.ciqfunctions.udf.CIQ(A591, "IQ_SHORT_INTEREST_PERCENT", F591)</f>
        <v>1.56701</v>
      </c>
      <c r="S591">
        <f>_xll.ciqfunctions.udf.CIQ(A591, "IQ_BETA_1YR_RSQ", F591)</f>
        <v>3.63E-3</v>
      </c>
      <c r="T591">
        <f>_xll.ciqfunctions.udf.CIQ(A591, "IQ_VALUE_TRADED", F591)</f>
        <v>1.3552500000000001</v>
      </c>
    </row>
    <row r="592" spans="1:20" x14ac:dyDescent="0.3">
      <c r="A592" t="s">
        <v>1781</v>
      </c>
      <c r="B592">
        <v>2.2400000000000002</v>
      </c>
      <c r="C592" t="s">
        <v>1782</v>
      </c>
      <c r="D592" t="s">
        <v>1783</v>
      </c>
      <c r="E592" t="s">
        <v>160</v>
      </c>
      <c r="F592" s="1">
        <v>45378</v>
      </c>
      <c r="G592" t="s">
        <v>1784</v>
      </c>
      <c r="H592">
        <v>265</v>
      </c>
      <c r="I592">
        <f>_xll.ciqfunctions.udf.CIQ(A592, "IQ_MARKETCAP", F592)</f>
        <v>468.9939</v>
      </c>
      <c r="J592">
        <f>_xll.ciqfunctions.udf.CIQ(A592, "IQ_PRICE_VOL_HIST_6MTH", F592)</f>
        <v>79.981899999999996</v>
      </c>
      <c r="K592">
        <f>_xll.ciqfunctions.udf.CIQ(A592, "IQ_LASTSALEPRICE", WORKDAY(F592,-1))</f>
        <v>2</v>
      </c>
      <c r="L592">
        <f>_xll.ciqfunctions.udf.CIQ(A592, "IQ_LASTSALEPRICE", F592)</f>
        <v>2.2400000000000002</v>
      </c>
      <c r="M592">
        <f>_xll.ciqfunctions.udf.CIQ(A592, "IQ_LASTSALEPRICE", WORKDAY(F592,5))</f>
        <v>1.49</v>
      </c>
      <c r="N592">
        <f t="shared" si="18"/>
        <v>0.11332868530700327</v>
      </c>
      <c r="O592">
        <f t="shared" si="19"/>
        <v>-0.29437106060257756</v>
      </c>
      <c r="P592">
        <f>LN(_xll.ciqfunctions.udf.CIQ("XBI", "IQ_LASTSALEPRICE", WORKDAY(F592,-1))/_xll.ciqfunctions.udf.CIQ("XBI", "IQ_LASTSALEPRICE", WORKDAY(F592,1)))</f>
        <v>-2.345773409792587E-2</v>
      </c>
      <c r="Q592">
        <f>LN(_xll.ciqfunctions.udf.CIQ("XBI", "IQ_LASTSALEPRICE", WORKDAY(F592,-1))/_xll.ciqfunctions.udf.CIQ("XBI", "IQ_LASTSALEPRICE", WORKDAY(F592,5)))</f>
        <v>1.7961621509720475E-2</v>
      </c>
      <c r="R592">
        <f>_xll.ciqfunctions.udf.CIQ(A592, "IQ_SHORT_INTEREST_PERCENT", F592)</f>
        <v>4.8365600000000004</v>
      </c>
      <c r="S592">
        <f>_xll.ciqfunctions.udf.CIQ(A592, "IQ_BETA_1YR_RSQ", F592)</f>
        <v>1.7739999999999999E-2</v>
      </c>
      <c r="T592">
        <f>_xll.ciqfunctions.udf.CIQ(A592, "IQ_VALUE_TRADED", F592)</f>
        <v>23.701080000000001</v>
      </c>
    </row>
    <row r="593" spans="1:20" x14ac:dyDescent="0.3">
      <c r="A593" t="s">
        <v>670</v>
      </c>
      <c r="B593">
        <v>93.88</v>
      </c>
      <c r="C593" t="s">
        <v>1782</v>
      </c>
      <c r="D593" t="s">
        <v>1783</v>
      </c>
      <c r="E593" t="s">
        <v>160</v>
      </c>
      <c r="F593" s="1">
        <v>45378</v>
      </c>
      <c r="G593" t="s">
        <v>1784</v>
      </c>
      <c r="H593">
        <v>968</v>
      </c>
      <c r="I593">
        <f>_xll.ciqfunctions.udf.CIQ(A593, "IQ_MARKETCAP", F593)</f>
        <v>138379.41894999999</v>
      </c>
      <c r="J593">
        <f>_xll.ciqfunctions.udf.CIQ(A593, "IQ_PRICE_VOL_HIST_6MTH", F593)</f>
        <v>0</v>
      </c>
      <c r="K593">
        <f>_xll.ciqfunctions.udf.CIQ(A593, "IQ_LASTSALEPRICE", WORKDAY(F593,-1))</f>
        <v>0</v>
      </c>
      <c r="L593">
        <f>_xll.ciqfunctions.udf.CIQ(A593, "IQ_LASTSALEPRICE", F593)</f>
        <v>0</v>
      </c>
      <c r="M593">
        <f>_xll.ciqfunctions.udf.CIQ(A593, "IQ_LASTSALEPRICE", WORKDAY(F593,5))</f>
        <v>0</v>
      </c>
      <c r="N593" t="e">
        <f t="shared" si="18"/>
        <v>#DIV/0!</v>
      </c>
      <c r="O593" t="e">
        <f t="shared" si="19"/>
        <v>#DIV/0!</v>
      </c>
      <c r="P593">
        <f>LN(_xll.ciqfunctions.udf.CIQ("XBI", "IQ_LASTSALEPRICE", WORKDAY(F593,-1))/_xll.ciqfunctions.udf.CIQ("XBI", "IQ_LASTSALEPRICE", WORKDAY(F593,1)))</f>
        <v>-2.345773409792587E-2</v>
      </c>
      <c r="Q593">
        <f>LN(_xll.ciqfunctions.udf.CIQ("XBI", "IQ_LASTSALEPRICE", WORKDAY(F593,-1))/_xll.ciqfunctions.udf.CIQ("XBI", "IQ_LASTSALEPRICE", WORKDAY(F593,5)))</f>
        <v>1.7961621509720475E-2</v>
      </c>
      <c r="R593">
        <f>_xll.ciqfunctions.udf.CIQ(A593, "IQ_SHORT_INTEREST_PERCENT", F593)</f>
        <v>0</v>
      </c>
      <c r="S593">
        <f>_xll.ciqfunctions.udf.CIQ(A593, "IQ_BETA_1YR_RSQ", F593)</f>
        <v>0</v>
      </c>
      <c r="T593">
        <f>_xll.ciqfunctions.udf.CIQ(A593, "IQ_VALUE_TRADED", F593)</f>
        <v>0</v>
      </c>
    </row>
    <row r="594" spans="1:20" x14ac:dyDescent="0.3">
      <c r="A594" t="s">
        <v>1785</v>
      </c>
      <c r="B594">
        <v>3.9</v>
      </c>
      <c r="C594" t="s">
        <v>1786</v>
      </c>
      <c r="D594" t="s">
        <v>1086</v>
      </c>
      <c r="E594" t="s">
        <v>36</v>
      </c>
      <c r="F594" s="1">
        <v>45378</v>
      </c>
      <c r="G594" t="s">
        <v>1787</v>
      </c>
      <c r="H594">
        <v>68</v>
      </c>
      <c r="I594">
        <f>_xll.ciqfunctions.udf.CIQ(A594, "IQ_MARKETCAP", F594)</f>
        <v>108.88238</v>
      </c>
      <c r="J594">
        <f>_xll.ciqfunctions.udf.CIQ(A594, "IQ_PRICE_VOL_HIST_6MTH", F594)</f>
        <v>111.4055</v>
      </c>
      <c r="K594">
        <f>_xll.ciqfunctions.udf.CIQ(A594, "IQ_LASTSALEPRICE", WORKDAY(F594,-1))</f>
        <v>3.83</v>
      </c>
      <c r="L594">
        <f>_xll.ciqfunctions.udf.CIQ(A594, "IQ_LASTSALEPRICE", F594)</f>
        <v>3.9</v>
      </c>
      <c r="M594">
        <f>_xll.ciqfunctions.udf.CIQ(A594, "IQ_LASTSALEPRICE", WORKDAY(F594,5))</f>
        <v>3.66</v>
      </c>
      <c r="N594">
        <f t="shared" si="18"/>
        <v>1.8111749943046103E-2</v>
      </c>
      <c r="O594">
        <f t="shared" si="19"/>
        <v>-4.5401655779279737E-2</v>
      </c>
      <c r="P594">
        <f>LN(_xll.ciqfunctions.udf.CIQ("XBI", "IQ_LASTSALEPRICE", WORKDAY(F594,-1))/_xll.ciqfunctions.udf.CIQ("XBI", "IQ_LASTSALEPRICE", WORKDAY(F594,1)))</f>
        <v>-2.345773409792587E-2</v>
      </c>
      <c r="Q594">
        <f>LN(_xll.ciqfunctions.udf.CIQ("XBI", "IQ_LASTSALEPRICE", WORKDAY(F594,-1))/_xll.ciqfunctions.udf.CIQ("XBI", "IQ_LASTSALEPRICE", WORKDAY(F594,5)))</f>
        <v>1.7961621509720475E-2</v>
      </c>
      <c r="R594">
        <f>_xll.ciqfunctions.udf.CIQ(A594, "IQ_SHORT_INTEREST_PERCENT", F594)</f>
        <v>2.3305400000000001</v>
      </c>
      <c r="S594">
        <f>_xll.ciqfunctions.udf.CIQ(A594, "IQ_BETA_1YR_RSQ", F594)</f>
        <v>2.1340000000000001E-2</v>
      </c>
      <c r="T594">
        <f>_xll.ciqfunctions.udf.CIQ(A594, "IQ_VALUE_TRADED", F594)</f>
        <v>2.5677300000000001</v>
      </c>
    </row>
    <row r="595" spans="1:20" x14ac:dyDescent="0.3">
      <c r="A595" t="s">
        <v>859</v>
      </c>
      <c r="B595">
        <v>1.82</v>
      </c>
      <c r="C595" t="s">
        <v>860</v>
      </c>
      <c r="D595" t="s">
        <v>861</v>
      </c>
      <c r="E595" t="s">
        <v>22</v>
      </c>
      <c r="F595" s="1">
        <v>45378</v>
      </c>
      <c r="G595" t="s">
        <v>1788</v>
      </c>
      <c r="I595">
        <f>_xll.ciqfunctions.udf.CIQ(A595, "IQ_MARKETCAP", F595)</f>
        <v>0</v>
      </c>
      <c r="J595">
        <f>_xll.ciqfunctions.udf.CIQ(A595, "IQ_PRICE_VOL_HIST_6MTH", F595)</f>
        <v>0</v>
      </c>
      <c r="K595">
        <f>_xll.ciqfunctions.udf.CIQ(A595, "IQ_LASTSALEPRICE", WORKDAY(F595,-1))</f>
        <v>0</v>
      </c>
      <c r="L595">
        <f>_xll.ciqfunctions.udf.CIQ(A595, "IQ_LASTSALEPRICE", F595)</f>
        <v>0</v>
      </c>
      <c r="M595">
        <f>_xll.ciqfunctions.udf.CIQ(A595, "IQ_LASTSALEPRICE", WORKDAY(F595,5))</f>
        <v>0</v>
      </c>
      <c r="N595" t="e">
        <f t="shared" si="18"/>
        <v>#DIV/0!</v>
      </c>
      <c r="O595" t="e">
        <f t="shared" si="19"/>
        <v>#DIV/0!</v>
      </c>
      <c r="P595">
        <f>LN(_xll.ciqfunctions.udf.CIQ("XBI", "IQ_LASTSALEPRICE", WORKDAY(F595,-1))/_xll.ciqfunctions.udf.CIQ("XBI", "IQ_LASTSALEPRICE", WORKDAY(F595,1)))</f>
        <v>-2.345773409792587E-2</v>
      </c>
      <c r="Q595">
        <f>LN(_xll.ciqfunctions.udf.CIQ("XBI", "IQ_LASTSALEPRICE", WORKDAY(F595,-1))/_xll.ciqfunctions.udf.CIQ("XBI", "IQ_LASTSALEPRICE", WORKDAY(F595,5)))</f>
        <v>1.7961621509720475E-2</v>
      </c>
      <c r="R595">
        <f>_xll.ciqfunctions.udf.CIQ(A595, "IQ_SHORT_INTEREST_PERCENT", F595)</f>
        <v>0</v>
      </c>
      <c r="S595">
        <f>_xll.ciqfunctions.udf.CIQ(A595, "IQ_BETA_1YR_RSQ", F595)</f>
        <v>0</v>
      </c>
      <c r="T595">
        <f>_xll.ciqfunctions.udf.CIQ(A595, "IQ_VALUE_TRADED", F595)</f>
        <v>0</v>
      </c>
    </row>
    <row r="596" spans="1:20" x14ac:dyDescent="0.3">
      <c r="A596" t="s">
        <v>1789</v>
      </c>
      <c r="B596">
        <v>1.79</v>
      </c>
      <c r="C596" t="s">
        <v>1790</v>
      </c>
      <c r="D596" t="s">
        <v>1791</v>
      </c>
      <c r="E596" t="s">
        <v>154</v>
      </c>
      <c r="F596" s="1">
        <v>45379</v>
      </c>
      <c r="G596" t="s">
        <v>1792</v>
      </c>
      <c r="H596">
        <v>84</v>
      </c>
      <c r="I596">
        <f>_xll.ciqfunctions.udf.CIQ(A596, "IQ_MARKETCAP", F596)</f>
        <v>106.91139</v>
      </c>
      <c r="J596">
        <f>_xll.ciqfunctions.udf.CIQ(A596, "IQ_PRICE_VOL_HIST_6MTH", F596)</f>
        <v>102.1289</v>
      </c>
      <c r="K596">
        <f>_xll.ciqfunctions.udf.CIQ(A596, "IQ_LASTSALEPRICE", WORKDAY(F596,-1))</f>
        <v>1.8</v>
      </c>
      <c r="L596">
        <f>_xll.ciqfunctions.udf.CIQ(A596, "IQ_LASTSALEPRICE", F596)</f>
        <v>1.79</v>
      </c>
      <c r="M596">
        <f>_xll.ciqfunctions.udf.CIQ(A596, "IQ_LASTSALEPRICE", WORKDAY(F596,5))</f>
        <v>1.75</v>
      </c>
      <c r="N596">
        <f t="shared" si="18"/>
        <v>-5.5710450494553601E-3</v>
      </c>
      <c r="O596">
        <f t="shared" si="19"/>
        <v>-2.8170876966696335E-2</v>
      </c>
      <c r="P596">
        <f>LN(_xll.ciqfunctions.udf.CIQ("XBI", "IQ_LASTSALEPRICE", WORKDAY(F596,-1))/_xll.ciqfunctions.udf.CIQ("XBI", "IQ_LASTSALEPRICE", WORKDAY(F596,1)))</f>
        <v>2.1074815673369766E-4</v>
      </c>
      <c r="Q596">
        <f>LN(_xll.ciqfunctions.udf.CIQ("XBI", "IQ_LASTSALEPRICE", WORKDAY(F596,-1))/_xll.ciqfunctions.udf.CIQ("XBI", "IQ_LASTSALEPRICE", WORKDAY(F596,5)))</f>
        <v>5.8802186947634082E-2</v>
      </c>
      <c r="R596">
        <f>_xll.ciqfunctions.udf.CIQ(A596, "IQ_SHORT_INTEREST_PERCENT", F596)</f>
        <v>0.80386999999999997</v>
      </c>
      <c r="S596">
        <f>_xll.ciqfunctions.udf.CIQ(A596, "IQ_BETA_1YR_RSQ", F596)</f>
        <v>2.9180000000000001E-2</v>
      </c>
      <c r="T596">
        <f>_xll.ciqfunctions.udf.CIQ(A596, "IQ_VALUE_TRADED", F596)</f>
        <v>0.81364999999999998</v>
      </c>
    </row>
    <row r="597" spans="1:20" x14ac:dyDescent="0.3">
      <c r="A597" t="s">
        <v>1140</v>
      </c>
      <c r="B597">
        <v>8.7100000000000009</v>
      </c>
      <c r="C597" t="s">
        <v>1793</v>
      </c>
      <c r="D597" t="s">
        <v>1794</v>
      </c>
      <c r="E597" t="s">
        <v>76</v>
      </c>
      <c r="F597" s="1">
        <v>45379</v>
      </c>
      <c r="G597" t="s">
        <v>1795</v>
      </c>
      <c r="H597">
        <v>162</v>
      </c>
      <c r="I597">
        <f>_xll.ciqfunctions.udf.CIQ(A597, "IQ_MARKETCAP", F597)</f>
        <v>1363.3645200000001</v>
      </c>
      <c r="J597">
        <f>_xll.ciqfunctions.udf.CIQ(A597, "IQ_PRICE_VOL_HIST_6MTH", F597)</f>
        <v>78.641099999999994</v>
      </c>
      <c r="K597">
        <f>_xll.ciqfunctions.udf.CIQ(A597, "IQ_LASTSALEPRICE", WORKDAY(F597,-1))</f>
        <v>8.6199999999999992</v>
      </c>
      <c r="L597">
        <f>_xll.ciqfunctions.udf.CIQ(A597, "IQ_LASTSALEPRICE", F597)</f>
        <v>8.7100000000000009</v>
      </c>
      <c r="M597">
        <f>_xll.ciqfunctions.udf.CIQ(A597, "IQ_LASTSALEPRICE", WORKDAY(F597,5))</f>
        <v>8.15</v>
      </c>
      <c r="N597">
        <f t="shared" si="18"/>
        <v>1.0386706188809842E-2</v>
      </c>
      <c r="O597">
        <f t="shared" si="19"/>
        <v>-5.6067157422830291E-2</v>
      </c>
      <c r="P597">
        <f>LN(_xll.ciqfunctions.udf.CIQ("XBI", "IQ_LASTSALEPRICE", WORKDAY(F597,-1))/_xll.ciqfunctions.udf.CIQ("XBI", "IQ_LASTSALEPRICE", WORKDAY(F597,1)))</f>
        <v>2.1074815673369766E-4</v>
      </c>
      <c r="Q597">
        <f>LN(_xll.ciqfunctions.udf.CIQ("XBI", "IQ_LASTSALEPRICE", WORKDAY(F597,-1))/_xll.ciqfunctions.udf.CIQ("XBI", "IQ_LASTSALEPRICE", WORKDAY(F597,5)))</f>
        <v>5.8802186947634082E-2</v>
      </c>
      <c r="R597">
        <f>_xll.ciqfunctions.udf.CIQ(A597, "IQ_SHORT_INTEREST_PERCENT", F597)</f>
        <v>11.994529999999999</v>
      </c>
      <c r="S597">
        <f>_xll.ciqfunctions.udf.CIQ(A597, "IQ_BETA_1YR_RSQ", F597)</f>
        <v>5.3600000000000002E-3</v>
      </c>
      <c r="T597">
        <f>_xll.ciqfunctions.udf.CIQ(A597, "IQ_VALUE_TRADED", F597)</f>
        <v>23.511620000000001</v>
      </c>
    </row>
    <row r="598" spans="1:20" x14ac:dyDescent="0.3">
      <c r="A598" t="s">
        <v>1796</v>
      </c>
      <c r="B598">
        <v>5.2</v>
      </c>
      <c r="C598" t="s">
        <v>1797</v>
      </c>
      <c r="D598" t="s">
        <v>1798</v>
      </c>
      <c r="E598" t="s">
        <v>76</v>
      </c>
      <c r="F598" s="1">
        <v>45379</v>
      </c>
      <c r="G598" t="s">
        <v>1799</v>
      </c>
      <c r="H598">
        <v>5</v>
      </c>
      <c r="I598">
        <f>_xll.ciqfunctions.udf.CIQ(A598, "IQ_MARKETCAP", F598)</f>
        <v>27.642320000000002</v>
      </c>
      <c r="J598">
        <f>_xll.ciqfunctions.udf.CIQ(A598, "IQ_PRICE_VOL_HIST_6MTH", F598)</f>
        <v>72.280199999999994</v>
      </c>
      <c r="K598">
        <f>_xll.ciqfunctions.udf.CIQ(A598, "IQ_LASTSALEPRICE", WORKDAY(F598,-1))</f>
        <v>5.1288</v>
      </c>
      <c r="L598">
        <f>_xll.ciqfunctions.udf.CIQ(A598, "IQ_LASTSALEPRICE", F598)</f>
        <v>5.2</v>
      </c>
      <c r="M598">
        <f>_xll.ciqfunctions.udf.CIQ(A598, "IQ_LASTSALEPRICE", WORKDAY(F598,5))</f>
        <v>4.6100000000000003</v>
      </c>
      <c r="N598">
        <f t="shared" si="18"/>
        <v>1.3786911896471261E-2</v>
      </c>
      <c r="O598">
        <f t="shared" si="19"/>
        <v>-0.10664385668235334</v>
      </c>
      <c r="P598">
        <f>LN(_xll.ciqfunctions.udf.CIQ("XBI", "IQ_LASTSALEPRICE", WORKDAY(F598,-1))/_xll.ciqfunctions.udf.CIQ("XBI", "IQ_LASTSALEPRICE", WORKDAY(F598,1)))</f>
        <v>2.1074815673369766E-4</v>
      </c>
      <c r="Q598">
        <f>LN(_xll.ciqfunctions.udf.CIQ("XBI", "IQ_LASTSALEPRICE", WORKDAY(F598,-1))/_xll.ciqfunctions.udf.CIQ("XBI", "IQ_LASTSALEPRICE", WORKDAY(F598,5)))</f>
        <v>5.8802186947634082E-2</v>
      </c>
      <c r="R598">
        <f>_xll.ciqfunctions.udf.CIQ(A598, "IQ_SHORT_INTEREST_PERCENT", F598)</f>
        <v>2.3254100000000002</v>
      </c>
      <c r="S598">
        <f>_xll.ciqfunctions.udf.CIQ(A598, "IQ_BETA_1YR_RSQ", F598)</f>
        <v>7.8740000000000004E-2</v>
      </c>
      <c r="T598">
        <f>_xll.ciqfunctions.udf.CIQ(A598, "IQ_VALUE_TRADED", F598)</f>
        <v>0.25497999999999998</v>
      </c>
    </row>
    <row r="599" spans="1:20" x14ac:dyDescent="0.3">
      <c r="A599" t="s">
        <v>478</v>
      </c>
      <c r="B599">
        <v>72.39</v>
      </c>
      <c r="C599" t="s">
        <v>1800</v>
      </c>
      <c r="D599" t="s">
        <v>104</v>
      </c>
      <c r="E599" t="s">
        <v>22</v>
      </c>
      <c r="F599" s="1">
        <v>45379</v>
      </c>
      <c r="G599" t="s">
        <v>1801</v>
      </c>
      <c r="I599">
        <f>_xll.ciqfunctions.udf.CIQ(A599, "IQ_MARKETCAP", F599)</f>
        <v>91201.906289999999</v>
      </c>
      <c r="J599">
        <f>_xll.ciqfunctions.udf.CIQ(A599, "IQ_PRICE_VOL_HIST_6MTH", F599)</f>
        <v>25.026299999999999</v>
      </c>
      <c r="K599">
        <f>_xll.ciqfunctions.udf.CIQ(A599, "IQ_LASTSALEPRICE", WORKDAY(F599,-1))</f>
        <v>73.010000000000005</v>
      </c>
      <c r="L599">
        <f>_xll.ciqfunctions.udf.CIQ(A599, "IQ_LASTSALEPRICE", F599)</f>
        <v>73.25</v>
      </c>
      <c r="M599">
        <f>_xll.ciqfunctions.udf.CIQ(A599, "IQ_LASTSALEPRICE", WORKDAY(F599,5))</f>
        <v>69.55</v>
      </c>
      <c r="N599">
        <f t="shared" si="18"/>
        <v>3.2818298291822584E-3</v>
      </c>
      <c r="O599">
        <f t="shared" si="19"/>
        <v>-4.8550499698542533E-2</v>
      </c>
      <c r="P599">
        <f>LN(_xll.ciqfunctions.udf.CIQ("XBI", "IQ_LASTSALEPRICE", WORKDAY(F599,-1))/_xll.ciqfunctions.udf.CIQ("XBI", "IQ_LASTSALEPRICE", WORKDAY(F599,1)))</f>
        <v>2.1074815673369766E-4</v>
      </c>
      <c r="Q599">
        <f>LN(_xll.ciqfunctions.udf.CIQ("XBI", "IQ_LASTSALEPRICE", WORKDAY(F599,-1))/_xll.ciqfunctions.udf.CIQ("XBI", "IQ_LASTSALEPRICE", WORKDAY(F599,5)))</f>
        <v>5.8802186947634082E-2</v>
      </c>
      <c r="R599">
        <f>_xll.ciqfunctions.udf.CIQ(A599, "IQ_SHORT_INTEREST_PERCENT", F599)</f>
        <v>1.54592</v>
      </c>
      <c r="S599">
        <f>_xll.ciqfunctions.udf.CIQ(A599, "IQ_BETA_1YR_RSQ", F599)</f>
        <v>6.2379999999999998E-2</v>
      </c>
      <c r="T599">
        <f>_xll.ciqfunctions.udf.CIQ(A599, "IQ_VALUE_TRADED", F599)</f>
        <v>613.08074999999997</v>
      </c>
    </row>
    <row r="600" spans="1:20" x14ac:dyDescent="0.3">
      <c r="A600" t="s">
        <v>1802</v>
      </c>
      <c r="B600">
        <v>1.08</v>
      </c>
      <c r="C600" t="s">
        <v>1800</v>
      </c>
      <c r="D600" t="s">
        <v>104</v>
      </c>
      <c r="E600" t="s">
        <v>22</v>
      </c>
      <c r="F600" s="1">
        <v>45379</v>
      </c>
      <c r="G600" t="s">
        <v>1801</v>
      </c>
      <c r="H600">
        <v>51</v>
      </c>
      <c r="I600">
        <f>_xll.ciqfunctions.udf.CIQ(A600, "IQ_MARKETCAP", F600)</f>
        <v>37.21725</v>
      </c>
      <c r="J600">
        <f>_xll.ciqfunctions.udf.CIQ(A600, "IQ_PRICE_VOL_HIST_6MTH", F600)</f>
        <v>127.9774</v>
      </c>
      <c r="K600">
        <f>_xll.ciqfunctions.udf.CIQ(A600, "IQ_LASTSALEPRICE", WORKDAY(F600,-1))</f>
        <v>0.63900000000000001</v>
      </c>
      <c r="L600">
        <f>_xll.ciqfunctions.udf.CIQ(A600, "IQ_LASTSALEPRICE", F600)</f>
        <v>1.08</v>
      </c>
      <c r="M600">
        <f>_xll.ciqfunctions.udf.CIQ(A600, "IQ_LASTSALEPRICE", WORKDAY(F600,5))</f>
        <v>1.21</v>
      </c>
      <c r="N600">
        <f t="shared" si="18"/>
        <v>0.52481186574073058</v>
      </c>
      <c r="O600">
        <f t="shared" si="19"/>
        <v>0.638471184213252</v>
      </c>
      <c r="P600">
        <f>LN(_xll.ciqfunctions.udf.CIQ("XBI", "IQ_LASTSALEPRICE", WORKDAY(F600,-1))/_xll.ciqfunctions.udf.CIQ("XBI", "IQ_LASTSALEPRICE", WORKDAY(F600,1)))</f>
        <v>2.1074815673369766E-4</v>
      </c>
      <c r="Q600">
        <f>LN(_xll.ciqfunctions.udf.CIQ("XBI", "IQ_LASTSALEPRICE", WORKDAY(F600,-1))/_xll.ciqfunctions.udf.CIQ("XBI", "IQ_LASTSALEPRICE", WORKDAY(F600,5)))</f>
        <v>5.8802186947634082E-2</v>
      </c>
      <c r="R600">
        <f>_xll.ciqfunctions.udf.CIQ(A600, "IQ_SHORT_INTEREST_PERCENT", F600)</f>
        <v>0.16722999999999999</v>
      </c>
      <c r="S600">
        <f>_xll.ciqfunctions.udf.CIQ(A600, "IQ_BETA_1YR_RSQ", F600)</f>
        <v>5.2599999999999999E-3</v>
      </c>
      <c r="T600">
        <f>_xll.ciqfunctions.udf.CIQ(A600, "IQ_VALUE_TRADED", F600)</f>
        <v>37.302410000000002</v>
      </c>
    </row>
    <row r="601" spans="1:20" x14ac:dyDescent="0.3">
      <c r="A601" t="s">
        <v>8</v>
      </c>
      <c r="B601">
        <v>23.8</v>
      </c>
      <c r="C601" t="s">
        <v>1803</v>
      </c>
      <c r="D601" t="s">
        <v>1804</v>
      </c>
      <c r="E601" t="s">
        <v>76</v>
      </c>
      <c r="F601" s="1">
        <v>45379</v>
      </c>
      <c r="G601" t="s">
        <v>1805</v>
      </c>
      <c r="H601">
        <v>86</v>
      </c>
      <c r="I601">
        <f>_xll.ciqfunctions.udf.CIQ(A601, "IQ_MARKETCAP", F601)</f>
        <v>2022.17857</v>
      </c>
      <c r="J601">
        <f>_xll.ciqfunctions.udf.CIQ(A601, "IQ_PRICE_VOL_HIST_6MTH", F601)</f>
        <v>54.32</v>
      </c>
      <c r="K601">
        <f>_xll.ciqfunctions.udf.CIQ(A601, "IQ_LASTSALEPRICE", WORKDAY(F601,-1))</f>
        <v>23.07</v>
      </c>
      <c r="L601">
        <f>_xll.ciqfunctions.udf.CIQ(A601, "IQ_LASTSALEPRICE", F601)</f>
        <v>23.8</v>
      </c>
      <c r="M601">
        <f>_xll.ciqfunctions.udf.CIQ(A601, "IQ_LASTSALEPRICE", WORKDAY(F601,5))</f>
        <v>22.62</v>
      </c>
      <c r="N601">
        <f t="shared" si="18"/>
        <v>3.1152508491766658E-2</v>
      </c>
      <c r="O601">
        <f t="shared" si="19"/>
        <v>-1.9698601497687904E-2</v>
      </c>
      <c r="P601">
        <f>LN(_xll.ciqfunctions.udf.CIQ("XBI", "IQ_LASTSALEPRICE", WORKDAY(F601,-1))/_xll.ciqfunctions.udf.CIQ("XBI", "IQ_LASTSALEPRICE", WORKDAY(F601,1)))</f>
        <v>2.1074815673369766E-4</v>
      </c>
      <c r="Q601">
        <f>LN(_xll.ciqfunctions.udf.CIQ("XBI", "IQ_LASTSALEPRICE", WORKDAY(F601,-1))/_xll.ciqfunctions.udf.CIQ("XBI", "IQ_LASTSALEPRICE", WORKDAY(F601,5)))</f>
        <v>5.8802186947634082E-2</v>
      </c>
      <c r="R601">
        <f>_xll.ciqfunctions.udf.CIQ(A601, "IQ_SHORT_INTEREST_PERCENT", F601)</f>
        <v>9.8031900000000007</v>
      </c>
      <c r="S601">
        <f>_xll.ciqfunctions.udf.CIQ(A601, "IQ_BETA_1YR_RSQ", F601)</f>
        <v>0.23862</v>
      </c>
      <c r="T601">
        <f>_xll.ciqfunctions.udf.CIQ(A601, "IQ_VALUE_TRADED", F601)</f>
        <v>25.189299999999999</v>
      </c>
    </row>
    <row r="602" spans="1:20" x14ac:dyDescent="0.3">
      <c r="A602" t="s">
        <v>1806</v>
      </c>
      <c r="B602">
        <v>3.79</v>
      </c>
      <c r="C602" t="s">
        <v>1807</v>
      </c>
      <c r="D602" t="s">
        <v>1764</v>
      </c>
      <c r="E602" t="s">
        <v>46</v>
      </c>
      <c r="F602" s="1">
        <v>45379</v>
      </c>
      <c r="G602" t="s">
        <v>1808</v>
      </c>
      <c r="H602">
        <v>232</v>
      </c>
      <c r="I602">
        <f>_xll.ciqfunctions.udf.CIQ(A602, "IQ_MARKETCAP", F602)</f>
        <v>129.02006</v>
      </c>
      <c r="J602">
        <f>_xll.ciqfunctions.udf.CIQ(A602, "IQ_PRICE_VOL_HIST_6MTH", F602)</f>
        <v>225.24590000000001</v>
      </c>
      <c r="K602">
        <f>_xll.ciqfunctions.udf.CIQ(A602, "IQ_LASTSALEPRICE", WORKDAY(F602,-1))</f>
        <v>4.0599999999999996</v>
      </c>
      <c r="L602">
        <f>_xll.ciqfunctions.udf.CIQ(A602, "IQ_LASTSALEPRICE", F602)</f>
        <v>3.7850000000000001</v>
      </c>
      <c r="M602">
        <f>_xll.ciqfunctions.udf.CIQ(A602, "IQ_LASTSALEPRICE", WORKDAY(F602,5))</f>
        <v>2.69</v>
      </c>
      <c r="N602">
        <f t="shared" si="18"/>
        <v>-7.0137086724229053E-2</v>
      </c>
      <c r="O602">
        <f t="shared" si="19"/>
        <v>-0.41164177999989349</v>
      </c>
      <c r="P602">
        <f>LN(_xll.ciqfunctions.udf.CIQ("XBI", "IQ_LASTSALEPRICE", WORKDAY(F602,-1))/_xll.ciqfunctions.udf.CIQ("XBI", "IQ_LASTSALEPRICE", WORKDAY(F602,1)))</f>
        <v>2.1074815673369766E-4</v>
      </c>
      <c r="Q602">
        <f>LN(_xll.ciqfunctions.udf.CIQ("XBI", "IQ_LASTSALEPRICE", WORKDAY(F602,-1))/_xll.ciqfunctions.udf.CIQ("XBI", "IQ_LASTSALEPRICE", WORKDAY(F602,5)))</f>
        <v>5.8802186947634082E-2</v>
      </c>
      <c r="R602">
        <f>_xll.ciqfunctions.udf.CIQ(A602, "IQ_SHORT_INTEREST_PERCENT", F602)</f>
        <v>2.5621200000000002</v>
      </c>
      <c r="S602">
        <f>_xll.ciqfunctions.udf.CIQ(A602, "IQ_BETA_1YR_RSQ", F602)</f>
        <v>4.0000000000000003E-5</v>
      </c>
      <c r="T602">
        <f>_xll.ciqfunctions.udf.CIQ(A602, "IQ_VALUE_TRADED", F602)</f>
        <v>2.5850200000000001</v>
      </c>
    </row>
    <row r="603" spans="1:20" x14ac:dyDescent="0.3">
      <c r="A603" t="s">
        <v>1099</v>
      </c>
      <c r="B603">
        <v>0.67</v>
      </c>
      <c r="C603" t="s">
        <v>1100</v>
      </c>
      <c r="D603" t="s">
        <v>1101</v>
      </c>
      <c r="E603" t="s">
        <v>17</v>
      </c>
      <c r="F603" s="1">
        <v>45379</v>
      </c>
      <c r="G603" t="s">
        <v>1809</v>
      </c>
      <c r="H603">
        <v>2</v>
      </c>
      <c r="I603">
        <f>_xll.ciqfunctions.udf.CIQ(A603, "IQ_MARKETCAP", F603)</f>
        <v>65.333849999999998</v>
      </c>
      <c r="J603">
        <f>_xll.ciqfunctions.udf.CIQ(A603, "IQ_PRICE_VOL_HIST_6MTH", F603)</f>
        <v>83.861999999999995</v>
      </c>
      <c r="K603">
        <f>_xll.ciqfunctions.udf.CIQ(A603, "IQ_LASTSALEPRICE", WORKDAY(F603,-1))</f>
        <v>0.24299999999999999</v>
      </c>
      <c r="L603">
        <f>_xll.ciqfunctions.udf.CIQ(A603, "IQ_LASTSALEPRICE", F603)</f>
        <v>0.246</v>
      </c>
      <c r="M603">
        <f>_xll.ciqfunctions.udf.CIQ(A603, "IQ_LASTSALEPRICE", WORKDAY(F603,5))</f>
        <v>0.251</v>
      </c>
      <c r="N603">
        <f t="shared" si="18"/>
        <v>1.2270092591814401E-2</v>
      </c>
      <c r="O603">
        <f t="shared" si="19"/>
        <v>3.23914957912355E-2</v>
      </c>
      <c r="P603">
        <f>LN(_xll.ciqfunctions.udf.CIQ("XBI", "IQ_LASTSALEPRICE", WORKDAY(F603,-1))/_xll.ciqfunctions.udf.CIQ("XBI", "IQ_LASTSALEPRICE", WORKDAY(F603,1)))</f>
        <v>2.1074815673369766E-4</v>
      </c>
      <c r="Q603">
        <f>LN(_xll.ciqfunctions.udf.CIQ("XBI", "IQ_LASTSALEPRICE", WORKDAY(F603,-1))/_xll.ciqfunctions.udf.CIQ("XBI", "IQ_LASTSALEPRICE", WORKDAY(F603,5)))</f>
        <v>5.8802186947634082E-2</v>
      </c>
      <c r="R603">
        <f>_xll.ciqfunctions.udf.CIQ(A603, "IQ_SHORT_INTEREST_PERCENT", F603)</f>
        <v>0</v>
      </c>
      <c r="S603">
        <f>_xll.ciqfunctions.udf.CIQ(A603, "IQ_BETA_1YR_RSQ", F603)</f>
        <v>5.0139999999999997E-2</v>
      </c>
      <c r="T603">
        <f>_xll.ciqfunctions.udf.CIQ(A603, "IQ_VALUE_TRADED", F603)</f>
        <v>5.2560000000000003E-2</v>
      </c>
    </row>
    <row r="604" spans="1:20" x14ac:dyDescent="0.3">
      <c r="A604" t="s">
        <v>1810</v>
      </c>
      <c r="B604">
        <v>0.14000000000000001</v>
      </c>
      <c r="C604" t="s">
        <v>1811</v>
      </c>
      <c r="D604" t="s">
        <v>1812</v>
      </c>
      <c r="E604" t="s">
        <v>17</v>
      </c>
      <c r="F604" s="1">
        <v>45379</v>
      </c>
      <c r="G604" t="s">
        <v>1813</v>
      </c>
      <c r="H604">
        <v>75</v>
      </c>
      <c r="I604">
        <f>_xll.ciqfunctions.udf.CIQ(A604, "IQ_MARKETCAP", F604)</f>
        <v>7.6148999999999996</v>
      </c>
      <c r="J604">
        <f>_xll.ciqfunctions.udf.CIQ(A604, "IQ_PRICE_VOL_HIST_6MTH", F604)</f>
        <v>170.51</v>
      </c>
      <c r="K604">
        <f>_xll.ciqfunctions.udf.CIQ(A604, "IQ_LASTSALEPRICE", WORKDAY(F604,-1))</f>
        <v>0.1535</v>
      </c>
      <c r="L604">
        <f>_xll.ciqfunctions.udf.CIQ(A604, "IQ_LASTSALEPRICE", F604)</f>
        <v>0.14000000000000001</v>
      </c>
      <c r="M604">
        <f>_xll.ciqfunctions.udf.CIQ(A604, "IQ_LASTSALEPRICE", WORKDAY(F604,5))</f>
        <v>0.16200000000000001</v>
      </c>
      <c r="N604">
        <f t="shared" si="18"/>
        <v>-9.2058144417947463E-2</v>
      </c>
      <c r="O604">
        <f t="shared" si="19"/>
        <v>5.3895768205132255E-2</v>
      </c>
      <c r="P604">
        <f>LN(_xll.ciqfunctions.udf.CIQ("XBI", "IQ_LASTSALEPRICE", WORKDAY(F604,-1))/_xll.ciqfunctions.udf.CIQ("XBI", "IQ_LASTSALEPRICE", WORKDAY(F604,1)))</f>
        <v>2.1074815673369766E-4</v>
      </c>
      <c r="Q604">
        <f>LN(_xll.ciqfunctions.udf.CIQ("XBI", "IQ_LASTSALEPRICE", WORKDAY(F604,-1))/_xll.ciqfunctions.udf.CIQ("XBI", "IQ_LASTSALEPRICE", WORKDAY(F604,5)))</f>
        <v>5.8802186947634082E-2</v>
      </c>
      <c r="R604">
        <f>_xll.ciqfunctions.udf.CIQ(A604, "IQ_SHORT_INTEREST_PERCENT", F604)</f>
        <v>5.1521400000000002</v>
      </c>
      <c r="S604">
        <f>_xll.ciqfunctions.udf.CIQ(A604, "IQ_BETA_1YR_RSQ", F604)</f>
        <v>2.6099999999999999E-3</v>
      </c>
      <c r="T604">
        <f>_xll.ciqfunctions.udf.CIQ(A604, "IQ_VALUE_TRADED", F604)</f>
        <v>0.60394000000000003</v>
      </c>
    </row>
    <row r="605" spans="1:20" x14ac:dyDescent="0.3">
      <c r="A605" t="s">
        <v>1810</v>
      </c>
      <c r="B605">
        <v>0.14000000000000001</v>
      </c>
      <c r="C605" t="s">
        <v>1814</v>
      </c>
      <c r="D605" t="s">
        <v>369</v>
      </c>
      <c r="E605" t="s">
        <v>197</v>
      </c>
      <c r="F605" s="1">
        <v>45379</v>
      </c>
      <c r="G605" t="s">
        <v>1813</v>
      </c>
      <c r="H605">
        <v>75</v>
      </c>
      <c r="I605">
        <f>_xll.ciqfunctions.udf.CIQ(A605, "IQ_MARKETCAP", F605)</f>
        <v>7.6148999999999996</v>
      </c>
      <c r="J605">
        <f>_xll.ciqfunctions.udf.CIQ(A605, "IQ_PRICE_VOL_HIST_6MTH", F605)</f>
        <v>170.51</v>
      </c>
      <c r="K605">
        <f>_xll.ciqfunctions.udf.CIQ(A605, "IQ_LASTSALEPRICE", WORKDAY(F605,-1))</f>
        <v>0.1535</v>
      </c>
      <c r="L605">
        <f>_xll.ciqfunctions.udf.CIQ(A605, "IQ_LASTSALEPRICE", F605)</f>
        <v>0.14000000000000001</v>
      </c>
      <c r="M605">
        <f>_xll.ciqfunctions.udf.CIQ(A605, "IQ_LASTSALEPRICE", WORKDAY(F605,5))</f>
        <v>0.16200000000000001</v>
      </c>
      <c r="N605">
        <f t="shared" si="18"/>
        <v>-9.2058144417947463E-2</v>
      </c>
      <c r="O605">
        <f t="shared" si="19"/>
        <v>5.3895768205132255E-2</v>
      </c>
      <c r="P605">
        <f>LN(_xll.ciqfunctions.udf.CIQ("XBI", "IQ_LASTSALEPRICE", WORKDAY(F605,-1))/_xll.ciqfunctions.udf.CIQ("XBI", "IQ_LASTSALEPRICE", WORKDAY(F605,1)))</f>
        <v>2.1074815673369766E-4</v>
      </c>
      <c r="Q605">
        <f>LN(_xll.ciqfunctions.udf.CIQ("XBI", "IQ_LASTSALEPRICE", WORKDAY(F605,-1))/_xll.ciqfunctions.udf.CIQ("XBI", "IQ_LASTSALEPRICE", WORKDAY(F605,5)))</f>
        <v>5.8802186947634082E-2</v>
      </c>
      <c r="R605">
        <f>_xll.ciqfunctions.udf.CIQ(A605, "IQ_SHORT_INTEREST_PERCENT", F605)</f>
        <v>5.1521400000000002</v>
      </c>
      <c r="S605">
        <f>_xll.ciqfunctions.udf.CIQ(A605, "IQ_BETA_1YR_RSQ", F605)</f>
        <v>2.6099999999999999E-3</v>
      </c>
      <c r="T605">
        <f>_xll.ciqfunctions.udf.CIQ(A605, "IQ_VALUE_TRADED", F605)</f>
        <v>0.60394000000000003</v>
      </c>
    </row>
    <row r="606" spans="1:20" x14ac:dyDescent="0.3">
      <c r="A606" t="s">
        <v>134</v>
      </c>
      <c r="B606">
        <v>6.8</v>
      </c>
      <c r="C606" t="s">
        <v>1815</v>
      </c>
      <c r="D606" t="s">
        <v>1816</v>
      </c>
      <c r="E606" t="s">
        <v>1036</v>
      </c>
      <c r="F606" s="1">
        <v>45379</v>
      </c>
      <c r="G606" t="s">
        <v>1817</v>
      </c>
      <c r="H606">
        <v>144</v>
      </c>
      <c r="I606">
        <f>_xll.ciqfunctions.udf.CIQ(A606, "IQ_MARKETCAP", F606)</f>
        <v>720.03044999999997</v>
      </c>
      <c r="J606">
        <f>_xll.ciqfunctions.udf.CIQ(A606, "IQ_PRICE_VOL_HIST_6MTH", F606)</f>
        <v>137.45310000000001</v>
      </c>
      <c r="K606">
        <f>_xll.ciqfunctions.udf.CIQ(A606, "IQ_LASTSALEPRICE", WORKDAY(F606,-1))</f>
        <v>6.85</v>
      </c>
      <c r="L606">
        <f>_xll.ciqfunctions.udf.CIQ(A606, "IQ_LASTSALEPRICE", F606)</f>
        <v>6.8</v>
      </c>
      <c r="M606">
        <f>_xll.ciqfunctions.udf.CIQ(A606, "IQ_LASTSALEPRICE", WORKDAY(F606,5))</f>
        <v>5.92</v>
      </c>
      <c r="N606">
        <f t="shared" si="18"/>
        <v>-7.3260400920728977E-3</v>
      </c>
      <c r="O606">
        <f t="shared" si="19"/>
        <v>-0.14591220337821956</v>
      </c>
      <c r="P606">
        <f>LN(_xll.ciqfunctions.udf.CIQ("XBI", "IQ_LASTSALEPRICE", WORKDAY(F606,-1))/_xll.ciqfunctions.udf.CIQ("XBI", "IQ_LASTSALEPRICE", WORKDAY(F606,1)))</f>
        <v>2.1074815673369766E-4</v>
      </c>
      <c r="Q606">
        <f>LN(_xll.ciqfunctions.udf.CIQ("XBI", "IQ_LASTSALEPRICE", WORKDAY(F606,-1))/_xll.ciqfunctions.udf.CIQ("XBI", "IQ_LASTSALEPRICE", WORKDAY(F606,5)))</f>
        <v>5.8802186947634082E-2</v>
      </c>
      <c r="R606">
        <f>_xll.ciqfunctions.udf.CIQ(A606, "IQ_SHORT_INTEREST_PERCENT", F606)</f>
        <v>3.58148</v>
      </c>
      <c r="S606">
        <f>_xll.ciqfunctions.udf.CIQ(A606, "IQ_BETA_1YR_RSQ", F606)</f>
        <v>2.5760000000000002E-2</v>
      </c>
      <c r="T606">
        <f>_xll.ciqfunctions.udf.CIQ(A606, "IQ_VALUE_TRADED", F606)</f>
        <v>10.613239999999999</v>
      </c>
    </row>
    <row r="607" spans="1:20" x14ac:dyDescent="0.3">
      <c r="A607" t="s">
        <v>1818</v>
      </c>
      <c r="B607">
        <v>137.91999999999999</v>
      </c>
      <c r="C607" t="s">
        <v>1819</v>
      </c>
      <c r="D607" t="s">
        <v>1820</v>
      </c>
      <c r="E607" t="s">
        <v>22</v>
      </c>
      <c r="F607" s="1">
        <v>45379</v>
      </c>
      <c r="G607" t="s">
        <v>1821</v>
      </c>
      <c r="H607">
        <v>99</v>
      </c>
      <c r="I607">
        <f>_xll.ciqfunctions.udf.CIQ(A607, "IQ_MARKETCAP", F607)</f>
        <v>13724.07302</v>
      </c>
      <c r="J607">
        <f>_xll.ciqfunctions.udf.CIQ(A607, "IQ_PRICE_VOL_HIST_6MTH", F607)</f>
        <v>25.957599999999999</v>
      </c>
      <c r="K607">
        <f>_xll.ciqfunctions.udf.CIQ(A607, "IQ_LASTSALEPRICE", WORKDAY(F607,-1))</f>
        <v>137.83000000000001</v>
      </c>
      <c r="L607">
        <f>_xll.ciqfunctions.udf.CIQ(A607, "IQ_LASTSALEPRICE", F607)</f>
        <v>137.91999999999999</v>
      </c>
      <c r="M607">
        <f>_xll.ciqfunctions.udf.CIQ(A607, "IQ_LASTSALEPRICE", WORKDAY(F607,5))</f>
        <v>137.61000000000001</v>
      </c>
      <c r="N607">
        <f t="shared" si="18"/>
        <v>6.5276520903527339E-4</v>
      </c>
      <c r="O607">
        <f t="shared" si="19"/>
        <v>-1.5974444291571755E-3</v>
      </c>
      <c r="P607">
        <f>LN(_xll.ciqfunctions.udf.CIQ("XBI", "IQ_LASTSALEPRICE", WORKDAY(F607,-1))/_xll.ciqfunctions.udf.CIQ("XBI", "IQ_LASTSALEPRICE", WORKDAY(F607,1)))</f>
        <v>2.1074815673369766E-4</v>
      </c>
      <c r="Q607">
        <f>LN(_xll.ciqfunctions.udf.CIQ("XBI", "IQ_LASTSALEPRICE", WORKDAY(F607,-1))/_xll.ciqfunctions.udf.CIQ("XBI", "IQ_LASTSALEPRICE", WORKDAY(F607,5)))</f>
        <v>5.8802186947634082E-2</v>
      </c>
      <c r="R607">
        <f>_xll.ciqfunctions.udf.CIQ(A607, "IQ_SHORT_INTEREST_PERCENT", F607)</f>
        <v>2.4960100000000001</v>
      </c>
      <c r="S607">
        <f>_xll.ciqfunctions.udf.CIQ(A607, "IQ_BETA_1YR_RSQ", F607)</f>
        <v>0.10011</v>
      </c>
      <c r="T607">
        <f>_xll.ciqfunctions.udf.CIQ(A607, "IQ_VALUE_TRADED", F607)</f>
        <v>171.80197999999999</v>
      </c>
    </row>
    <row r="608" spans="1:20" x14ac:dyDescent="0.3">
      <c r="A608" t="s">
        <v>839</v>
      </c>
      <c r="B608">
        <v>1.58</v>
      </c>
      <c r="C608" t="s">
        <v>840</v>
      </c>
      <c r="D608" t="s">
        <v>841</v>
      </c>
      <c r="E608" t="s">
        <v>46</v>
      </c>
      <c r="F608" s="1">
        <v>45379</v>
      </c>
      <c r="G608" t="s">
        <v>1822</v>
      </c>
      <c r="H608">
        <v>54</v>
      </c>
      <c r="I608">
        <f>_xll.ciqfunctions.udf.CIQ(A608, "IQ_MARKETCAP", F608)</f>
        <v>46.369</v>
      </c>
      <c r="J608">
        <f>_xll.ciqfunctions.udf.CIQ(A608, "IQ_PRICE_VOL_HIST_6MTH", F608)</f>
        <v>109.5176</v>
      </c>
      <c r="K608">
        <f>_xll.ciqfunctions.udf.CIQ(A608, "IQ_LASTSALEPRICE", WORKDAY(F608,-1))</f>
        <v>1.54</v>
      </c>
      <c r="L608">
        <f>_xll.ciqfunctions.udf.CIQ(A608, "IQ_LASTSALEPRICE", F608)</f>
        <v>1.58</v>
      </c>
      <c r="M608">
        <f>_xll.ciqfunctions.udf.CIQ(A608, "IQ_LASTSALEPRICE", WORKDAY(F608,5))</f>
        <v>6.4</v>
      </c>
      <c r="N608">
        <f t="shared" si="18"/>
        <v>2.5642430613337652E-2</v>
      </c>
      <c r="O608">
        <f t="shared" si="19"/>
        <v>1.4245155739400885</v>
      </c>
      <c r="P608">
        <f>LN(_xll.ciqfunctions.udf.CIQ("XBI", "IQ_LASTSALEPRICE", WORKDAY(F608,-1))/_xll.ciqfunctions.udf.CIQ("XBI", "IQ_LASTSALEPRICE", WORKDAY(F608,1)))</f>
        <v>2.1074815673369766E-4</v>
      </c>
      <c r="Q608">
        <f>LN(_xll.ciqfunctions.udf.CIQ("XBI", "IQ_LASTSALEPRICE", WORKDAY(F608,-1))/_xll.ciqfunctions.udf.CIQ("XBI", "IQ_LASTSALEPRICE", WORKDAY(F608,5)))</f>
        <v>5.8802186947634082E-2</v>
      </c>
      <c r="R608">
        <f>_xll.ciqfunctions.udf.CIQ(A608, "IQ_SHORT_INTEREST_PERCENT", F608)</f>
        <v>0.50183</v>
      </c>
      <c r="S608">
        <f>_xll.ciqfunctions.udf.CIQ(A608, "IQ_BETA_1YR_RSQ", F608)</f>
        <v>2.5600000000000002E-3</v>
      </c>
      <c r="T608">
        <f>_xll.ciqfunctions.udf.CIQ(A608, "IQ_VALUE_TRADED", F608)</f>
        <v>4.8379999999999999E-2</v>
      </c>
    </row>
    <row r="609" spans="1:20" x14ac:dyDescent="0.3">
      <c r="A609" t="s">
        <v>203</v>
      </c>
      <c r="B609">
        <v>52.81</v>
      </c>
      <c r="C609" t="s">
        <v>1823</v>
      </c>
      <c r="D609" t="s">
        <v>253</v>
      </c>
      <c r="E609" t="s">
        <v>36</v>
      </c>
      <c r="F609" s="1">
        <v>45379</v>
      </c>
      <c r="G609" t="s">
        <v>1824</v>
      </c>
      <c r="I609">
        <f>_xll.ciqfunctions.udf.CIQ(A609, "IQ_MARKETCAP", F609)</f>
        <v>109911.12510999999</v>
      </c>
      <c r="J609">
        <f>_xll.ciqfunctions.udf.CIQ(A609, "IQ_PRICE_VOL_HIST_6MTH", F609)</f>
        <v>22.153300000000002</v>
      </c>
      <c r="K609">
        <f>_xll.ciqfunctions.udf.CIQ(A609, "IQ_LASTSALEPRICE", WORKDAY(F609,-1))</f>
        <v>53.25</v>
      </c>
      <c r="L609">
        <f>_xll.ciqfunctions.udf.CIQ(A609, "IQ_LASTSALEPRICE", F609)</f>
        <v>54.23</v>
      </c>
      <c r="M609">
        <f>_xll.ciqfunctions.udf.CIQ(A609, "IQ_LASTSALEPRICE", WORKDAY(F609,5))</f>
        <v>51.4</v>
      </c>
      <c r="N609">
        <f t="shared" si="18"/>
        <v>1.8236456263434779E-2</v>
      </c>
      <c r="O609">
        <f t="shared" si="19"/>
        <v>-3.5359632128415058E-2</v>
      </c>
      <c r="P609">
        <f>LN(_xll.ciqfunctions.udf.CIQ("XBI", "IQ_LASTSALEPRICE", WORKDAY(F609,-1))/_xll.ciqfunctions.udf.CIQ("XBI", "IQ_LASTSALEPRICE", WORKDAY(F609,1)))</f>
        <v>2.1074815673369766E-4</v>
      </c>
      <c r="Q609">
        <f>LN(_xll.ciqfunctions.udf.CIQ("XBI", "IQ_LASTSALEPRICE", WORKDAY(F609,-1))/_xll.ciqfunctions.udf.CIQ("XBI", "IQ_LASTSALEPRICE", WORKDAY(F609,5)))</f>
        <v>5.8802186947634082E-2</v>
      </c>
      <c r="R609">
        <f>_xll.ciqfunctions.udf.CIQ(A609, "IQ_SHORT_INTEREST_PERCENT", F609)</f>
        <v>1.83812</v>
      </c>
      <c r="S609">
        <f>_xll.ciqfunctions.udf.CIQ(A609, "IQ_BETA_1YR_RSQ", F609)</f>
        <v>5.4210000000000001E-2</v>
      </c>
      <c r="T609">
        <f>_xll.ciqfunctions.udf.CIQ(A609, "IQ_VALUE_TRADED", F609)</f>
        <v>778.10266999999999</v>
      </c>
    </row>
    <row r="610" spans="1:20" x14ac:dyDescent="0.3">
      <c r="A610" t="s">
        <v>1825</v>
      </c>
      <c r="B610">
        <v>1.38</v>
      </c>
      <c r="C610" t="s">
        <v>1826</v>
      </c>
      <c r="D610" t="s">
        <v>1827</v>
      </c>
      <c r="E610" t="s">
        <v>184</v>
      </c>
      <c r="F610" s="1">
        <v>45379</v>
      </c>
      <c r="G610" t="s">
        <v>1828</v>
      </c>
      <c r="H610">
        <v>89</v>
      </c>
      <c r="I610">
        <f>_xll.ciqfunctions.udf.CIQ(A610, "IQ_MARKETCAP", F610)</f>
        <v>22.033149999999999</v>
      </c>
      <c r="J610">
        <f>_xll.ciqfunctions.udf.CIQ(A610, "IQ_PRICE_VOL_HIST_6MTH", F610)</f>
        <v>91.565299999999993</v>
      </c>
      <c r="K610">
        <f>_xll.ciqfunctions.udf.CIQ(A610, "IQ_LASTSALEPRICE", WORKDAY(F610,-1))</f>
        <v>1.3819999999999999</v>
      </c>
      <c r="L610">
        <f>_xll.ciqfunctions.udf.CIQ(A610, "IQ_LASTSALEPRICE", F610)</f>
        <v>1.38</v>
      </c>
      <c r="M610">
        <f>_xll.ciqfunctions.udf.CIQ(A610, "IQ_LASTSALEPRICE", WORKDAY(F610,5))</f>
        <v>1.28</v>
      </c>
      <c r="N610">
        <f t="shared" si="18"/>
        <v>-1.4482261763648749E-3</v>
      </c>
      <c r="O610">
        <f t="shared" si="19"/>
        <v>-7.6671647413952285E-2</v>
      </c>
      <c r="P610">
        <f>LN(_xll.ciqfunctions.udf.CIQ("XBI", "IQ_LASTSALEPRICE", WORKDAY(F610,-1))/_xll.ciqfunctions.udf.CIQ("XBI", "IQ_LASTSALEPRICE", WORKDAY(F610,1)))</f>
        <v>2.1074815673369766E-4</v>
      </c>
      <c r="Q610">
        <f>LN(_xll.ciqfunctions.udf.CIQ("XBI", "IQ_LASTSALEPRICE", WORKDAY(F610,-1))/_xll.ciqfunctions.udf.CIQ("XBI", "IQ_LASTSALEPRICE", WORKDAY(F610,5)))</f>
        <v>5.8802186947634082E-2</v>
      </c>
      <c r="R610">
        <f>_xll.ciqfunctions.udf.CIQ(A610, "IQ_SHORT_INTEREST_PERCENT", F610)</f>
        <v>0.10649</v>
      </c>
      <c r="S610">
        <f>_xll.ciqfunctions.udf.CIQ(A610, "IQ_BETA_1YR_RSQ", F610)</f>
        <v>3.993E-2</v>
      </c>
      <c r="T610">
        <f>_xll.ciqfunctions.udf.CIQ(A610, "IQ_VALUE_TRADED", F610)</f>
        <v>7.7340000000000006E-2</v>
      </c>
    </row>
    <row r="611" spans="1:20" x14ac:dyDescent="0.3">
      <c r="A611" t="s">
        <v>1829</v>
      </c>
      <c r="B611">
        <v>2.11</v>
      </c>
      <c r="C611" t="s">
        <v>1830</v>
      </c>
      <c r="D611" t="s">
        <v>1831</v>
      </c>
      <c r="E611" t="s">
        <v>46</v>
      </c>
      <c r="F611" s="1">
        <v>45383</v>
      </c>
      <c r="G611" t="s">
        <v>1832</v>
      </c>
      <c r="H611">
        <v>59</v>
      </c>
      <c r="I611">
        <f>_xll.ciqfunctions.udf.CIQ(A611, "IQ_MARKETCAP", F611)</f>
        <v>74.387529999999998</v>
      </c>
      <c r="J611">
        <f>_xll.ciqfunctions.udf.CIQ(A611, "IQ_PRICE_VOL_HIST_6MTH", F611)</f>
        <v>126.3377</v>
      </c>
      <c r="K611">
        <f>_xll.ciqfunctions.udf.CIQ(A611, "IQ_LASTSALEPRICE", WORKDAY(F611,-1))</f>
        <v>2.31</v>
      </c>
      <c r="L611">
        <f>_xll.ciqfunctions.udf.CIQ(A611, "IQ_LASTSALEPRICE", F611)</f>
        <v>2.11</v>
      </c>
      <c r="M611">
        <f>_xll.ciqfunctions.udf.CIQ(A611, "IQ_LASTSALEPRICE", WORKDAY(F611,5))</f>
        <v>1.92</v>
      </c>
      <c r="N611">
        <f t="shared" si="18"/>
        <v>-9.0559577045727119E-2</v>
      </c>
      <c r="O611">
        <f t="shared" si="19"/>
        <v>-0.18492233849401207</v>
      </c>
      <c r="P611">
        <f>LN(_xll.ciqfunctions.udf.CIQ("XBI", "IQ_LASTSALEPRICE", WORKDAY(F611,-1))/_xll.ciqfunctions.udf.CIQ("XBI", "IQ_LASTSALEPRICE", WORKDAY(F611,1)))</f>
        <v>4.5381500346338782E-2</v>
      </c>
      <c r="Q611">
        <f>LN(_xll.ciqfunctions.udf.CIQ("XBI", "IQ_LASTSALEPRICE", WORKDAY(F611,-1))/_xll.ciqfunctions.udf.CIQ("XBI", "IQ_LASTSALEPRICE", WORKDAY(F611,5)))</f>
        <v>4.8474058587536319E-2</v>
      </c>
      <c r="R611">
        <f>_xll.ciqfunctions.udf.CIQ(A611, "IQ_SHORT_INTEREST_PERCENT", F611)</f>
        <v>1.15985</v>
      </c>
      <c r="S611">
        <f>_xll.ciqfunctions.udf.CIQ(A611, "IQ_BETA_1YR_RSQ", F611)</f>
        <v>0</v>
      </c>
      <c r="T611">
        <f>_xll.ciqfunctions.udf.CIQ(A611, "IQ_VALUE_TRADED", F611)</f>
        <v>0.85246999999999995</v>
      </c>
    </row>
    <row r="612" spans="1:20" x14ac:dyDescent="0.3">
      <c r="A612" t="s">
        <v>1833</v>
      </c>
      <c r="B612">
        <v>2.35</v>
      </c>
      <c r="C612" t="s">
        <v>1834</v>
      </c>
      <c r="D612" t="s">
        <v>1835</v>
      </c>
      <c r="E612" t="s">
        <v>27</v>
      </c>
      <c r="F612" s="1">
        <v>45383</v>
      </c>
      <c r="G612" t="s">
        <v>1836</v>
      </c>
      <c r="H612">
        <v>118</v>
      </c>
      <c r="I612" t="str">
        <f>_xll.ciqfunctions.udf.CIQ(A612, "IQ_MARKETCAP", F612)</f>
        <v>(Invalid Identifier)</v>
      </c>
      <c r="J612" t="str">
        <f>_xll.ciqfunctions.udf.CIQ(A612, "IQ_PRICE_VOL_HIST_6MTH", F612)</f>
        <v>(Invalid Identifier)</v>
      </c>
      <c r="K612" t="str">
        <f>_xll.ciqfunctions.udf.CIQ(A612, "IQ_LASTSALEPRICE", WORKDAY(F612,-1))</f>
        <v>(Invalid Identifier)</v>
      </c>
      <c r="L612" t="str">
        <f>_xll.ciqfunctions.udf.CIQ(A612, "IQ_LASTSALEPRICE", F612)</f>
        <v>(Invalid Identifier)</v>
      </c>
      <c r="M612" t="str">
        <f>_xll.ciqfunctions.udf.CIQ(A612, "IQ_LASTSALEPRICE", WORKDAY(F612,5))</f>
        <v>(Invalid Identifier)</v>
      </c>
      <c r="N612" t="e">
        <f t="shared" si="18"/>
        <v>#VALUE!</v>
      </c>
      <c r="O612" t="e">
        <f t="shared" si="19"/>
        <v>#VALUE!</v>
      </c>
      <c r="P612">
        <f>LN(_xll.ciqfunctions.udf.CIQ("XBI", "IQ_LASTSALEPRICE", WORKDAY(F612,-1))/_xll.ciqfunctions.udf.CIQ("XBI", "IQ_LASTSALEPRICE", WORKDAY(F612,1)))</f>
        <v>4.5381500346338782E-2</v>
      </c>
      <c r="Q612">
        <f>LN(_xll.ciqfunctions.udf.CIQ("XBI", "IQ_LASTSALEPRICE", WORKDAY(F612,-1))/_xll.ciqfunctions.udf.CIQ("XBI", "IQ_LASTSALEPRICE", WORKDAY(F612,5)))</f>
        <v>4.8474058587536319E-2</v>
      </c>
      <c r="R612" t="str">
        <f>_xll.ciqfunctions.udf.CIQ(A612, "IQ_SHORT_INTEREST_PERCENT", F612)</f>
        <v>(Invalid Identifier)</v>
      </c>
      <c r="S612" t="str">
        <f>_xll.ciqfunctions.udf.CIQ(A612, "IQ_BETA_1YR_RSQ", F612)</f>
        <v>(Invalid Identifier)</v>
      </c>
      <c r="T612" t="str">
        <f>_xll.ciqfunctions.udf.CIQ(A612, "IQ_VALUE_TRADED", F612)</f>
        <v>(Invalid Identifier)</v>
      </c>
    </row>
    <row r="613" spans="1:20" x14ac:dyDescent="0.3">
      <c r="A613" t="s">
        <v>1408</v>
      </c>
      <c r="B613">
        <v>15.49</v>
      </c>
      <c r="C613" t="s">
        <v>1837</v>
      </c>
      <c r="D613" t="s">
        <v>1838</v>
      </c>
      <c r="E613" t="s">
        <v>76</v>
      </c>
      <c r="F613" s="1">
        <v>45383</v>
      </c>
      <c r="G613" t="s">
        <v>1839</v>
      </c>
      <c r="H613">
        <v>111</v>
      </c>
      <c r="I613">
        <f>_xll.ciqfunctions.udf.CIQ(A613, "IQ_MARKETCAP", F613)</f>
        <v>1658.87726</v>
      </c>
      <c r="J613">
        <f>_xll.ciqfunctions.udf.CIQ(A613, "IQ_PRICE_VOL_HIST_6MTH", F613)</f>
        <v>71.345699999999994</v>
      </c>
      <c r="K613">
        <f>_xll.ciqfunctions.udf.CIQ(A613, "IQ_LASTSALEPRICE", WORKDAY(F613,-1))</f>
        <v>15.63</v>
      </c>
      <c r="L613">
        <f>_xll.ciqfunctions.udf.CIQ(A613, "IQ_LASTSALEPRICE", F613)</f>
        <v>15.49</v>
      </c>
      <c r="M613">
        <f>_xll.ciqfunctions.udf.CIQ(A613, "IQ_LASTSALEPRICE", WORKDAY(F613,5))</f>
        <v>14.18</v>
      </c>
      <c r="N613">
        <f t="shared" si="18"/>
        <v>-8.9974900046080053E-3</v>
      </c>
      <c r="O613">
        <f t="shared" si="19"/>
        <v>-9.735962332940383E-2</v>
      </c>
      <c r="P613">
        <f>LN(_xll.ciqfunctions.udf.CIQ("XBI", "IQ_LASTSALEPRICE", WORKDAY(F613,-1))/_xll.ciqfunctions.udf.CIQ("XBI", "IQ_LASTSALEPRICE", WORKDAY(F613,1)))</f>
        <v>4.5381500346338782E-2</v>
      </c>
      <c r="Q613">
        <f>LN(_xll.ciqfunctions.udf.CIQ("XBI", "IQ_LASTSALEPRICE", WORKDAY(F613,-1))/_xll.ciqfunctions.udf.CIQ("XBI", "IQ_LASTSALEPRICE", WORKDAY(F613,5)))</f>
        <v>4.8474058587536319E-2</v>
      </c>
      <c r="R613">
        <f>_xll.ciqfunctions.udf.CIQ(A613, "IQ_SHORT_INTEREST_PERCENT", F613)</f>
        <v>5.1742900000000001</v>
      </c>
      <c r="S613">
        <f>_xll.ciqfunctions.udf.CIQ(A613, "IQ_BETA_1YR_RSQ", F613)</f>
        <v>4.326E-2</v>
      </c>
      <c r="T613">
        <f>_xll.ciqfunctions.udf.CIQ(A613, "IQ_VALUE_TRADED", F613)</f>
        <v>25.928049999999999</v>
      </c>
    </row>
    <row r="614" spans="1:20" x14ac:dyDescent="0.3">
      <c r="A614" t="s">
        <v>630</v>
      </c>
      <c r="B614">
        <v>14.92</v>
      </c>
      <c r="C614" t="s">
        <v>1840</v>
      </c>
      <c r="D614" t="s">
        <v>1841</v>
      </c>
      <c r="E614" t="s">
        <v>849</v>
      </c>
      <c r="F614" s="1">
        <v>45383</v>
      </c>
      <c r="G614" t="s">
        <v>1842</v>
      </c>
      <c r="H614">
        <v>86</v>
      </c>
      <c r="I614">
        <f>_xll.ciqfunctions.udf.CIQ(A614, "IQ_MARKETCAP", F614)</f>
        <v>1134.3344199999999</v>
      </c>
      <c r="J614">
        <f>_xll.ciqfunctions.udf.CIQ(A614, "IQ_PRICE_VOL_HIST_6MTH", F614)</f>
        <v>64.369699999999995</v>
      </c>
      <c r="K614">
        <f>_xll.ciqfunctions.udf.CIQ(A614, "IQ_LASTSALEPRICE", WORKDAY(F614,-1))</f>
        <v>14.75</v>
      </c>
      <c r="L614">
        <f>_xll.ciqfunctions.udf.CIQ(A614, "IQ_LASTSALEPRICE", F614)</f>
        <v>14.92</v>
      </c>
      <c r="M614">
        <f>_xll.ciqfunctions.udf.CIQ(A614, "IQ_LASTSALEPRICE", WORKDAY(F614,5))</f>
        <v>15.13</v>
      </c>
      <c r="N614">
        <f t="shared" si="18"/>
        <v>1.1459511989786E-2</v>
      </c>
      <c r="O614">
        <f t="shared" si="19"/>
        <v>2.5436445014435757E-2</v>
      </c>
      <c r="P614">
        <f>LN(_xll.ciqfunctions.udf.CIQ("XBI", "IQ_LASTSALEPRICE", WORKDAY(F614,-1))/_xll.ciqfunctions.udf.CIQ("XBI", "IQ_LASTSALEPRICE", WORKDAY(F614,1)))</f>
        <v>4.5381500346338782E-2</v>
      </c>
      <c r="Q614">
        <f>LN(_xll.ciqfunctions.udf.CIQ("XBI", "IQ_LASTSALEPRICE", WORKDAY(F614,-1))/_xll.ciqfunctions.udf.CIQ("XBI", "IQ_LASTSALEPRICE", WORKDAY(F614,5)))</f>
        <v>4.8474058587536319E-2</v>
      </c>
      <c r="R614">
        <f>_xll.ciqfunctions.udf.CIQ(A614, "IQ_SHORT_INTEREST_PERCENT", F614)</f>
        <v>9.5431600000000003</v>
      </c>
      <c r="S614">
        <f>_xll.ciqfunctions.udf.CIQ(A614, "IQ_BETA_1YR_RSQ", F614)</f>
        <v>7.6E-3</v>
      </c>
      <c r="T614">
        <f>_xll.ciqfunctions.udf.CIQ(A614, "IQ_VALUE_TRADED", F614)</f>
        <v>19.162700000000001</v>
      </c>
    </row>
    <row r="615" spans="1:20" x14ac:dyDescent="0.3">
      <c r="A615" t="s">
        <v>433</v>
      </c>
      <c r="B615">
        <v>66.84</v>
      </c>
      <c r="C615" t="s">
        <v>1843</v>
      </c>
      <c r="D615" t="s">
        <v>1844</v>
      </c>
      <c r="E615" t="s">
        <v>160</v>
      </c>
      <c r="F615" s="1">
        <v>45383</v>
      </c>
      <c r="G615" t="s">
        <v>1845</v>
      </c>
      <c r="I615">
        <f>_xll.ciqfunctions.udf.CIQ(A615, "IQ_MARKETCAP", F615)</f>
        <v>165530.94521000001</v>
      </c>
      <c r="J615">
        <f>_xll.ciqfunctions.udf.CIQ(A615, "IQ_PRICE_VOL_HIST_6MTH", F615)</f>
        <v>23.688600000000001</v>
      </c>
      <c r="K615">
        <f>_xll.ciqfunctions.udf.CIQ(A615, "IQ_LASTSALEPRICE", WORKDAY(F615,-1))</f>
        <v>106.78</v>
      </c>
      <c r="L615">
        <f>_xll.ciqfunctions.udf.CIQ(A615, "IQ_LASTSALEPRICE", F615)</f>
        <v>106.78</v>
      </c>
      <c r="M615">
        <f>_xll.ciqfunctions.udf.CIQ(A615, "IQ_LASTSALEPRICE", WORKDAY(F615,5))</f>
        <v>106.1</v>
      </c>
      <c r="N615">
        <f t="shared" si="18"/>
        <v>0</v>
      </c>
      <c r="O615">
        <f t="shared" si="19"/>
        <v>-6.3885974521028068E-3</v>
      </c>
      <c r="P615">
        <f>LN(_xll.ciqfunctions.udf.CIQ("XBI", "IQ_LASTSALEPRICE", WORKDAY(F615,-1))/_xll.ciqfunctions.udf.CIQ("XBI", "IQ_LASTSALEPRICE", WORKDAY(F615,1)))</f>
        <v>4.5381500346338782E-2</v>
      </c>
      <c r="Q615">
        <f>LN(_xll.ciqfunctions.udf.CIQ("XBI", "IQ_LASTSALEPRICE", WORKDAY(F615,-1))/_xll.ciqfunctions.udf.CIQ("XBI", "IQ_LASTSALEPRICE", WORKDAY(F615,5)))</f>
        <v>4.8474058587536319E-2</v>
      </c>
      <c r="R615">
        <f>_xll.ciqfunctions.udf.CIQ(A615, "IQ_SHORT_INTEREST_PERCENT", F615)</f>
        <v>0</v>
      </c>
      <c r="S615">
        <f>_xll.ciqfunctions.udf.CIQ(A615, "IQ_BETA_1YR_RSQ", F615)</f>
        <v>0.21884999999999999</v>
      </c>
      <c r="T615">
        <f>_xll.ciqfunctions.udf.CIQ(A615, "IQ_VALUE_TRADED", F615)</f>
        <v>0</v>
      </c>
    </row>
    <row r="616" spans="1:20" x14ac:dyDescent="0.3">
      <c r="A616" t="s">
        <v>1562</v>
      </c>
      <c r="B616">
        <v>76.989999999999995</v>
      </c>
      <c r="C616" t="s">
        <v>1846</v>
      </c>
      <c r="D616" t="s">
        <v>1847</v>
      </c>
      <c r="E616" t="s">
        <v>36</v>
      </c>
      <c r="F616" s="1">
        <v>45383</v>
      </c>
      <c r="G616" t="s">
        <v>1848</v>
      </c>
      <c r="H616">
        <v>49</v>
      </c>
      <c r="I616">
        <f>_xll.ciqfunctions.udf.CIQ(A616, "IQ_MARKETCAP", F616)</f>
        <v>3647.35313</v>
      </c>
      <c r="J616">
        <f>_xll.ciqfunctions.udf.CIQ(A616, "IQ_PRICE_VOL_HIST_6MTH", F616)</f>
        <v>50.607500000000002</v>
      </c>
      <c r="K616">
        <f>_xll.ciqfunctions.udf.CIQ(A616, "IQ_LASTSALEPRICE", WORKDAY(F616,-1))</f>
        <v>79.8</v>
      </c>
      <c r="L616">
        <f>_xll.ciqfunctions.udf.CIQ(A616, "IQ_LASTSALEPRICE", F616)</f>
        <v>76.989999999999995</v>
      </c>
      <c r="M616">
        <f>_xll.ciqfunctions.udf.CIQ(A616, "IQ_LASTSALEPRICE", WORKDAY(F616,5))</f>
        <v>72.11</v>
      </c>
      <c r="N616">
        <f t="shared" si="18"/>
        <v>-3.5847961165804958E-2</v>
      </c>
      <c r="O616">
        <f t="shared" si="19"/>
        <v>-0.10133077352709494</v>
      </c>
      <c r="P616">
        <f>LN(_xll.ciqfunctions.udf.CIQ("XBI", "IQ_LASTSALEPRICE", WORKDAY(F616,-1))/_xll.ciqfunctions.udf.CIQ("XBI", "IQ_LASTSALEPRICE", WORKDAY(F616,1)))</f>
        <v>4.5381500346338782E-2</v>
      </c>
      <c r="Q616">
        <f>LN(_xll.ciqfunctions.udf.CIQ("XBI", "IQ_LASTSALEPRICE", WORKDAY(F616,-1))/_xll.ciqfunctions.udf.CIQ("XBI", "IQ_LASTSALEPRICE", WORKDAY(F616,5)))</f>
        <v>4.8474058587536319E-2</v>
      </c>
      <c r="R616">
        <f>_xll.ciqfunctions.udf.CIQ(A616, "IQ_SHORT_INTEREST_PERCENT", F616)</f>
        <v>15.40452</v>
      </c>
      <c r="S616">
        <f>_xll.ciqfunctions.udf.CIQ(A616, "IQ_BETA_1YR_RSQ", F616)</f>
        <v>4.8500000000000001E-2</v>
      </c>
      <c r="T616">
        <f>_xll.ciqfunctions.udf.CIQ(A616, "IQ_VALUE_TRADED", F616)</f>
        <v>45.124760000000002</v>
      </c>
    </row>
    <row r="617" spans="1:20" x14ac:dyDescent="0.3">
      <c r="A617" t="s">
        <v>356</v>
      </c>
      <c r="B617">
        <v>420.48</v>
      </c>
      <c r="C617" t="s">
        <v>1849</v>
      </c>
      <c r="D617" t="s">
        <v>1850</v>
      </c>
      <c r="E617" t="s">
        <v>27</v>
      </c>
      <c r="F617" s="1">
        <v>45383</v>
      </c>
      <c r="G617" t="s">
        <v>1851</v>
      </c>
      <c r="H617">
        <v>256</v>
      </c>
      <c r="I617">
        <f>_xll.ciqfunctions.udf.CIQ(A617, "IQ_MARKETCAP", F617)</f>
        <v>108613.27047</v>
      </c>
      <c r="J617">
        <f>_xll.ciqfunctions.udf.CIQ(A617, "IQ_PRICE_VOL_HIST_6MTH", F617)</f>
        <v>27.160799999999998</v>
      </c>
      <c r="K617">
        <f>_xll.ciqfunctions.udf.CIQ(A617, "IQ_LASTSALEPRICE", WORKDAY(F617,-1))</f>
        <v>418.01</v>
      </c>
      <c r="L617">
        <f>_xll.ciqfunctions.udf.CIQ(A617, "IQ_LASTSALEPRICE", F617)</f>
        <v>420.48</v>
      </c>
      <c r="M617">
        <f>_xll.ciqfunctions.udf.CIQ(A617, "IQ_LASTSALEPRICE", WORKDAY(F617,5))</f>
        <v>404.22</v>
      </c>
      <c r="N617">
        <f t="shared" si="18"/>
        <v>5.8915601726196387E-3</v>
      </c>
      <c r="O617">
        <f t="shared" si="19"/>
        <v>-3.3546071482947817E-2</v>
      </c>
      <c r="P617">
        <f>LN(_xll.ciqfunctions.udf.CIQ("XBI", "IQ_LASTSALEPRICE", WORKDAY(F617,-1))/_xll.ciqfunctions.udf.CIQ("XBI", "IQ_LASTSALEPRICE", WORKDAY(F617,1)))</f>
        <v>4.5381500346338782E-2</v>
      </c>
      <c r="Q617">
        <f>LN(_xll.ciqfunctions.udf.CIQ("XBI", "IQ_LASTSALEPRICE", WORKDAY(F617,-1))/_xll.ciqfunctions.udf.CIQ("XBI", "IQ_LASTSALEPRICE", WORKDAY(F617,5)))</f>
        <v>4.8474058587536319E-2</v>
      </c>
      <c r="R617">
        <f>_xll.ciqfunctions.udf.CIQ(A617, "IQ_SHORT_INTEREST_PERCENT", F617)</f>
        <v>1.597</v>
      </c>
      <c r="S617">
        <f>_xll.ciqfunctions.udf.CIQ(A617, "IQ_BETA_1YR_RSQ", F617)</f>
        <v>0.17971000000000001</v>
      </c>
      <c r="T617">
        <f>_xll.ciqfunctions.udf.CIQ(A617, "IQ_VALUE_TRADED", F617)</f>
        <v>322.82436000000001</v>
      </c>
    </row>
    <row r="618" spans="1:20" x14ac:dyDescent="0.3">
      <c r="A618" t="s">
        <v>774</v>
      </c>
      <c r="B618">
        <v>34.21</v>
      </c>
      <c r="C618" t="s">
        <v>1852</v>
      </c>
      <c r="D618" t="s">
        <v>1853</v>
      </c>
      <c r="E618" t="s">
        <v>76</v>
      </c>
      <c r="F618" s="1">
        <v>45383</v>
      </c>
      <c r="G618" t="s">
        <v>1854</v>
      </c>
      <c r="H618">
        <v>34</v>
      </c>
      <c r="I618">
        <f>_xll.ciqfunctions.udf.CIQ(A618, "IQ_MARKETCAP", F618)</f>
        <v>844.33797000000004</v>
      </c>
      <c r="J618">
        <f>_xll.ciqfunctions.udf.CIQ(A618, "IQ_PRICE_VOL_HIST_6MTH", F618)</f>
        <v>99.946899999999999</v>
      </c>
      <c r="K618">
        <f>_xll.ciqfunctions.udf.CIQ(A618, "IQ_LASTSALEPRICE", WORKDAY(F618,-1))</f>
        <v>62.26</v>
      </c>
      <c r="L618">
        <f>_xll.ciqfunctions.udf.CIQ(A618, "IQ_LASTSALEPRICE", F618)</f>
        <v>34.21</v>
      </c>
      <c r="M618">
        <f>_xll.ciqfunctions.udf.CIQ(A618, "IQ_LASTSALEPRICE", WORKDAY(F618,5))</f>
        <v>31.78</v>
      </c>
      <c r="N618">
        <f t="shared" si="18"/>
        <v>-0.59880116602394873</v>
      </c>
      <c r="O618">
        <f t="shared" si="19"/>
        <v>-0.6724820039048921</v>
      </c>
      <c r="P618">
        <f>LN(_xll.ciqfunctions.udf.CIQ("XBI", "IQ_LASTSALEPRICE", WORKDAY(F618,-1))/_xll.ciqfunctions.udf.CIQ("XBI", "IQ_LASTSALEPRICE", WORKDAY(F618,1)))</f>
        <v>4.5381500346338782E-2</v>
      </c>
      <c r="Q618">
        <f>LN(_xll.ciqfunctions.udf.CIQ("XBI", "IQ_LASTSALEPRICE", WORKDAY(F618,-1))/_xll.ciqfunctions.udf.CIQ("XBI", "IQ_LASTSALEPRICE", WORKDAY(F618,5)))</f>
        <v>4.8474058587536319E-2</v>
      </c>
      <c r="R618">
        <f>_xll.ciqfunctions.udf.CIQ(A618, "IQ_SHORT_INTEREST_PERCENT", F618)</f>
        <v>5.1230599999999997</v>
      </c>
      <c r="S618">
        <f>_xll.ciqfunctions.udf.CIQ(A618, "IQ_BETA_1YR_RSQ", F618)</f>
        <v>3.585E-2</v>
      </c>
      <c r="T618">
        <f>_xll.ciqfunctions.udf.CIQ(A618, "IQ_VALUE_TRADED", F618)</f>
        <v>212.75937999999999</v>
      </c>
    </row>
    <row r="619" spans="1:20" x14ac:dyDescent="0.3">
      <c r="A619" t="s">
        <v>1855</v>
      </c>
      <c r="B619">
        <v>5.4</v>
      </c>
      <c r="C619" t="s">
        <v>1856</v>
      </c>
      <c r="D619" t="s">
        <v>1857</v>
      </c>
      <c r="E619" t="s">
        <v>36</v>
      </c>
      <c r="F619" s="1">
        <v>45383</v>
      </c>
      <c r="G619" t="s">
        <v>1858</v>
      </c>
      <c r="H619">
        <v>30</v>
      </c>
      <c r="I619">
        <f>_xll.ciqfunctions.udf.CIQ(A619, "IQ_MARKETCAP", F619)</f>
        <v>145.93612999999999</v>
      </c>
      <c r="J619">
        <f>_xll.ciqfunctions.udf.CIQ(A619, "IQ_PRICE_VOL_HIST_6MTH", F619)</f>
        <v>84.148200000000003</v>
      </c>
      <c r="K619">
        <f>_xll.ciqfunctions.udf.CIQ(A619, "IQ_LASTSALEPRICE", WORKDAY(F619,-1))</f>
        <v>5.28</v>
      </c>
      <c r="L619">
        <f>_xll.ciqfunctions.udf.CIQ(A619, "IQ_LASTSALEPRICE", F619)</f>
        <v>5.4</v>
      </c>
      <c r="M619">
        <f>_xll.ciqfunctions.udf.CIQ(A619, "IQ_LASTSALEPRICE", WORKDAY(F619,5))</f>
        <v>5.17</v>
      </c>
      <c r="N619">
        <f t="shared" si="18"/>
        <v>2.2472855852058576E-2</v>
      </c>
      <c r="O619">
        <f t="shared" si="19"/>
        <v>-2.1053409197832381E-2</v>
      </c>
      <c r="P619">
        <f>LN(_xll.ciqfunctions.udf.CIQ("XBI", "IQ_LASTSALEPRICE", WORKDAY(F619,-1))/_xll.ciqfunctions.udf.CIQ("XBI", "IQ_LASTSALEPRICE", WORKDAY(F619,1)))</f>
        <v>4.5381500346338782E-2</v>
      </c>
      <c r="Q619">
        <f>LN(_xll.ciqfunctions.udf.CIQ("XBI", "IQ_LASTSALEPRICE", WORKDAY(F619,-1))/_xll.ciqfunctions.udf.CIQ("XBI", "IQ_LASTSALEPRICE", WORKDAY(F619,5)))</f>
        <v>4.8474058587536319E-2</v>
      </c>
      <c r="R619">
        <f>_xll.ciqfunctions.udf.CIQ(A619, "IQ_SHORT_INTEREST_PERCENT", F619)</f>
        <v>4.9387999999999996</v>
      </c>
      <c r="S619">
        <f>_xll.ciqfunctions.udf.CIQ(A619, "IQ_BETA_1YR_RSQ", F619)</f>
        <v>1.07E-3</v>
      </c>
      <c r="T619">
        <f>_xll.ciqfunctions.udf.CIQ(A619, "IQ_VALUE_TRADED", F619)</f>
        <v>5.0842400000000003</v>
      </c>
    </row>
    <row r="620" spans="1:20" x14ac:dyDescent="0.3">
      <c r="A620" t="s">
        <v>1859</v>
      </c>
      <c r="B620">
        <v>10.1</v>
      </c>
      <c r="C620" t="s">
        <v>1860</v>
      </c>
      <c r="D620" t="s">
        <v>1861</v>
      </c>
      <c r="E620" t="s">
        <v>97</v>
      </c>
      <c r="F620" s="1">
        <v>45383</v>
      </c>
      <c r="G620" t="s">
        <v>1862</v>
      </c>
      <c r="H620">
        <v>8</v>
      </c>
      <c r="I620">
        <f>_xll.ciqfunctions.udf.CIQ(A620, "IQ_MARKETCAP", F620)</f>
        <v>20.587199999999999</v>
      </c>
      <c r="J620">
        <f>_xll.ciqfunctions.udf.CIQ(A620, "IQ_PRICE_VOL_HIST_6MTH", F620)</f>
        <v>109.3215</v>
      </c>
      <c r="K620">
        <f>_xll.ciqfunctions.udf.CIQ(A620, "IQ_LASTSALEPRICE", WORKDAY(F620,-1))</f>
        <v>15.71</v>
      </c>
      <c r="L620">
        <f>_xll.ciqfunctions.udf.CIQ(A620, "IQ_LASTSALEPRICE", F620)</f>
        <v>10.1</v>
      </c>
      <c r="M620">
        <f>_xll.ciqfunctions.udf.CIQ(A620, "IQ_LASTSALEPRICE", WORKDAY(F620,5))</f>
        <v>11.229900000000001</v>
      </c>
      <c r="N620">
        <f t="shared" si="18"/>
        <v>-0.44176202842031603</v>
      </c>
      <c r="O620">
        <f t="shared" si="19"/>
        <v>-0.33571758827632653</v>
      </c>
      <c r="P620">
        <f>LN(_xll.ciqfunctions.udf.CIQ("XBI", "IQ_LASTSALEPRICE", WORKDAY(F620,-1))/_xll.ciqfunctions.udf.CIQ("XBI", "IQ_LASTSALEPRICE", WORKDAY(F620,1)))</f>
        <v>4.5381500346338782E-2</v>
      </c>
      <c r="Q620">
        <f>LN(_xll.ciqfunctions.udf.CIQ("XBI", "IQ_LASTSALEPRICE", WORKDAY(F620,-1))/_xll.ciqfunctions.udf.CIQ("XBI", "IQ_LASTSALEPRICE", WORKDAY(F620,5)))</f>
        <v>4.8474058587536319E-2</v>
      </c>
      <c r="R620">
        <f>_xll.ciqfunctions.udf.CIQ(A620, "IQ_SHORT_INTEREST_PERCENT", F620)</f>
        <v>0.16414999999999999</v>
      </c>
      <c r="S620">
        <f>_xll.ciqfunctions.udf.CIQ(A620, "IQ_BETA_1YR_RSQ", F620)</f>
        <v>9.7999999999999997E-3</v>
      </c>
      <c r="T620">
        <f>_xll.ciqfunctions.udf.CIQ(A620, "IQ_VALUE_TRADED", F620)</f>
        <v>2.24533</v>
      </c>
    </row>
    <row r="621" spans="1:20" x14ac:dyDescent="0.3">
      <c r="A621" t="s">
        <v>1025</v>
      </c>
      <c r="B621">
        <v>8.56</v>
      </c>
      <c r="C621" t="s">
        <v>1026</v>
      </c>
      <c r="D621" t="s">
        <v>594</v>
      </c>
      <c r="E621" t="s">
        <v>36</v>
      </c>
      <c r="F621" s="1">
        <v>45383</v>
      </c>
      <c r="G621" t="s">
        <v>1863</v>
      </c>
      <c r="H621">
        <v>31</v>
      </c>
      <c r="I621">
        <f>_xll.ciqfunctions.udf.CIQ(A621, "IQ_MARKETCAP", F621)</f>
        <v>251.63328000000001</v>
      </c>
      <c r="J621">
        <f>_xll.ciqfunctions.udf.CIQ(A621, "IQ_PRICE_VOL_HIST_6MTH", F621)</f>
        <v>86.55</v>
      </c>
      <c r="K621">
        <f>_xll.ciqfunctions.udf.CIQ(A621, "IQ_LASTSALEPRICE", WORKDAY(F621,-1))</f>
        <v>7.83</v>
      </c>
      <c r="L621">
        <f>_xll.ciqfunctions.udf.CIQ(A621, "IQ_LASTSALEPRICE", F621)</f>
        <v>8.56</v>
      </c>
      <c r="M621">
        <f>_xll.ciqfunctions.udf.CIQ(A621, "IQ_LASTSALEPRICE", WORKDAY(F621,5))</f>
        <v>9.1300000000000008</v>
      </c>
      <c r="N621">
        <f t="shared" si="18"/>
        <v>8.9137680150939036E-2</v>
      </c>
      <c r="O621">
        <f t="shared" si="19"/>
        <v>0.15360318460416536</v>
      </c>
      <c r="P621">
        <f>LN(_xll.ciqfunctions.udf.CIQ("XBI", "IQ_LASTSALEPRICE", WORKDAY(F621,-1))/_xll.ciqfunctions.udf.CIQ("XBI", "IQ_LASTSALEPRICE", WORKDAY(F621,1)))</f>
        <v>4.5381500346338782E-2</v>
      </c>
      <c r="Q621">
        <f>LN(_xll.ciqfunctions.udf.CIQ("XBI", "IQ_LASTSALEPRICE", WORKDAY(F621,-1))/_xll.ciqfunctions.udf.CIQ("XBI", "IQ_LASTSALEPRICE", WORKDAY(F621,5)))</f>
        <v>4.8474058587536319E-2</v>
      </c>
      <c r="R621">
        <f>_xll.ciqfunctions.udf.CIQ(A621, "IQ_SHORT_INTEREST_PERCENT", F621)</f>
        <v>6.2027200000000002</v>
      </c>
      <c r="S621">
        <f>_xll.ciqfunctions.udf.CIQ(A621, "IQ_BETA_1YR_RSQ", F621)</f>
        <v>2.1860000000000001E-2</v>
      </c>
      <c r="T621">
        <f>_xll.ciqfunctions.udf.CIQ(A621, "IQ_VALUE_TRADED", F621)</f>
        <v>5.3703799999999999</v>
      </c>
    </row>
    <row r="622" spans="1:20" x14ac:dyDescent="0.3">
      <c r="A622" t="s">
        <v>1864</v>
      </c>
      <c r="B622">
        <v>25.74</v>
      </c>
      <c r="C622" t="s">
        <v>1865</v>
      </c>
      <c r="D622" t="s">
        <v>1866</v>
      </c>
      <c r="E622" t="s">
        <v>36</v>
      </c>
      <c r="F622" s="1">
        <v>45383</v>
      </c>
      <c r="G622" t="s">
        <v>1867</v>
      </c>
      <c r="H622">
        <v>105</v>
      </c>
      <c r="I622">
        <f>_xll.ciqfunctions.udf.CIQ(A622, "IQ_MARKETCAP", F622)</f>
        <v>2664.53757</v>
      </c>
      <c r="J622">
        <f>_xll.ciqfunctions.udf.CIQ(A622, "IQ_PRICE_VOL_HIST_6MTH", F622)</f>
        <v>62.311100000000003</v>
      </c>
      <c r="K622">
        <f>_xll.ciqfunctions.udf.CIQ(A622, "IQ_LASTSALEPRICE", WORKDAY(F622,-1))</f>
        <v>25.19</v>
      </c>
      <c r="L622">
        <f>_xll.ciqfunctions.udf.CIQ(A622, "IQ_LASTSALEPRICE", F622)</f>
        <v>25.74</v>
      </c>
      <c r="M622">
        <f>_xll.ciqfunctions.udf.CIQ(A622, "IQ_LASTSALEPRICE", WORKDAY(F622,5))</f>
        <v>24.23</v>
      </c>
      <c r="N622">
        <f t="shared" si="18"/>
        <v>2.1599111803461721E-2</v>
      </c>
      <c r="O622">
        <f t="shared" si="19"/>
        <v>-3.8855555536084503E-2</v>
      </c>
      <c r="P622">
        <f>LN(_xll.ciqfunctions.udf.CIQ("XBI", "IQ_LASTSALEPRICE", WORKDAY(F622,-1))/_xll.ciqfunctions.udf.CIQ("XBI", "IQ_LASTSALEPRICE", WORKDAY(F622,1)))</f>
        <v>4.5381500346338782E-2</v>
      </c>
      <c r="Q622">
        <f>LN(_xll.ciqfunctions.udf.CIQ("XBI", "IQ_LASTSALEPRICE", WORKDAY(F622,-1))/_xll.ciqfunctions.udf.CIQ("XBI", "IQ_LASTSALEPRICE", WORKDAY(F622,5)))</f>
        <v>4.8474058587536319E-2</v>
      </c>
      <c r="R622">
        <f>_xll.ciqfunctions.udf.CIQ(A622, "IQ_SHORT_INTEREST_PERCENT", F622)</f>
        <v>19.528449999999999</v>
      </c>
      <c r="S622">
        <f>_xll.ciqfunctions.udf.CIQ(A622, "IQ_BETA_1YR_RSQ", F622)</f>
        <v>1.082E-2</v>
      </c>
      <c r="T622">
        <f>_xll.ciqfunctions.udf.CIQ(A622, "IQ_VALUE_TRADED", F622)</f>
        <v>21.571249999999999</v>
      </c>
    </row>
    <row r="623" spans="1:20" x14ac:dyDescent="0.3">
      <c r="A623" t="s">
        <v>259</v>
      </c>
      <c r="B623">
        <v>12.8</v>
      </c>
      <c r="C623" t="s">
        <v>260</v>
      </c>
      <c r="D623" t="s">
        <v>261</v>
      </c>
      <c r="E623" t="s">
        <v>76</v>
      </c>
      <c r="F623" s="1">
        <v>45384</v>
      </c>
      <c r="G623" t="s">
        <v>1868</v>
      </c>
      <c r="H623">
        <v>59</v>
      </c>
      <c r="I623">
        <f>_xll.ciqfunctions.udf.CIQ(A623, "IQ_MARKETCAP", F623)</f>
        <v>459.38380999999998</v>
      </c>
      <c r="J623">
        <f>_xll.ciqfunctions.udf.CIQ(A623, "IQ_PRICE_VOL_HIST_6MTH", F623)</f>
        <v>112.57550000000001</v>
      </c>
      <c r="K623">
        <f>_xll.ciqfunctions.udf.CIQ(A623, "IQ_LASTSALEPRICE", WORKDAY(F623,-1))</f>
        <v>15.3</v>
      </c>
      <c r="L623">
        <f>_xll.ciqfunctions.udf.CIQ(A623, "IQ_LASTSALEPRICE", F623)</f>
        <v>12.8</v>
      </c>
      <c r="M623">
        <f>_xll.ciqfunctions.udf.CIQ(A623, "IQ_LASTSALEPRICE", WORKDAY(F623,5))</f>
        <v>12.8</v>
      </c>
      <c r="N623">
        <f t="shared" si="18"/>
        <v>-0.17840765747281825</v>
      </c>
      <c r="O623">
        <f t="shared" si="19"/>
        <v>-0.17840765747281825</v>
      </c>
      <c r="P623">
        <f>LN(_xll.ciqfunctions.udf.CIQ("XBI", "IQ_LASTSALEPRICE", WORKDAY(F623,-1))/_xll.ciqfunctions.udf.CIQ("XBI", "IQ_LASTSALEPRICE", WORKDAY(F623,1)))</f>
        <v>3.0398792654496826E-2</v>
      </c>
      <c r="Q623">
        <f>LN(_xll.ciqfunctions.udf.CIQ("XBI", "IQ_LASTSALEPRICE", WORKDAY(F623,-1))/_xll.ciqfunctions.udf.CIQ("XBI", "IQ_LASTSALEPRICE", WORKDAY(F623,5)))</f>
        <v>2.3829905447222983E-2</v>
      </c>
      <c r="R623">
        <f>_xll.ciqfunctions.udf.CIQ(A623, "IQ_SHORT_INTEREST_PERCENT", F623)</f>
        <v>31.220220000000001</v>
      </c>
      <c r="S623">
        <f>_xll.ciqfunctions.udf.CIQ(A623, "IQ_BETA_1YR_RSQ", F623)</f>
        <v>1.2E-4</v>
      </c>
      <c r="T623">
        <f>_xll.ciqfunctions.udf.CIQ(A623, "IQ_VALUE_TRADED", F623)</f>
        <v>36.005330000000001</v>
      </c>
    </row>
    <row r="624" spans="1:20" x14ac:dyDescent="0.3">
      <c r="A624" t="s">
        <v>488</v>
      </c>
      <c r="B624">
        <v>761.64</v>
      </c>
      <c r="C624" t="s">
        <v>1869</v>
      </c>
      <c r="D624" t="s">
        <v>1870</v>
      </c>
      <c r="E624" t="s">
        <v>46</v>
      </c>
      <c r="F624" s="1">
        <v>45384</v>
      </c>
      <c r="G624" t="s">
        <v>1871</v>
      </c>
      <c r="H624">
        <v>946</v>
      </c>
      <c r="I624">
        <f>_xll.ciqfunctions.udf.CIQ(A624, "IQ_MARKETCAP", F624)</f>
        <v>688149.26976000005</v>
      </c>
      <c r="J624">
        <f>_xll.ciqfunctions.udf.CIQ(A624, "IQ_PRICE_VOL_HIST_6MTH", F624)</f>
        <v>28.637599999999999</v>
      </c>
      <c r="K624">
        <f>_xll.ciqfunctions.udf.CIQ(A624, "IQ_LASTSALEPRICE", WORKDAY(F624,-1))</f>
        <v>760.55</v>
      </c>
      <c r="L624">
        <f>_xll.ciqfunctions.udf.CIQ(A624, "IQ_LASTSALEPRICE", F624)</f>
        <v>763.96</v>
      </c>
      <c r="M624">
        <f>_xll.ciqfunctions.udf.CIQ(A624, "IQ_LASTSALEPRICE", WORKDAY(F624,5))</f>
        <v>757.24</v>
      </c>
      <c r="N624">
        <f t="shared" si="18"/>
        <v>4.4735760172020366E-3</v>
      </c>
      <c r="O624">
        <f t="shared" si="19"/>
        <v>-4.36161161604268E-3</v>
      </c>
      <c r="P624">
        <f>LN(_xll.ciqfunctions.udf.CIQ("XBI", "IQ_LASTSALEPRICE", WORKDAY(F624,-1))/_xll.ciqfunctions.udf.CIQ("XBI", "IQ_LASTSALEPRICE", WORKDAY(F624,1)))</f>
        <v>3.0398792654496826E-2</v>
      </c>
      <c r="Q624">
        <f>LN(_xll.ciqfunctions.udf.CIQ("XBI", "IQ_LASTSALEPRICE", WORKDAY(F624,-1))/_xll.ciqfunctions.udf.CIQ("XBI", "IQ_LASTSALEPRICE", WORKDAY(F624,5)))</f>
        <v>2.3829905447222983E-2</v>
      </c>
      <c r="R624">
        <f>_xll.ciqfunctions.udf.CIQ(A624, "IQ_SHORT_INTEREST_PERCENT", F624)</f>
        <v>0.61465999999999998</v>
      </c>
      <c r="S624">
        <f>_xll.ciqfunctions.udf.CIQ(A624, "IQ_BETA_1YR_RSQ", F624)</f>
        <v>3.9100000000000003E-3</v>
      </c>
      <c r="T624">
        <f>_xll.ciqfunctions.udf.CIQ(A624, "IQ_VALUE_TRADED", F624)</f>
        <v>1983.84292</v>
      </c>
    </row>
    <row r="625" spans="1:20" x14ac:dyDescent="0.3">
      <c r="A625" t="s">
        <v>1872</v>
      </c>
      <c r="B625">
        <v>8.32</v>
      </c>
      <c r="C625" t="s">
        <v>1869</v>
      </c>
      <c r="D625" t="s">
        <v>1870</v>
      </c>
      <c r="E625" t="s">
        <v>46</v>
      </c>
      <c r="F625" s="1">
        <v>45384</v>
      </c>
      <c r="G625" t="s">
        <v>1871</v>
      </c>
      <c r="H625">
        <v>89</v>
      </c>
      <c r="I625">
        <f>_xll.ciqfunctions.udf.CIQ(A625, "IQ_MARKETCAP", F625)</f>
        <v>23780.603709999999</v>
      </c>
      <c r="J625">
        <f>_xll.ciqfunctions.udf.CIQ(A625, "IQ_PRICE_VOL_HIST_6MTH", F625)</f>
        <v>0</v>
      </c>
      <c r="K625">
        <f>_xll.ciqfunctions.udf.CIQ(A625, "IQ_LASTSALEPRICE", WORKDAY(F625,-1))</f>
        <v>0</v>
      </c>
      <c r="L625">
        <f>_xll.ciqfunctions.udf.CIQ(A625, "IQ_LASTSALEPRICE", F625)</f>
        <v>0</v>
      </c>
      <c r="M625">
        <f>_xll.ciqfunctions.udf.CIQ(A625, "IQ_LASTSALEPRICE", WORKDAY(F625,5))</f>
        <v>0</v>
      </c>
      <c r="N625" t="e">
        <f t="shared" si="18"/>
        <v>#DIV/0!</v>
      </c>
      <c r="O625" t="e">
        <f t="shared" si="19"/>
        <v>#DIV/0!</v>
      </c>
      <c r="P625">
        <f>LN(_xll.ciqfunctions.udf.CIQ("XBI", "IQ_LASTSALEPRICE", WORKDAY(F625,-1))/_xll.ciqfunctions.udf.CIQ("XBI", "IQ_LASTSALEPRICE", WORKDAY(F625,1)))</f>
        <v>3.0398792654496826E-2</v>
      </c>
      <c r="Q625">
        <f>LN(_xll.ciqfunctions.udf.CIQ("XBI", "IQ_LASTSALEPRICE", WORKDAY(F625,-1))/_xll.ciqfunctions.udf.CIQ("XBI", "IQ_LASTSALEPRICE", WORKDAY(F625,5)))</f>
        <v>2.3829905447222983E-2</v>
      </c>
      <c r="R625">
        <f>_xll.ciqfunctions.udf.CIQ(A625, "IQ_SHORT_INTEREST_PERCENT", F625)</f>
        <v>0</v>
      </c>
      <c r="S625">
        <f>_xll.ciqfunctions.udf.CIQ(A625, "IQ_BETA_1YR_RSQ", F625)</f>
        <v>0</v>
      </c>
      <c r="T625">
        <f>_xll.ciqfunctions.udf.CIQ(A625, "IQ_VALUE_TRADED", F625)</f>
        <v>0</v>
      </c>
    </row>
    <row r="626" spans="1:20" x14ac:dyDescent="0.3">
      <c r="A626" t="s">
        <v>1855</v>
      </c>
      <c r="B626" s="2">
        <v>5.4</v>
      </c>
      <c r="C626" t="s">
        <v>1856</v>
      </c>
      <c r="D626" t="s">
        <v>1857</v>
      </c>
      <c r="E626" t="s">
        <v>36</v>
      </c>
      <c r="F626" s="1">
        <v>45383</v>
      </c>
      <c r="G626" t="s">
        <v>1858</v>
      </c>
      <c r="H626">
        <v>30</v>
      </c>
      <c r="I626">
        <f>_xll.ciqfunctions.udf.CIQ(A626, "IQ_MARKETCAP", F626)</f>
        <v>145.93612999999999</v>
      </c>
      <c r="J626">
        <f>_xll.ciqfunctions.udf.CIQ(A626, "IQ_PRICE_VOL_HIST_6MTH", F626)</f>
        <v>84.148200000000003</v>
      </c>
      <c r="K626">
        <f>_xll.ciqfunctions.udf.CIQ(A626, "IQ_LASTSALEPRICE", WORKDAY(F626,-1))</f>
        <v>5.28</v>
      </c>
      <c r="L626">
        <f>_xll.ciqfunctions.udf.CIQ(A626, "IQ_LASTSALEPRICE", F626)</f>
        <v>5.4</v>
      </c>
      <c r="M626">
        <f>_xll.ciqfunctions.udf.CIQ(A626, "IQ_LASTSALEPRICE", WORKDAY(F626,5))</f>
        <v>5.17</v>
      </c>
      <c r="N626">
        <f t="shared" si="18"/>
        <v>2.2472855852058576E-2</v>
      </c>
      <c r="O626">
        <f t="shared" si="19"/>
        <v>-2.1053409197832381E-2</v>
      </c>
      <c r="P626">
        <f>LN(_xll.ciqfunctions.udf.CIQ("XBI", "IQ_LASTSALEPRICE", WORKDAY(F626,-1))/_xll.ciqfunctions.udf.CIQ("XBI", "IQ_LASTSALEPRICE", WORKDAY(F626,1)))</f>
        <v>4.5381500346338782E-2</v>
      </c>
      <c r="Q626">
        <f>LN(_xll.ciqfunctions.udf.CIQ("XBI", "IQ_LASTSALEPRICE", WORKDAY(F626,-1))/_xll.ciqfunctions.udf.CIQ("XBI", "IQ_LASTSALEPRICE", WORKDAY(F626,5)))</f>
        <v>4.8474058587536319E-2</v>
      </c>
      <c r="R626">
        <f>_xll.ciqfunctions.udf.CIQ(A626, "IQ_SHORT_INTEREST_PERCENT", F626)</f>
        <v>4.9387999999999996</v>
      </c>
      <c r="S626">
        <f>_xll.ciqfunctions.udf.CIQ(A626, "IQ_BETA_1YR_RSQ", F626)</f>
        <v>1.07E-3</v>
      </c>
      <c r="T626">
        <f>_xll.ciqfunctions.udf.CIQ(A626, "IQ_VALUE_TRADED", F626)</f>
        <v>5.0842400000000003</v>
      </c>
    </row>
    <row r="627" spans="1:20" x14ac:dyDescent="0.3">
      <c r="A627" t="s">
        <v>1859</v>
      </c>
      <c r="B627" s="2">
        <v>10.1</v>
      </c>
      <c r="C627" t="s">
        <v>1860</v>
      </c>
      <c r="D627" t="s">
        <v>1861</v>
      </c>
      <c r="E627" t="s">
        <v>97</v>
      </c>
      <c r="F627" s="1">
        <v>45383</v>
      </c>
      <c r="G627" t="s">
        <v>1862</v>
      </c>
      <c r="H627">
        <v>8</v>
      </c>
      <c r="I627">
        <f>_xll.ciqfunctions.udf.CIQ(A627, "IQ_MARKETCAP", F627)</f>
        <v>20.587199999999999</v>
      </c>
      <c r="J627">
        <f>_xll.ciqfunctions.udf.CIQ(A627, "IQ_PRICE_VOL_HIST_6MTH", F627)</f>
        <v>109.3215</v>
      </c>
      <c r="K627">
        <f>_xll.ciqfunctions.udf.CIQ(A627, "IQ_LASTSALEPRICE", WORKDAY(F627,-1))</f>
        <v>15.71</v>
      </c>
      <c r="L627">
        <f>_xll.ciqfunctions.udf.CIQ(A627, "IQ_LASTSALEPRICE", F627)</f>
        <v>10.1</v>
      </c>
      <c r="M627">
        <f>_xll.ciqfunctions.udf.CIQ(A627, "IQ_LASTSALEPRICE", WORKDAY(F627,5))</f>
        <v>11.229900000000001</v>
      </c>
      <c r="N627">
        <f t="shared" si="18"/>
        <v>-0.44176202842031603</v>
      </c>
      <c r="O627">
        <f t="shared" si="19"/>
        <v>-0.33571758827632653</v>
      </c>
      <c r="P627">
        <f>LN(_xll.ciqfunctions.udf.CIQ("XBI", "IQ_LASTSALEPRICE", WORKDAY(F627,-1))/_xll.ciqfunctions.udf.CIQ("XBI", "IQ_LASTSALEPRICE", WORKDAY(F627,1)))</f>
        <v>4.5381500346338782E-2</v>
      </c>
      <c r="Q627">
        <f>LN(_xll.ciqfunctions.udf.CIQ("XBI", "IQ_LASTSALEPRICE", WORKDAY(F627,-1))/_xll.ciqfunctions.udf.CIQ("XBI", "IQ_LASTSALEPRICE", WORKDAY(F627,5)))</f>
        <v>4.8474058587536319E-2</v>
      </c>
      <c r="R627">
        <f>_xll.ciqfunctions.udf.CIQ(A627, "IQ_SHORT_INTEREST_PERCENT", F627)</f>
        <v>0.16414999999999999</v>
      </c>
      <c r="S627">
        <f>_xll.ciqfunctions.udf.CIQ(A627, "IQ_BETA_1YR_RSQ", F627)</f>
        <v>9.7999999999999997E-3</v>
      </c>
      <c r="T627">
        <f>_xll.ciqfunctions.udf.CIQ(A627, "IQ_VALUE_TRADED", F627)</f>
        <v>2.24533</v>
      </c>
    </row>
    <row r="628" spans="1:20" x14ac:dyDescent="0.3">
      <c r="A628" t="s">
        <v>1025</v>
      </c>
      <c r="B628" s="2">
        <v>8.56</v>
      </c>
      <c r="C628" t="s">
        <v>1026</v>
      </c>
      <c r="D628" t="s">
        <v>594</v>
      </c>
      <c r="E628" t="s">
        <v>36</v>
      </c>
      <c r="F628" s="1">
        <v>45383</v>
      </c>
      <c r="G628" t="s">
        <v>1863</v>
      </c>
      <c r="H628">
        <v>31</v>
      </c>
      <c r="I628">
        <f>_xll.ciqfunctions.udf.CIQ(A628, "IQ_MARKETCAP", F628)</f>
        <v>251.63328000000001</v>
      </c>
      <c r="J628">
        <f>_xll.ciqfunctions.udf.CIQ(A628, "IQ_PRICE_VOL_HIST_6MTH", F628)</f>
        <v>86.55</v>
      </c>
      <c r="K628">
        <f>_xll.ciqfunctions.udf.CIQ(A628, "IQ_LASTSALEPRICE", WORKDAY(F628,-1))</f>
        <v>7.83</v>
      </c>
      <c r="L628">
        <f>_xll.ciqfunctions.udf.CIQ(A628, "IQ_LASTSALEPRICE", F628)</f>
        <v>8.56</v>
      </c>
      <c r="M628">
        <f>_xll.ciqfunctions.udf.CIQ(A628, "IQ_LASTSALEPRICE", WORKDAY(F628,5))</f>
        <v>9.1300000000000008</v>
      </c>
      <c r="N628">
        <f t="shared" si="18"/>
        <v>8.9137680150939036E-2</v>
      </c>
      <c r="O628">
        <f t="shared" si="19"/>
        <v>0.15360318460416536</v>
      </c>
      <c r="P628">
        <f>LN(_xll.ciqfunctions.udf.CIQ("XBI", "IQ_LASTSALEPRICE", WORKDAY(F628,-1))/_xll.ciqfunctions.udf.CIQ("XBI", "IQ_LASTSALEPRICE", WORKDAY(F628,1)))</f>
        <v>4.5381500346338782E-2</v>
      </c>
      <c r="Q628">
        <f>LN(_xll.ciqfunctions.udf.CIQ("XBI", "IQ_LASTSALEPRICE", WORKDAY(F628,-1))/_xll.ciqfunctions.udf.CIQ("XBI", "IQ_LASTSALEPRICE", WORKDAY(F628,5)))</f>
        <v>4.8474058587536319E-2</v>
      </c>
      <c r="R628">
        <f>_xll.ciqfunctions.udf.CIQ(A628, "IQ_SHORT_INTEREST_PERCENT", F628)</f>
        <v>6.2027200000000002</v>
      </c>
      <c r="S628">
        <f>_xll.ciqfunctions.udf.CIQ(A628, "IQ_BETA_1YR_RSQ", F628)</f>
        <v>2.1860000000000001E-2</v>
      </c>
      <c r="T628">
        <f>_xll.ciqfunctions.udf.CIQ(A628, "IQ_VALUE_TRADED", F628)</f>
        <v>5.3703799999999999</v>
      </c>
    </row>
    <row r="629" spans="1:20" x14ac:dyDescent="0.3">
      <c r="A629" t="s">
        <v>1864</v>
      </c>
      <c r="B629" s="2">
        <v>25.74</v>
      </c>
      <c r="C629" t="s">
        <v>1865</v>
      </c>
      <c r="D629" t="s">
        <v>1866</v>
      </c>
      <c r="E629" t="s">
        <v>36</v>
      </c>
      <c r="F629" s="1">
        <v>45383</v>
      </c>
      <c r="G629" t="s">
        <v>1867</v>
      </c>
      <c r="H629">
        <v>105</v>
      </c>
      <c r="I629">
        <f>_xll.ciqfunctions.udf.CIQ(A629, "IQ_MARKETCAP", F629)</f>
        <v>2664.53757</v>
      </c>
      <c r="J629">
        <f>_xll.ciqfunctions.udf.CIQ(A629, "IQ_PRICE_VOL_HIST_6MTH", F629)</f>
        <v>62.311100000000003</v>
      </c>
      <c r="K629">
        <f>_xll.ciqfunctions.udf.CIQ(A629, "IQ_LASTSALEPRICE", WORKDAY(F629,-1))</f>
        <v>25.19</v>
      </c>
      <c r="L629">
        <f>_xll.ciqfunctions.udf.CIQ(A629, "IQ_LASTSALEPRICE", F629)</f>
        <v>25.74</v>
      </c>
      <c r="M629">
        <f>_xll.ciqfunctions.udf.CIQ(A629, "IQ_LASTSALEPRICE", WORKDAY(F629,5))</f>
        <v>24.23</v>
      </c>
      <c r="N629">
        <f t="shared" si="18"/>
        <v>2.1599111803461721E-2</v>
      </c>
      <c r="O629">
        <f t="shared" si="19"/>
        <v>-3.8855555536084503E-2</v>
      </c>
      <c r="P629">
        <f>LN(_xll.ciqfunctions.udf.CIQ("XBI", "IQ_LASTSALEPRICE", WORKDAY(F629,-1))/_xll.ciqfunctions.udf.CIQ("XBI", "IQ_LASTSALEPRICE", WORKDAY(F629,1)))</f>
        <v>4.5381500346338782E-2</v>
      </c>
      <c r="Q629">
        <f>LN(_xll.ciqfunctions.udf.CIQ("XBI", "IQ_LASTSALEPRICE", WORKDAY(F629,-1))/_xll.ciqfunctions.udf.CIQ("XBI", "IQ_LASTSALEPRICE", WORKDAY(F629,5)))</f>
        <v>4.8474058587536319E-2</v>
      </c>
      <c r="R629">
        <f>_xll.ciqfunctions.udf.CIQ(A629, "IQ_SHORT_INTEREST_PERCENT", F629)</f>
        <v>19.528449999999999</v>
      </c>
      <c r="S629">
        <f>_xll.ciqfunctions.udf.CIQ(A629, "IQ_BETA_1YR_RSQ", F629)</f>
        <v>1.082E-2</v>
      </c>
      <c r="T629">
        <f>_xll.ciqfunctions.udf.CIQ(A629, "IQ_VALUE_TRADED", F629)</f>
        <v>21.571249999999999</v>
      </c>
    </row>
    <row r="630" spans="1:20" x14ac:dyDescent="0.3">
      <c r="A630" t="s">
        <v>259</v>
      </c>
      <c r="B630" s="2">
        <v>12.8</v>
      </c>
      <c r="C630" t="s">
        <v>260</v>
      </c>
      <c r="D630" t="s">
        <v>261</v>
      </c>
      <c r="E630" t="s">
        <v>76</v>
      </c>
      <c r="F630" s="1">
        <v>45384</v>
      </c>
      <c r="G630" t="s">
        <v>1868</v>
      </c>
      <c r="H630">
        <v>59</v>
      </c>
      <c r="I630">
        <f>_xll.ciqfunctions.udf.CIQ(A630, "IQ_MARKETCAP", F630)</f>
        <v>459.38380999999998</v>
      </c>
      <c r="J630">
        <f>_xll.ciqfunctions.udf.CIQ(A630, "IQ_PRICE_VOL_HIST_6MTH", F630)</f>
        <v>112.57550000000001</v>
      </c>
      <c r="K630">
        <f>_xll.ciqfunctions.udf.CIQ(A630, "IQ_LASTSALEPRICE", WORKDAY(F630,-1))</f>
        <v>15.3</v>
      </c>
      <c r="L630">
        <f>_xll.ciqfunctions.udf.CIQ(A630, "IQ_LASTSALEPRICE", F630)</f>
        <v>12.8</v>
      </c>
      <c r="M630">
        <f>_xll.ciqfunctions.udf.CIQ(A630, "IQ_LASTSALEPRICE", WORKDAY(F630,5))</f>
        <v>12.8</v>
      </c>
      <c r="N630">
        <f t="shared" si="18"/>
        <v>-0.17840765747281825</v>
      </c>
      <c r="O630">
        <f t="shared" si="19"/>
        <v>-0.17840765747281825</v>
      </c>
      <c r="P630">
        <f>LN(_xll.ciqfunctions.udf.CIQ("XBI", "IQ_LASTSALEPRICE", WORKDAY(F630,-1))/_xll.ciqfunctions.udf.CIQ("XBI", "IQ_LASTSALEPRICE", WORKDAY(F630,1)))</f>
        <v>3.0398792654496826E-2</v>
      </c>
      <c r="Q630">
        <f>LN(_xll.ciqfunctions.udf.CIQ("XBI", "IQ_LASTSALEPRICE", WORKDAY(F630,-1))/_xll.ciqfunctions.udf.CIQ("XBI", "IQ_LASTSALEPRICE", WORKDAY(F630,5)))</f>
        <v>2.3829905447222983E-2</v>
      </c>
      <c r="R630">
        <f>_xll.ciqfunctions.udf.CIQ(A630, "IQ_SHORT_INTEREST_PERCENT", F630)</f>
        <v>31.220220000000001</v>
      </c>
      <c r="S630">
        <f>_xll.ciqfunctions.udf.CIQ(A630, "IQ_BETA_1YR_RSQ", F630)</f>
        <v>1.2E-4</v>
      </c>
      <c r="T630">
        <f>_xll.ciqfunctions.udf.CIQ(A630, "IQ_VALUE_TRADED", F630)</f>
        <v>36.005330000000001</v>
      </c>
    </row>
    <row r="631" spans="1:20" x14ac:dyDescent="0.3">
      <c r="A631" t="s">
        <v>488</v>
      </c>
      <c r="B631" s="2">
        <v>761.64</v>
      </c>
      <c r="C631" t="s">
        <v>1869</v>
      </c>
      <c r="D631" t="s">
        <v>1870</v>
      </c>
      <c r="E631" t="s">
        <v>46</v>
      </c>
      <c r="F631" s="1">
        <v>45384</v>
      </c>
      <c r="G631" t="s">
        <v>1871</v>
      </c>
      <c r="H631">
        <v>946</v>
      </c>
      <c r="I631">
        <f>_xll.ciqfunctions.udf.CIQ(A631, "IQ_MARKETCAP", F631)</f>
        <v>688149.26976000005</v>
      </c>
      <c r="J631">
        <f>_xll.ciqfunctions.udf.CIQ(A631, "IQ_PRICE_VOL_HIST_6MTH", F631)</f>
        <v>28.637599999999999</v>
      </c>
      <c r="K631">
        <f>_xll.ciqfunctions.udf.CIQ(A631, "IQ_LASTSALEPRICE", WORKDAY(F631,-1))</f>
        <v>760.55</v>
      </c>
      <c r="L631">
        <f>_xll.ciqfunctions.udf.CIQ(A631, "IQ_LASTSALEPRICE", F631)</f>
        <v>763.96</v>
      </c>
      <c r="M631">
        <f>_xll.ciqfunctions.udf.CIQ(A631, "IQ_LASTSALEPRICE", WORKDAY(F631,5))</f>
        <v>757.24</v>
      </c>
      <c r="N631">
        <f t="shared" si="18"/>
        <v>4.4735760172020366E-3</v>
      </c>
      <c r="O631">
        <f t="shared" si="19"/>
        <v>-4.36161161604268E-3</v>
      </c>
      <c r="P631">
        <f>LN(_xll.ciqfunctions.udf.CIQ("XBI", "IQ_LASTSALEPRICE", WORKDAY(F631,-1))/_xll.ciqfunctions.udf.CIQ("XBI", "IQ_LASTSALEPRICE", WORKDAY(F631,1)))</f>
        <v>3.0398792654496826E-2</v>
      </c>
      <c r="Q631">
        <f>LN(_xll.ciqfunctions.udf.CIQ("XBI", "IQ_LASTSALEPRICE", WORKDAY(F631,-1))/_xll.ciqfunctions.udf.CIQ("XBI", "IQ_LASTSALEPRICE", WORKDAY(F631,5)))</f>
        <v>2.3829905447222983E-2</v>
      </c>
      <c r="R631">
        <f>_xll.ciqfunctions.udf.CIQ(A631, "IQ_SHORT_INTEREST_PERCENT", F631)</f>
        <v>0.61465999999999998</v>
      </c>
      <c r="S631">
        <f>_xll.ciqfunctions.udf.CIQ(A631, "IQ_BETA_1YR_RSQ", F631)</f>
        <v>3.9100000000000003E-3</v>
      </c>
      <c r="T631">
        <f>_xll.ciqfunctions.udf.CIQ(A631, "IQ_VALUE_TRADED", F631)</f>
        <v>1983.84292</v>
      </c>
    </row>
    <row r="632" spans="1:20" x14ac:dyDescent="0.3">
      <c r="A632" t="s">
        <v>1872</v>
      </c>
      <c r="B632" s="2">
        <v>8.32</v>
      </c>
      <c r="C632" t="s">
        <v>1869</v>
      </c>
      <c r="D632" t="s">
        <v>1870</v>
      </c>
      <c r="E632" t="s">
        <v>46</v>
      </c>
      <c r="F632" s="1">
        <v>45384</v>
      </c>
      <c r="G632" t="s">
        <v>1871</v>
      </c>
      <c r="H632">
        <v>89</v>
      </c>
      <c r="I632">
        <f>_xll.ciqfunctions.udf.CIQ(A632, "IQ_MARKETCAP", F632)</f>
        <v>23780.603709999999</v>
      </c>
      <c r="J632">
        <f>_xll.ciqfunctions.udf.CIQ(A632, "IQ_PRICE_VOL_HIST_6MTH", F632)</f>
        <v>0</v>
      </c>
      <c r="K632">
        <f>_xll.ciqfunctions.udf.CIQ(A632, "IQ_LASTSALEPRICE", WORKDAY(F632,-1))</f>
        <v>0</v>
      </c>
      <c r="L632">
        <f>_xll.ciqfunctions.udf.CIQ(A632, "IQ_LASTSALEPRICE", F632)</f>
        <v>0</v>
      </c>
      <c r="M632">
        <f>_xll.ciqfunctions.udf.CIQ(A632, "IQ_LASTSALEPRICE", WORKDAY(F632,5))</f>
        <v>0</v>
      </c>
      <c r="N632" t="e">
        <f t="shared" si="18"/>
        <v>#DIV/0!</v>
      </c>
      <c r="O632" t="e">
        <f t="shared" si="19"/>
        <v>#DIV/0!</v>
      </c>
      <c r="P632">
        <f>LN(_xll.ciqfunctions.udf.CIQ("XBI", "IQ_LASTSALEPRICE", WORKDAY(F632,-1))/_xll.ciqfunctions.udf.CIQ("XBI", "IQ_LASTSALEPRICE", WORKDAY(F632,1)))</f>
        <v>3.0398792654496826E-2</v>
      </c>
      <c r="Q632">
        <f>LN(_xll.ciqfunctions.udf.CIQ("XBI", "IQ_LASTSALEPRICE", WORKDAY(F632,-1))/_xll.ciqfunctions.udf.CIQ("XBI", "IQ_LASTSALEPRICE", WORKDAY(F632,5)))</f>
        <v>2.3829905447222983E-2</v>
      </c>
      <c r="R632">
        <f>_xll.ciqfunctions.udf.CIQ(A632, "IQ_SHORT_INTEREST_PERCENT", F632)</f>
        <v>0</v>
      </c>
      <c r="S632">
        <f>_xll.ciqfunctions.udf.CIQ(A632, "IQ_BETA_1YR_RSQ", F632)</f>
        <v>0</v>
      </c>
      <c r="T632">
        <f>_xll.ciqfunctions.udf.CIQ(A632, "IQ_VALUE_TRADED", F632)</f>
        <v>0</v>
      </c>
    </row>
    <row r="633" spans="1:20" x14ac:dyDescent="0.3">
      <c r="A633" t="s">
        <v>1873</v>
      </c>
      <c r="B633" s="2">
        <v>94.49</v>
      </c>
      <c r="C633" t="s">
        <v>1869</v>
      </c>
      <c r="D633" t="s">
        <v>1870</v>
      </c>
      <c r="E633" t="s">
        <v>46</v>
      </c>
      <c r="F633" s="1">
        <v>45384</v>
      </c>
      <c r="G633" t="s">
        <v>1871</v>
      </c>
      <c r="H633">
        <v>70</v>
      </c>
      <c r="I633">
        <f>_xll.ciqfunctions.udf.CIQ(A633, "IQ_MARKETCAP", F633)</f>
        <v>40883.456749999998</v>
      </c>
      <c r="J633">
        <f>_xll.ciqfunctions.udf.CIQ(A633, "IQ_PRICE_VOL_HIST_6MTH", F633)</f>
        <v>0</v>
      </c>
      <c r="K633">
        <f>_xll.ciqfunctions.udf.CIQ(A633, "IQ_LASTSALEPRICE", WORKDAY(F633,-1))</f>
        <v>0</v>
      </c>
      <c r="L633">
        <f>_xll.ciqfunctions.udf.CIQ(A633, "IQ_LASTSALEPRICE", F633)</f>
        <v>0</v>
      </c>
      <c r="M633">
        <f>_xll.ciqfunctions.udf.CIQ(A633, "IQ_LASTSALEPRICE", WORKDAY(F633,5))</f>
        <v>0</v>
      </c>
      <c r="N633" t="e">
        <f t="shared" si="18"/>
        <v>#DIV/0!</v>
      </c>
      <c r="O633" t="e">
        <f t="shared" si="19"/>
        <v>#DIV/0!</v>
      </c>
      <c r="P633">
        <f>LN(_xll.ciqfunctions.udf.CIQ("XBI", "IQ_LASTSALEPRICE", WORKDAY(F633,-1))/_xll.ciqfunctions.udf.CIQ("XBI", "IQ_LASTSALEPRICE", WORKDAY(F633,1)))</f>
        <v>3.0398792654496826E-2</v>
      </c>
      <c r="Q633">
        <f>LN(_xll.ciqfunctions.udf.CIQ("XBI", "IQ_LASTSALEPRICE", WORKDAY(F633,-1))/_xll.ciqfunctions.udf.CIQ("XBI", "IQ_LASTSALEPRICE", WORKDAY(F633,5)))</f>
        <v>2.3829905447222983E-2</v>
      </c>
      <c r="R633">
        <f>_xll.ciqfunctions.udf.CIQ(A633, "IQ_SHORT_INTEREST_PERCENT", F633)</f>
        <v>0</v>
      </c>
      <c r="S633">
        <f>_xll.ciqfunctions.udf.CIQ(A633, "IQ_BETA_1YR_RSQ", F633)</f>
        <v>0</v>
      </c>
      <c r="T633">
        <f>_xll.ciqfunctions.udf.CIQ(A633, "IQ_VALUE_TRADED", F633)</f>
        <v>0</v>
      </c>
    </row>
    <row r="634" spans="1:20" x14ac:dyDescent="0.3">
      <c r="A634" t="s">
        <v>855</v>
      </c>
      <c r="B634" s="2">
        <v>10.92</v>
      </c>
      <c r="C634" t="s">
        <v>1874</v>
      </c>
      <c r="D634" t="s">
        <v>1875</v>
      </c>
      <c r="E634" t="s">
        <v>76</v>
      </c>
      <c r="F634" s="1">
        <v>45384</v>
      </c>
      <c r="G634" t="s">
        <v>1876</v>
      </c>
      <c r="H634">
        <v>682</v>
      </c>
      <c r="I634">
        <f>_xll.ciqfunctions.udf.CIQ(A634, "IQ_MARKETCAP", F634)</f>
        <v>8799.8383900000008</v>
      </c>
      <c r="J634">
        <f>_xll.ciqfunctions.udf.CIQ(A634, "IQ_PRICE_VOL_HIST_6MTH", F634)</f>
        <v>43.331099999999999</v>
      </c>
      <c r="K634">
        <f>_xll.ciqfunctions.udf.CIQ(A634, "IQ_LASTSALEPRICE", WORKDAY(F634,-1))</f>
        <v>10.43</v>
      </c>
      <c r="L634">
        <f>_xll.ciqfunctions.udf.CIQ(A634, "IQ_LASTSALEPRICE", F634)</f>
        <v>10.92</v>
      </c>
      <c r="M634">
        <f>_xll.ciqfunctions.udf.CIQ(A634, "IQ_LASTSALEPRICE", WORKDAY(F634,5))</f>
        <v>11.41</v>
      </c>
      <c r="N634">
        <f t="shared" si="18"/>
        <v>4.5909701304077948E-2</v>
      </c>
      <c r="O634">
        <f t="shared" si="19"/>
        <v>8.9803894861303274E-2</v>
      </c>
      <c r="P634">
        <f>LN(_xll.ciqfunctions.udf.CIQ("XBI", "IQ_LASTSALEPRICE", WORKDAY(F634,-1))/_xll.ciqfunctions.udf.CIQ("XBI", "IQ_LASTSALEPRICE", WORKDAY(F634,1)))</f>
        <v>3.0398792654496826E-2</v>
      </c>
      <c r="Q634">
        <f>LN(_xll.ciqfunctions.udf.CIQ("XBI", "IQ_LASTSALEPRICE", WORKDAY(F634,-1))/_xll.ciqfunctions.udf.CIQ("XBI", "IQ_LASTSALEPRICE", WORKDAY(F634,5)))</f>
        <v>2.3829905447222983E-2</v>
      </c>
      <c r="R634">
        <f>_xll.ciqfunctions.udf.CIQ(A634, "IQ_SHORT_INTEREST_PERCENT", F634)</f>
        <v>3.9177599999999999</v>
      </c>
      <c r="S634">
        <f>_xll.ciqfunctions.udf.CIQ(A634, "IQ_BETA_1YR_RSQ", F634)</f>
        <v>7.3529999999999998E-2</v>
      </c>
      <c r="T634">
        <f>_xll.ciqfunctions.udf.CIQ(A634, "IQ_VALUE_TRADED", F634)</f>
        <v>222.14696000000001</v>
      </c>
    </row>
    <row r="635" spans="1:20" x14ac:dyDescent="0.3">
      <c r="A635" t="s">
        <v>1877</v>
      </c>
      <c r="B635" s="2">
        <v>2.84</v>
      </c>
      <c r="C635" t="s">
        <v>1878</v>
      </c>
      <c r="D635" t="s">
        <v>1879</v>
      </c>
      <c r="E635" t="s">
        <v>89</v>
      </c>
      <c r="F635" s="1">
        <v>45384</v>
      </c>
      <c r="G635" t="s">
        <v>1880</v>
      </c>
      <c r="I635">
        <f>_xll.ciqfunctions.udf.CIQ(A635, "IQ_MARKETCAP", F635)</f>
        <v>5.4255399999999998</v>
      </c>
      <c r="J635">
        <f>_xll.ciqfunctions.udf.CIQ(A635, "IQ_PRICE_VOL_HIST_6MTH", F635)</f>
        <v>125.07599999999999</v>
      </c>
      <c r="K635">
        <f>_xll.ciqfunctions.udf.CIQ(A635, "IQ_LASTSALEPRICE", WORKDAY(F635,-1))</f>
        <v>148.5</v>
      </c>
      <c r="L635">
        <f>_xll.ciqfunctions.udf.CIQ(A635, "IQ_LASTSALEPRICE", F635)</f>
        <v>142</v>
      </c>
      <c r="M635">
        <f>_xll.ciqfunctions.udf.CIQ(A635, "IQ_LASTSALEPRICE", WORKDAY(F635,5))</f>
        <v>153.5</v>
      </c>
      <c r="N635">
        <f t="shared" si="18"/>
        <v>-4.4757900641493605E-2</v>
      </c>
      <c r="O635">
        <f t="shared" si="19"/>
        <v>3.3115608784497604E-2</v>
      </c>
      <c r="P635">
        <f>LN(_xll.ciqfunctions.udf.CIQ("XBI", "IQ_LASTSALEPRICE", WORKDAY(F635,-1))/_xll.ciqfunctions.udf.CIQ("XBI", "IQ_LASTSALEPRICE", WORKDAY(F635,1)))</f>
        <v>3.0398792654496826E-2</v>
      </c>
      <c r="Q635">
        <f>LN(_xll.ciqfunctions.udf.CIQ("XBI", "IQ_LASTSALEPRICE", WORKDAY(F635,-1))/_xll.ciqfunctions.udf.CIQ("XBI", "IQ_LASTSALEPRICE", WORKDAY(F635,5)))</f>
        <v>2.3829905447222983E-2</v>
      </c>
      <c r="R635">
        <f>_xll.ciqfunctions.udf.CIQ(A635, "IQ_SHORT_INTEREST_PERCENT", F635)</f>
        <v>4.2019500000000001</v>
      </c>
      <c r="S635">
        <f>_xll.ciqfunctions.udf.CIQ(A635, "IQ_BETA_1YR_RSQ", F635)</f>
        <v>0.16994000000000001</v>
      </c>
      <c r="T635">
        <f>_xll.ciqfunctions.udf.CIQ(A635, "IQ_VALUE_TRADED", F635)</f>
        <v>0.16031999999999999</v>
      </c>
    </row>
    <row r="636" spans="1:20" x14ac:dyDescent="0.3">
      <c r="A636" t="s">
        <v>113</v>
      </c>
      <c r="B636" s="2">
        <v>18.73</v>
      </c>
      <c r="C636" t="s">
        <v>114</v>
      </c>
      <c r="D636" t="s">
        <v>115</v>
      </c>
      <c r="E636" t="s">
        <v>76</v>
      </c>
      <c r="F636" s="1">
        <v>45384</v>
      </c>
      <c r="G636" t="s">
        <v>1881</v>
      </c>
      <c r="H636">
        <v>74</v>
      </c>
      <c r="I636">
        <f>_xll.ciqfunctions.udf.CIQ(A636, "IQ_MARKETCAP", F636)</f>
        <v>1322.6193599999999</v>
      </c>
      <c r="J636">
        <f>_xll.ciqfunctions.udf.CIQ(A636, "IQ_PRICE_VOL_HIST_6MTH", F636)</f>
        <v>45.030799999999999</v>
      </c>
      <c r="K636">
        <f>_xll.ciqfunctions.udf.CIQ(A636, "IQ_LASTSALEPRICE", WORKDAY(F636,-1))</f>
        <v>19.7</v>
      </c>
      <c r="L636">
        <f>_xll.ciqfunctions.udf.CIQ(A636, "IQ_LASTSALEPRICE", F636)</f>
        <v>18.73</v>
      </c>
      <c r="M636">
        <f>_xll.ciqfunctions.udf.CIQ(A636, "IQ_LASTSALEPRICE", WORKDAY(F636,5))</f>
        <v>17.73</v>
      </c>
      <c r="N636">
        <f t="shared" si="18"/>
        <v>-5.0492119287945614E-2</v>
      </c>
      <c r="O636">
        <f t="shared" si="19"/>
        <v>-0.10536051565782628</v>
      </c>
      <c r="P636">
        <f>LN(_xll.ciqfunctions.udf.CIQ("XBI", "IQ_LASTSALEPRICE", WORKDAY(F636,-1))/_xll.ciqfunctions.udf.CIQ("XBI", "IQ_LASTSALEPRICE", WORKDAY(F636,1)))</f>
        <v>3.0398792654496826E-2</v>
      </c>
      <c r="Q636">
        <f>LN(_xll.ciqfunctions.udf.CIQ("XBI", "IQ_LASTSALEPRICE", WORKDAY(F636,-1))/_xll.ciqfunctions.udf.CIQ("XBI", "IQ_LASTSALEPRICE", WORKDAY(F636,5)))</f>
        <v>2.3829905447222983E-2</v>
      </c>
      <c r="R636">
        <f>_xll.ciqfunctions.udf.CIQ(A636, "IQ_SHORT_INTEREST_PERCENT", F636)</f>
        <v>4.0607100000000003</v>
      </c>
      <c r="S636">
        <f>_xll.ciqfunctions.udf.CIQ(A636, "IQ_BETA_1YR_RSQ", F636)</f>
        <v>3.9070000000000001E-2</v>
      </c>
      <c r="T636">
        <f>_xll.ciqfunctions.udf.CIQ(A636, "IQ_VALUE_TRADED", F636)</f>
        <v>7.9732099999999999</v>
      </c>
    </row>
    <row r="637" spans="1:20" x14ac:dyDescent="0.3">
      <c r="A637" t="s">
        <v>582</v>
      </c>
      <c r="B637" s="2">
        <v>3</v>
      </c>
      <c r="C637" t="s">
        <v>583</v>
      </c>
      <c r="D637" t="s">
        <v>584</v>
      </c>
      <c r="E637" t="s">
        <v>22</v>
      </c>
      <c r="F637" s="1">
        <v>45384</v>
      </c>
      <c r="G637" t="s">
        <v>1882</v>
      </c>
      <c r="H637">
        <v>1</v>
      </c>
      <c r="I637">
        <f>_xll.ciqfunctions.udf.CIQ(A637, "IQ_MARKETCAP", F637)</f>
        <v>3.6714699999999998</v>
      </c>
      <c r="J637">
        <f>_xll.ciqfunctions.udf.CIQ(A637, "IQ_PRICE_VOL_HIST_6MTH", F637)</f>
        <v>0</v>
      </c>
      <c r="K637">
        <f>_xll.ciqfunctions.udf.CIQ(A637, "IQ_LASTSALEPRICE", WORKDAY(F637,-1))</f>
        <v>0</v>
      </c>
      <c r="L637">
        <f>_xll.ciqfunctions.udf.CIQ(A637, "IQ_LASTSALEPRICE", F637)</f>
        <v>0</v>
      </c>
      <c r="M637">
        <f>_xll.ciqfunctions.udf.CIQ(A637, "IQ_LASTSALEPRICE", WORKDAY(F637,5))</f>
        <v>0</v>
      </c>
      <c r="N637" t="e">
        <f t="shared" si="18"/>
        <v>#DIV/0!</v>
      </c>
      <c r="O637" t="e">
        <f t="shared" si="19"/>
        <v>#DIV/0!</v>
      </c>
      <c r="P637">
        <f>LN(_xll.ciqfunctions.udf.CIQ("XBI", "IQ_LASTSALEPRICE", WORKDAY(F637,-1))/_xll.ciqfunctions.udf.CIQ("XBI", "IQ_LASTSALEPRICE", WORKDAY(F637,1)))</f>
        <v>3.0398792654496826E-2</v>
      </c>
      <c r="Q637">
        <f>LN(_xll.ciqfunctions.udf.CIQ("XBI", "IQ_LASTSALEPRICE", WORKDAY(F637,-1))/_xll.ciqfunctions.udf.CIQ("XBI", "IQ_LASTSALEPRICE", WORKDAY(F637,5)))</f>
        <v>2.3829905447222983E-2</v>
      </c>
      <c r="R637">
        <f>_xll.ciqfunctions.udf.CIQ(A637, "IQ_SHORT_INTEREST_PERCENT", F637)</f>
        <v>0</v>
      </c>
      <c r="S637">
        <f>_xll.ciqfunctions.udf.CIQ(A637, "IQ_BETA_1YR_RSQ", F637)</f>
        <v>0</v>
      </c>
      <c r="T637">
        <f>_xll.ciqfunctions.udf.CIQ(A637, "IQ_VALUE_TRADED", F637)</f>
        <v>0</v>
      </c>
    </row>
    <row r="638" spans="1:20" x14ac:dyDescent="0.3">
      <c r="A638" t="s">
        <v>288</v>
      </c>
      <c r="B638" s="2">
        <v>37.46</v>
      </c>
      <c r="C638" t="s">
        <v>481</v>
      </c>
      <c r="D638" t="s">
        <v>482</v>
      </c>
      <c r="E638" t="s">
        <v>22</v>
      </c>
      <c r="F638" s="1">
        <v>45384</v>
      </c>
      <c r="G638" t="s">
        <v>1883</v>
      </c>
      <c r="H638">
        <v>12</v>
      </c>
      <c r="I638">
        <f>_xll.ciqfunctions.udf.CIQ(A638, "IQ_MARKETCAP", F638)</f>
        <v>393.60109999999997</v>
      </c>
      <c r="J638">
        <f>_xll.ciqfunctions.udf.CIQ(A638, "IQ_PRICE_VOL_HIST_6MTH", F638)</f>
        <v>225.82300000000001</v>
      </c>
      <c r="K638">
        <f>_xll.ciqfunctions.udf.CIQ(A638, "IQ_LASTSALEPRICE", WORKDAY(F638,-1))</f>
        <v>37.99</v>
      </c>
      <c r="L638">
        <f>_xll.ciqfunctions.udf.CIQ(A638, "IQ_LASTSALEPRICE", F638)</f>
        <v>37.46</v>
      </c>
      <c r="M638">
        <f>_xll.ciqfunctions.udf.CIQ(A638, "IQ_LASTSALEPRICE", WORKDAY(F638,5))</f>
        <v>37.47</v>
      </c>
      <c r="N638">
        <f t="shared" si="18"/>
        <v>-1.4049270183591768E-2</v>
      </c>
      <c r="O638">
        <f t="shared" si="19"/>
        <v>-1.3782354393938313E-2</v>
      </c>
      <c r="P638">
        <f>LN(_xll.ciqfunctions.udf.CIQ("XBI", "IQ_LASTSALEPRICE", WORKDAY(F638,-1))/_xll.ciqfunctions.udf.CIQ("XBI", "IQ_LASTSALEPRICE", WORKDAY(F638,1)))</f>
        <v>3.0398792654496826E-2</v>
      </c>
      <c r="Q638">
        <f>LN(_xll.ciqfunctions.udf.CIQ("XBI", "IQ_LASTSALEPRICE", WORKDAY(F638,-1))/_xll.ciqfunctions.udf.CIQ("XBI", "IQ_LASTSALEPRICE", WORKDAY(F638,5)))</f>
        <v>2.3829905447222983E-2</v>
      </c>
      <c r="R638">
        <f>_xll.ciqfunctions.udf.CIQ(A638, "IQ_SHORT_INTEREST_PERCENT", F638)</f>
        <v>3.8429600000000002</v>
      </c>
      <c r="S638">
        <f>_xll.ciqfunctions.udf.CIQ(A638, "IQ_BETA_1YR_RSQ", F638)</f>
        <v>1.1999999999999999E-3</v>
      </c>
      <c r="T638">
        <f>_xll.ciqfunctions.udf.CIQ(A638, "IQ_VALUE_TRADED", F638)</f>
        <v>10.147539999999999</v>
      </c>
    </row>
    <row r="639" spans="1:20" x14ac:dyDescent="0.3">
      <c r="A639" t="s">
        <v>1884</v>
      </c>
      <c r="B639" s="2">
        <v>5.44</v>
      </c>
      <c r="C639" t="s">
        <v>1885</v>
      </c>
      <c r="D639" t="s">
        <v>1886</v>
      </c>
      <c r="E639" t="s">
        <v>22</v>
      </c>
      <c r="F639" s="1">
        <v>45384</v>
      </c>
      <c r="G639" t="s">
        <v>1887</v>
      </c>
      <c r="H639">
        <v>52</v>
      </c>
      <c r="I639">
        <f>_xll.ciqfunctions.udf.CIQ(A639, "IQ_MARKETCAP", F639)</f>
        <v>269.57033999999999</v>
      </c>
      <c r="J639">
        <f>_xll.ciqfunctions.udf.CIQ(A639, "IQ_PRICE_VOL_HIST_6MTH", F639)</f>
        <v>183.0342</v>
      </c>
      <c r="K639">
        <f>_xll.ciqfunctions.udf.CIQ(A639, "IQ_LASTSALEPRICE", WORKDAY(F639,-1))</f>
        <v>5.31</v>
      </c>
      <c r="L639">
        <f>_xll.ciqfunctions.udf.CIQ(A639, "IQ_LASTSALEPRICE", F639)</f>
        <v>5.44</v>
      </c>
      <c r="M639">
        <f>_xll.ciqfunctions.udf.CIQ(A639, "IQ_LASTSALEPRICE", WORKDAY(F639,5))</f>
        <v>6.07</v>
      </c>
      <c r="N639">
        <f t="shared" si="18"/>
        <v>2.4187225614004042E-2</v>
      </c>
      <c r="O639">
        <f t="shared" si="19"/>
        <v>0.13376676981755958</v>
      </c>
      <c r="P639">
        <f>LN(_xll.ciqfunctions.udf.CIQ("XBI", "IQ_LASTSALEPRICE", WORKDAY(F639,-1))/_xll.ciqfunctions.udf.CIQ("XBI", "IQ_LASTSALEPRICE", WORKDAY(F639,1)))</f>
        <v>3.0398792654496826E-2</v>
      </c>
      <c r="Q639">
        <f>LN(_xll.ciqfunctions.udf.CIQ("XBI", "IQ_LASTSALEPRICE", WORKDAY(F639,-1))/_xll.ciqfunctions.udf.CIQ("XBI", "IQ_LASTSALEPRICE", WORKDAY(F639,5)))</f>
        <v>2.3829905447222983E-2</v>
      </c>
      <c r="R639">
        <f>_xll.ciqfunctions.udf.CIQ(A639, "IQ_SHORT_INTEREST_PERCENT", F639)</f>
        <v>3.2827600000000001</v>
      </c>
      <c r="S639">
        <f>_xll.ciqfunctions.udf.CIQ(A639, "IQ_BETA_1YR_RSQ", F639)</f>
        <v>0.13531000000000001</v>
      </c>
      <c r="T639">
        <f>_xll.ciqfunctions.udf.CIQ(A639, "IQ_VALUE_TRADED", F639)</f>
        <v>4.3692599999999997</v>
      </c>
    </row>
    <row r="640" spans="1:20" x14ac:dyDescent="0.3">
      <c r="A640" t="s">
        <v>492</v>
      </c>
      <c r="B640" s="2">
        <v>3.91</v>
      </c>
      <c r="C640" t="s">
        <v>1888</v>
      </c>
      <c r="D640" t="s">
        <v>1889</v>
      </c>
      <c r="E640" t="s">
        <v>160</v>
      </c>
      <c r="F640" s="1">
        <v>45384</v>
      </c>
      <c r="G640" t="s">
        <v>1890</v>
      </c>
      <c r="H640">
        <v>59</v>
      </c>
      <c r="I640">
        <f>_xll.ciqfunctions.udf.CIQ(A640, "IQ_MARKETCAP", F640)</f>
        <v>224.97162</v>
      </c>
      <c r="J640">
        <f>_xll.ciqfunctions.udf.CIQ(A640, "IQ_PRICE_VOL_HIST_6MTH", F640)</f>
        <v>60.167099999999998</v>
      </c>
      <c r="K640">
        <f>_xll.ciqfunctions.udf.CIQ(A640, "IQ_LASTSALEPRICE", WORKDAY(F640,-1))</f>
        <v>4.12</v>
      </c>
      <c r="L640">
        <f>_xll.ciqfunctions.udf.CIQ(A640, "IQ_LASTSALEPRICE", F640)</f>
        <v>3.91</v>
      </c>
      <c r="M640">
        <f>_xll.ciqfunctions.udf.CIQ(A640, "IQ_LASTSALEPRICE", WORKDAY(F640,5))</f>
        <v>4.3600000000000003</v>
      </c>
      <c r="N640">
        <f t="shared" si="18"/>
        <v>-5.2315789364160592E-2</v>
      </c>
      <c r="O640">
        <f t="shared" si="19"/>
        <v>5.6618893999507904E-2</v>
      </c>
      <c r="P640">
        <f>LN(_xll.ciqfunctions.udf.CIQ("XBI", "IQ_LASTSALEPRICE", WORKDAY(F640,-1))/_xll.ciqfunctions.udf.CIQ("XBI", "IQ_LASTSALEPRICE", WORKDAY(F640,1)))</f>
        <v>3.0398792654496826E-2</v>
      </c>
      <c r="Q640">
        <f>LN(_xll.ciqfunctions.udf.CIQ("XBI", "IQ_LASTSALEPRICE", WORKDAY(F640,-1))/_xll.ciqfunctions.udf.CIQ("XBI", "IQ_LASTSALEPRICE", WORKDAY(F640,5)))</f>
        <v>2.3829905447222983E-2</v>
      </c>
      <c r="R640">
        <f>_xll.ciqfunctions.udf.CIQ(A640, "IQ_SHORT_INTEREST_PERCENT", F640)</f>
        <v>5.2157</v>
      </c>
      <c r="S640">
        <f>_xll.ciqfunctions.udf.CIQ(A640, "IQ_BETA_1YR_RSQ", F640)</f>
        <v>8.2400000000000008E-3</v>
      </c>
      <c r="T640">
        <f>_xll.ciqfunctions.udf.CIQ(A640, "IQ_VALUE_TRADED", F640)</f>
        <v>8.3006700000000002</v>
      </c>
    </row>
    <row r="641" spans="1:20" x14ac:dyDescent="0.3">
      <c r="A641" t="s">
        <v>1891</v>
      </c>
      <c r="B641" s="2">
        <v>1.47</v>
      </c>
      <c r="C641" t="s">
        <v>1892</v>
      </c>
      <c r="D641" t="s">
        <v>1893</v>
      </c>
      <c r="E641" t="s">
        <v>22</v>
      </c>
      <c r="F641" s="1">
        <v>45385</v>
      </c>
      <c r="G641" t="s">
        <v>1894</v>
      </c>
      <c r="H641">
        <v>4</v>
      </c>
      <c r="I641">
        <f>_xll.ciqfunctions.udf.CIQ(A641, "IQ_MARKETCAP", F641)</f>
        <v>145.19370000000001</v>
      </c>
      <c r="J641">
        <f>_xll.ciqfunctions.udf.CIQ(A641, "IQ_PRICE_VOL_HIST_6MTH", F641)</f>
        <v>171.70060000000001</v>
      </c>
      <c r="K641">
        <f>_xll.ciqfunctions.udf.CIQ(A641, "IQ_LASTSALEPRICE", WORKDAY(F641,-1))</f>
        <v>54</v>
      </c>
      <c r="L641">
        <f>_xll.ciqfunctions.udf.CIQ(A641, "IQ_LASTSALEPRICE", F641)</f>
        <v>36.75</v>
      </c>
      <c r="M641">
        <f>_xll.ciqfunctions.udf.CIQ(A641, "IQ_LASTSALEPRICE", WORKDAY(F641,5))</f>
        <v>35.75</v>
      </c>
      <c r="N641">
        <f t="shared" si="18"/>
        <v>-0.38484582090542868</v>
      </c>
      <c r="O641">
        <f t="shared" si="19"/>
        <v>-0.41243377742425763</v>
      </c>
      <c r="P641">
        <f>LN(_xll.ciqfunctions.udf.CIQ("XBI", "IQ_LASTSALEPRICE", WORKDAY(F641,-1))/_xll.ciqfunctions.udf.CIQ("XBI", "IQ_LASTSALEPRICE", WORKDAY(F641,1)))</f>
        <v>1.320993844456146E-2</v>
      </c>
      <c r="Q641">
        <f>LN(_xll.ciqfunctions.udf.CIQ("XBI", "IQ_LASTSALEPRICE", WORKDAY(F641,-1))/_xll.ciqfunctions.udf.CIQ("XBI", "IQ_LASTSALEPRICE", WORKDAY(F641,5)))</f>
        <v>8.082865242786107E-3</v>
      </c>
      <c r="R641">
        <f>_xll.ciqfunctions.udf.CIQ(A641, "IQ_SHORT_INTEREST_PERCENT", F641)</f>
        <v>5.5970800000000001</v>
      </c>
      <c r="S641">
        <f>_xll.ciqfunctions.udf.CIQ(A641, "IQ_BETA_1YR_RSQ", F641)</f>
        <v>3.6769999999999997E-2</v>
      </c>
      <c r="T641">
        <f>_xll.ciqfunctions.udf.CIQ(A641, "IQ_VALUE_TRADED", F641)</f>
        <v>15.2019</v>
      </c>
    </row>
    <row r="642" spans="1:20" x14ac:dyDescent="0.3">
      <c r="A642" t="s">
        <v>1895</v>
      </c>
      <c r="B642" s="2">
        <v>21.22</v>
      </c>
      <c r="C642" t="s">
        <v>1896</v>
      </c>
      <c r="D642" t="s">
        <v>1897</v>
      </c>
      <c r="E642" t="s">
        <v>36</v>
      </c>
      <c r="F642" s="1">
        <v>45385</v>
      </c>
      <c r="G642" t="s">
        <v>1898</v>
      </c>
      <c r="H642">
        <v>28</v>
      </c>
      <c r="I642">
        <f>_xll.ciqfunctions.udf.CIQ(A642, "IQ_MARKETCAP", F642)</f>
        <v>541.82156999999995</v>
      </c>
      <c r="J642">
        <f>_xll.ciqfunctions.udf.CIQ(A642, "IQ_PRICE_VOL_HIST_6MTH", F642)</f>
        <v>0</v>
      </c>
      <c r="K642">
        <f>_xll.ciqfunctions.udf.CIQ(A642, "IQ_LASTSALEPRICE", WORKDAY(F642,-1))</f>
        <v>21.01</v>
      </c>
      <c r="L642">
        <f>_xll.ciqfunctions.udf.CIQ(A642, "IQ_LASTSALEPRICE", F642)</f>
        <v>21.22</v>
      </c>
      <c r="M642">
        <f>_xll.ciqfunctions.udf.CIQ(A642, "IQ_LASTSALEPRICE", WORKDAY(F642,5))</f>
        <v>21.03</v>
      </c>
      <c r="N642">
        <f t="shared" si="18"/>
        <v>9.9456183289277928E-3</v>
      </c>
      <c r="O642">
        <f t="shared" si="19"/>
        <v>9.5147485769941638E-4</v>
      </c>
      <c r="P642">
        <f>LN(_xll.ciqfunctions.udf.CIQ("XBI", "IQ_LASTSALEPRICE", WORKDAY(F642,-1))/_xll.ciqfunctions.udf.CIQ("XBI", "IQ_LASTSALEPRICE", WORKDAY(F642,1)))</f>
        <v>1.320993844456146E-2</v>
      </c>
      <c r="Q642">
        <f>LN(_xll.ciqfunctions.udf.CIQ("XBI", "IQ_LASTSALEPRICE", WORKDAY(F642,-1))/_xll.ciqfunctions.udf.CIQ("XBI", "IQ_LASTSALEPRICE", WORKDAY(F642,5)))</f>
        <v>8.082865242786107E-3</v>
      </c>
      <c r="R642">
        <f>_xll.ciqfunctions.udf.CIQ(A642, "IQ_SHORT_INTEREST_PERCENT", F642)</f>
        <v>0.49117</v>
      </c>
      <c r="S642">
        <f>_xll.ciqfunctions.udf.CIQ(A642, "IQ_BETA_1YR_RSQ", F642)</f>
        <v>0</v>
      </c>
      <c r="T642">
        <f>_xll.ciqfunctions.udf.CIQ(A642, "IQ_VALUE_TRADED", F642)</f>
        <v>8.2927800000000005</v>
      </c>
    </row>
    <row r="643" spans="1:20" x14ac:dyDescent="0.3">
      <c r="A643" t="s">
        <v>130</v>
      </c>
      <c r="B643" s="2">
        <v>129.12</v>
      </c>
      <c r="C643" t="s">
        <v>1899</v>
      </c>
      <c r="D643" t="s">
        <v>1410</v>
      </c>
      <c r="E643" t="s">
        <v>27</v>
      </c>
      <c r="F643" s="1">
        <v>45385</v>
      </c>
      <c r="G643" t="s">
        <v>1900</v>
      </c>
      <c r="I643">
        <f>_xll.ciqfunctions.udf.CIQ(A643, "IQ_MARKETCAP", F643)</f>
        <v>328990.43897000002</v>
      </c>
      <c r="J643">
        <f>_xll.ciqfunctions.udf.CIQ(A643, "IQ_PRICE_VOL_HIST_6MTH", F643)</f>
        <v>17.2012</v>
      </c>
      <c r="K643">
        <f>_xll.ciqfunctions.udf.CIQ(A643, "IQ_LASTSALEPRICE", WORKDAY(F643,-1))</f>
        <v>130.35</v>
      </c>
      <c r="L643">
        <f>_xll.ciqfunctions.udf.CIQ(A643, "IQ_LASTSALEPRICE", F643)</f>
        <v>129.9</v>
      </c>
      <c r="M643">
        <f>_xll.ciqfunctions.udf.CIQ(A643, "IQ_LASTSALEPRICE", WORKDAY(F643,5))</f>
        <v>126.75</v>
      </c>
      <c r="N643">
        <f t="shared" ref="N643:N706" si="20">LN(L643/K643)</f>
        <v>-3.4582167029568295E-3</v>
      </c>
      <c r="O643">
        <f t="shared" ref="O643:O706" si="21">LN(M643/K643)</f>
        <v>-2.8006497908218103E-2</v>
      </c>
      <c r="P643">
        <f>LN(_xll.ciqfunctions.udf.CIQ("XBI", "IQ_LASTSALEPRICE", WORKDAY(F643,-1))/_xll.ciqfunctions.udf.CIQ("XBI", "IQ_LASTSALEPRICE", WORKDAY(F643,1)))</f>
        <v>1.320993844456146E-2</v>
      </c>
      <c r="Q643">
        <f>LN(_xll.ciqfunctions.udf.CIQ("XBI", "IQ_LASTSALEPRICE", WORKDAY(F643,-1))/_xll.ciqfunctions.udf.CIQ("XBI", "IQ_LASTSALEPRICE", WORKDAY(F643,5)))</f>
        <v>8.082865242786107E-3</v>
      </c>
      <c r="R643">
        <f>_xll.ciqfunctions.udf.CIQ(A643, "IQ_SHORT_INTEREST_PERCENT", F643)</f>
        <v>0.9143</v>
      </c>
      <c r="S643">
        <f>_xll.ciqfunctions.udf.CIQ(A643, "IQ_BETA_1YR_RSQ", F643)</f>
        <v>1.1E-4</v>
      </c>
      <c r="T643">
        <f>_xll.ciqfunctions.udf.CIQ(A643, "IQ_VALUE_TRADED", F643)</f>
        <v>1005.61241</v>
      </c>
    </row>
    <row r="644" spans="1:20" x14ac:dyDescent="0.3">
      <c r="A644" t="s">
        <v>1901</v>
      </c>
      <c r="B644" s="2">
        <v>31.22</v>
      </c>
      <c r="C644" t="s">
        <v>1899</v>
      </c>
      <c r="D644" t="s">
        <v>1410</v>
      </c>
      <c r="E644" t="s">
        <v>27</v>
      </c>
      <c r="F644" s="1">
        <v>45385</v>
      </c>
      <c r="G644" t="s">
        <v>1900</v>
      </c>
      <c r="I644">
        <f>_xll.ciqfunctions.udf.CIQ(A644, "IQ_MARKETCAP", F644)</f>
        <v>8966006.4404399991</v>
      </c>
      <c r="J644">
        <f>_xll.ciqfunctions.udf.CIQ(A644, "IQ_PRICE_VOL_HIST_6MTH", F644)</f>
        <v>0</v>
      </c>
      <c r="K644">
        <f>_xll.ciqfunctions.udf.CIQ(A644, "IQ_LASTSALEPRICE", WORKDAY(F644,-1))</f>
        <v>0</v>
      </c>
      <c r="L644">
        <f>_xll.ciqfunctions.udf.CIQ(A644, "IQ_LASTSALEPRICE", F644)</f>
        <v>0</v>
      </c>
      <c r="M644">
        <f>_xll.ciqfunctions.udf.CIQ(A644, "IQ_LASTSALEPRICE", WORKDAY(F644,5))</f>
        <v>0</v>
      </c>
      <c r="N644" t="e">
        <f t="shared" si="20"/>
        <v>#DIV/0!</v>
      </c>
      <c r="O644" t="e">
        <f t="shared" si="21"/>
        <v>#DIV/0!</v>
      </c>
      <c r="P644">
        <f>LN(_xll.ciqfunctions.udf.CIQ("XBI", "IQ_LASTSALEPRICE", WORKDAY(F644,-1))/_xll.ciqfunctions.udf.CIQ("XBI", "IQ_LASTSALEPRICE", WORKDAY(F644,1)))</f>
        <v>1.320993844456146E-2</v>
      </c>
      <c r="Q644">
        <f>LN(_xll.ciqfunctions.udf.CIQ("XBI", "IQ_LASTSALEPRICE", WORKDAY(F644,-1))/_xll.ciqfunctions.udf.CIQ("XBI", "IQ_LASTSALEPRICE", WORKDAY(F644,5)))</f>
        <v>8.082865242786107E-3</v>
      </c>
      <c r="R644">
        <f>_xll.ciqfunctions.udf.CIQ(A644, "IQ_SHORT_INTEREST_PERCENT", F644)</f>
        <v>0</v>
      </c>
      <c r="S644">
        <f>_xll.ciqfunctions.udf.CIQ(A644, "IQ_BETA_1YR_RSQ", F644)</f>
        <v>0</v>
      </c>
      <c r="T644">
        <f>_xll.ciqfunctions.udf.CIQ(A644, "IQ_VALUE_TRADED", F644)</f>
        <v>0</v>
      </c>
    </row>
    <row r="645" spans="1:20" x14ac:dyDescent="0.3">
      <c r="A645" t="s">
        <v>1902</v>
      </c>
      <c r="B645" s="2">
        <v>1.77</v>
      </c>
      <c r="C645" t="s">
        <v>1903</v>
      </c>
      <c r="D645" t="s">
        <v>1904</v>
      </c>
      <c r="E645" t="s">
        <v>36</v>
      </c>
      <c r="F645" s="1">
        <v>45385</v>
      </c>
      <c r="G645" t="s">
        <v>1905</v>
      </c>
      <c r="H645">
        <v>1</v>
      </c>
      <c r="I645">
        <f>_xll.ciqfunctions.udf.CIQ(A645, "IQ_MARKETCAP", F645)</f>
        <v>3.0591499999999998</v>
      </c>
      <c r="J645">
        <f>_xll.ciqfunctions.udf.CIQ(A645, "IQ_PRICE_VOL_HIST_6MTH", F645)</f>
        <v>86.910499999999999</v>
      </c>
      <c r="K645">
        <f>_xll.ciqfunctions.udf.CIQ(A645, "IQ_LASTSALEPRICE", WORKDAY(F645,-1))</f>
        <v>41.51999</v>
      </c>
      <c r="L645">
        <f>_xll.ciqfunctions.udf.CIQ(A645, "IQ_LASTSALEPRICE", F645)</f>
        <v>42.479990000000001</v>
      </c>
      <c r="M645">
        <f>_xll.ciqfunctions.udf.CIQ(A645, "IQ_LASTSALEPRICE", WORKDAY(F645,5))</f>
        <v>35.039990000000003</v>
      </c>
      <c r="N645">
        <f t="shared" si="20"/>
        <v>2.2858143518939382E-2</v>
      </c>
      <c r="O645">
        <f t="shared" si="21"/>
        <v>-0.16968501732979774</v>
      </c>
      <c r="P645">
        <f>LN(_xll.ciqfunctions.udf.CIQ("XBI", "IQ_LASTSALEPRICE", WORKDAY(F645,-1))/_xll.ciqfunctions.udf.CIQ("XBI", "IQ_LASTSALEPRICE", WORKDAY(F645,1)))</f>
        <v>1.320993844456146E-2</v>
      </c>
      <c r="Q645">
        <f>LN(_xll.ciqfunctions.udf.CIQ("XBI", "IQ_LASTSALEPRICE", WORKDAY(F645,-1))/_xll.ciqfunctions.udf.CIQ("XBI", "IQ_LASTSALEPRICE", WORKDAY(F645,5)))</f>
        <v>8.082865242786107E-3</v>
      </c>
      <c r="R645">
        <f>_xll.ciqfunctions.udf.CIQ(A645, "IQ_SHORT_INTEREST_PERCENT", F645)</f>
        <v>0.80284999999999995</v>
      </c>
      <c r="S645">
        <f>_xll.ciqfunctions.udf.CIQ(A645, "IQ_BETA_1YR_RSQ", F645)</f>
        <v>9.1969999999999996E-2</v>
      </c>
      <c r="T645">
        <f>_xll.ciqfunctions.udf.CIQ(A645, "IQ_VALUE_TRADED", F645)</f>
        <v>1.342E-2</v>
      </c>
    </row>
    <row r="646" spans="1:20" x14ac:dyDescent="0.3">
      <c r="A646" t="s">
        <v>1906</v>
      </c>
      <c r="B646" s="2">
        <v>6.13</v>
      </c>
      <c r="C646" t="s">
        <v>1907</v>
      </c>
      <c r="D646" t="s">
        <v>253</v>
      </c>
      <c r="E646" t="s">
        <v>22</v>
      </c>
      <c r="F646" s="1">
        <v>45385</v>
      </c>
      <c r="G646" t="s">
        <v>1908</v>
      </c>
      <c r="H646">
        <v>47</v>
      </c>
      <c r="I646">
        <f>_xll.ciqfunctions.udf.CIQ(A646, "IQ_MARKETCAP", F646)</f>
        <v>274.18723999999997</v>
      </c>
      <c r="J646">
        <f>_xll.ciqfunctions.udf.CIQ(A646, "IQ_PRICE_VOL_HIST_6MTH", F646)</f>
        <v>80.301299999999998</v>
      </c>
      <c r="K646">
        <f>_xll.ciqfunctions.udf.CIQ(A646, "IQ_LASTSALEPRICE", WORKDAY(F646,-1))</f>
        <v>6.1</v>
      </c>
      <c r="L646">
        <f>_xll.ciqfunctions.udf.CIQ(A646, "IQ_LASTSALEPRICE", F646)</f>
        <v>6.13</v>
      </c>
      <c r="M646">
        <f>_xll.ciqfunctions.udf.CIQ(A646, "IQ_LASTSALEPRICE", WORKDAY(F646,5))</f>
        <v>6.4</v>
      </c>
      <c r="N646">
        <f t="shared" si="20"/>
        <v>4.9059787688544056E-3</v>
      </c>
      <c r="O646">
        <f t="shared" si="21"/>
        <v>4.8009219186360662E-2</v>
      </c>
      <c r="P646">
        <f>LN(_xll.ciqfunctions.udf.CIQ("XBI", "IQ_LASTSALEPRICE", WORKDAY(F646,-1))/_xll.ciqfunctions.udf.CIQ("XBI", "IQ_LASTSALEPRICE", WORKDAY(F646,1)))</f>
        <v>1.320993844456146E-2</v>
      </c>
      <c r="Q646">
        <f>LN(_xll.ciqfunctions.udf.CIQ("XBI", "IQ_LASTSALEPRICE", WORKDAY(F646,-1))/_xll.ciqfunctions.udf.CIQ("XBI", "IQ_LASTSALEPRICE", WORKDAY(F646,5)))</f>
        <v>8.082865242786107E-3</v>
      </c>
      <c r="R646">
        <f>_xll.ciqfunctions.udf.CIQ(A646, "IQ_SHORT_INTEREST_PERCENT", F646)</f>
        <v>0</v>
      </c>
      <c r="S646">
        <f>_xll.ciqfunctions.udf.CIQ(A646, "IQ_BETA_1YR_RSQ", F646)</f>
        <v>0</v>
      </c>
      <c r="T646">
        <f>_xll.ciqfunctions.udf.CIQ(A646, "IQ_VALUE_TRADED", F646)</f>
        <v>1.38696</v>
      </c>
    </row>
    <row r="647" spans="1:20" x14ac:dyDescent="0.3">
      <c r="A647" t="s">
        <v>985</v>
      </c>
      <c r="B647" s="2">
        <v>9.4</v>
      </c>
      <c r="C647" t="s">
        <v>986</v>
      </c>
      <c r="D647" t="s">
        <v>987</v>
      </c>
      <c r="E647" t="s">
        <v>281</v>
      </c>
      <c r="F647" s="1">
        <v>45385</v>
      </c>
      <c r="G647" t="s">
        <v>1909</v>
      </c>
      <c r="H647">
        <v>98</v>
      </c>
      <c r="I647">
        <f>_xll.ciqfunctions.udf.CIQ(A647, "IQ_MARKETCAP", F647)</f>
        <v>907.11460999999997</v>
      </c>
      <c r="J647">
        <f>_xll.ciqfunctions.udf.CIQ(A647, "IQ_PRICE_VOL_HIST_6MTH", F647)</f>
        <v>55.110599999999998</v>
      </c>
      <c r="K647">
        <f>_xll.ciqfunctions.udf.CIQ(A647, "IQ_LASTSALEPRICE", WORKDAY(F647,-1))</f>
        <v>9.2799999999999994</v>
      </c>
      <c r="L647">
        <f>_xll.ciqfunctions.udf.CIQ(A647, "IQ_LASTSALEPRICE", F647)</f>
        <v>9.4</v>
      </c>
      <c r="M647">
        <f>_xll.ciqfunctions.udf.CIQ(A647, "IQ_LASTSALEPRICE", WORKDAY(F647,5))</f>
        <v>9.27</v>
      </c>
      <c r="N647">
        <f t="shared" si="20"/>
        <v>1.2848142477849059E-2</v>
      </c>
      <c r="O647">
        <f t="shared" si="21"/>
        <v>-1.0781672203454436E-3</v>
      </c>
      <c r="P647">
        <f>LN(_xll.ciqfunctions.udf.CIQ("XBI", "IQ_LASTSALEPRICE", WORKDAY(F647,-1))/_xll.ciqfunctions.udf.CIQ("XBI", "IQ_LASTSALEPRICE", WORKDAY(F647,1)))</f>
        <v>1.320993844456146E-2</v>
      </c>
      <c r="Q647">
        <f>LN(_xll.ciqfunctions.udf.CIQ("XBI", "IQ_LASTSALEPRICE", WORKDAY(F647,-1))/_xll.ciqfunctions.udf.CIQ("XBI", "IQ_LASTSALEPRICE", WORKDAY(F647,5)))</f>
        <v>8.082865242786107E-3</v>
      </c>
      <c r="R647">
        <f>_xll.ciqfunctions.udf.CIQ(A647, "IQ_SHORT_INTEREST_PERCENT", F647)</f>
        <v>4.4090199999999999</v>
      </c>
      <c r="S647">
        <f>_xll.ciqfunctions.udf.CIQ(A647, "IQ_BETA_1YR_RSQ", F647)</f>
        <v>0.14079</v>
      </c>
      <c r="T647">
        <f>_xll.ciqfunctions.udf.CIQ(A647, "IQ_VALUE_TRADED", F647)</f>
        <v>5.18818</v>
      </c>
    </row>
    <row r="648" spans="1:20" x14ac:dyDescent="0.3">
      <c r="A648" t="s">
        <v>1753</v>
      </c>
      <c r="B648" s="2">
        <v>101.21</v>
      </c>
      <c r="C648" t="s">
        <v>1910</v>
      </c>
      <c r="D648" t="s">
        <v>1911</v>
      </c>
      <c r="E648" t="s">
        <v>17</v>
      </c>
      <c r="F648" s="1">
        <v>45385</v>
      </c>
      <c r="G648" t="s">
        <v>1912</v>
      </c>
      <c r="H648">
        <v>389</v>
      </c>
      <c r="I648">
        <f>_xll.ciqfunctions.udf.CIQ(A648, "IQ_MARKETCAP", F648)</f>
        <v>38751.24553</v>
      </c>
      <c r="J648">
        <f>_xll.ciqfunctions.udf.CIQ(A648, "IQ_PRICE_VOL_HIST_6MTH", F648)</f>
        <v>55.566000000000003</v>
      </c>
      <c r="K648">
        <f>_xll.ciqfunctions.udf.CIQ(A648, "IQ_LASTSALEPRICE", WORKDAY(F648,-1))</f>
        <v>103.61</v>
      </c>
      <c r="L648">
        <f>_xll.ciqfunctions.udf.CIQ(A648, "IQ_LASTSALEPRICE", F648)</f>
        <v>101.21</v>
      </c>
      <c r="M648">
        <f>_xll.ciqfunctions.udf.CIQ(A648, "IQ_LASTSALEPRICE", WORKDAY(F648,5))</f>
        <v>107.14</v>
      </c>
      <c r="N648">
        <f t="shared" si="20"/>
        <v>-2.3436284062850626E-2</v>
      </c>
      <c r="O648">
        <f t="shared" si="21"/>
        <v>3.350254018915378E-2</v>
      </c>
      <c r="P648">
        <f>LN(_xll.ciqfunctions.udf.CIQ("XBI", "IQ_LASTSALEPRICE", WORKDAY(F648,-1))/_xll.ciqfunctions.udf.CIQ("XBI", "IQ_LASTSALEPRICE", WORKDAY(F648,1)))</f>
        <v>1.320993844456146E-2</v>
      </c>
      <c r="Q648">
        <f>LN(_xll.ciqfunctions.udf.CIQ("XBI", "IQ_LASTSALEPRICE", WORKDAY(F648,-1))/_xll.ciqfunctions.udf.CIQ("XBI", "IQ_LASTSALEPRICE", WORKDAY(F648,5)))</f>
        <v>8.082865242786107E-3</v>
      </c>
      <c r="R648">
        <f>_xll.ciqfunctions.udf.CIQ(A648, "IQ_SHORT_INTEREST_PERCENT", F648)</f>
        <v>5.80525</v>
      </c>
      <c r="S648">
        <f>_xll.ciqfunctions.udf.CIQ(A648, "IQ_BETA_1YR_RSQ", F648)</f>
        <v>0.17896000000000001</v>
      </c>
      <c r="T648">
        <f>_xll.ciqfunctions.udf.CIQ(A648, "IQ_VALUE_TRADED", F648)</f>
        <v>523.03456000000006</v>
      </c>
    </row>
    <row r="649" spans="1:20" x14ac:dyDescent="0.3">
      <c r="A649" t="s">
        <v>1913</v>
      </c>
      <c r="B649" s="2">
        <v>13.67</v>
      </c>
      <c r="C649" t="s">
        <v>1914</v>
      </c>
      <c r="D649" t="s">
        <v>1893</v>
      </c>
      <c r="E649" t="s">
        <v>76</v>
      </c>
      <c r="F649" s="1">
        <v>45385</v>
      </c>
      <c r="G649" t="s">
        <v>1915</v>
      </c>
      <c r="H649">
        <v>63</v>
      </c>
      <c r="I649">
        <f>_xll.ciqfunctions.udf.CIQ(A649, "IQ_MARKETCAP", F649)</f>
        <v>853.44561999999996</v>
      </c>
      <c r="J649">
        <f>_xll.ciqfunctions.udf.CIQ(A649, "IQ_PRICE_VOL_HIST_6MTH", F649)</f>
        <v>68.899699999999996</v>
      </c>
      <c r="K649">
        <f>_xll.ciqfunctions.udf.CIQ(A649, "IQ_LASTSALEPRICE", WORKDAY(F649,-1))</f>
        <v>13.31</v>
      </c>
      <c r="L649">
        <f>_xll.ciqfunctions.udf.CIQ(A649, "IQ_LASTSALEPRICE", F649)</f>
        <v>13.67</v>
      </c>
      <c r="M649">
        <f>_xll.ciqfunctions.udf.CIQ(A649, "IQ_LASTSALEPRICE", WORKDAY(F649,5))</f>
        <v>18.25</v>
      </c>
      <c r="N649">
        <f t="shared" si="20"/>
        <v>2.6688018328837881E-2</v>
      </c>
      <c r="O649">
        <f t="shared" si="21"/>
        <v>0.31564944762148017</v>
      </c>
      <c r="P649">
        <f>LN(_xll.ciqfunctions.udf.CIQ("XBI", "IQ_LASTSALEPRICE", WORKDAY(F649,-1))/_xll.ciqfunctions.udf.CIQ("XBI", "IQ_LASTSALEPRICE", WORKDAY(F649,1)))</f>
        <v>1.320993844456146E-2</v>
      </c>
      <c r="Q649">
        <f>LN(_xll.ciqfunctions.udf.CIQ("XBI", "IQ_LASTSALEPRICE", WORKDAY(F649,-1))/_xll.ciqfunctions.udf.CIQ("XBI", "IQ_LASTSALEPRICE", WORKDAY(F649,5)))</f>
        <v>8.082865242786107E-3</v>
      </c>
      <c r="R649">
        <f>_xll.ciqfunctions.udf.CIQ(A649, "IQ_SHORT_INTEREST_PERCENT", F649)</f>
        <v>8.9738600000000002</v>
      </c>
      <c r="S649">
        <f>_xll.ciqfunctions.udf.CIQ(A649, "IQ_BETA_1YR_RSQ", F649)</f>
        <v>4.8910000000000002E-2</v>
      </c>
      <c r="T649">
        <f>_xll.ciqfunctions.udf.CIQ(A649, "IQ_VALUE_TRADED", F649)</f>
        <v>23.937139999999999</v>
      </c>
    </row>
    <row r="650" spans="1:20" x14ac:dyDescent="0.3">
      <c r="A650" t="s">
        <v>1916</v>
      </c>
      <c r="B650" s="2">
        <v>0.9</v>
      </c>
      <c r="C650" t="s">
        <v>1917</v>
      </c>
      <c r="D650" t="s">
        <v>1812</v>
      </c>
      <c r="E650" t="s">
        <v>17</v>
      </c>
      <c r="F650" s="1">
        <v>45386</v>
      </c>
      <c r="G650" t="s">
        <v>1918</v>
      </c>
      <c r="H650">
        <v>41</v>
      </c>
      <c r="I650">
        <f>_xll.ciqfunctions.udf.CIQ(A650, "IQ_MARKETCAP", F650)</f>
        <v>54.833950000000002</v>
      </c>
      <c r="J650">
        <f>_xll.ciqfunctions.udf.CIQ(A650, "IQ_PRICE_VOL_HIST_6MTH", F650)</f>
        <v>0</v>
      </c>
      <c r="K650">
        <f>_xll.ciqfunctions.udf.CIQ(A650, "IQ_LASTSALEPRICE", WORKDAY(F650,-1))</f>
        <v>0</v>
      </c>
      <c r="L650">
        <f>_xll.ciqfunctions.udf.CIQ(A650, "IQ_LASTSALEPRICE", F650)</f>
        <v>0</v>
      </c>
      <c r="M650">
        <f>_xll.ciqfunctions.udf.CIQ(A650, "IQ_LASTSALEPRICE", WORKDAY(F650,5))</f>
        <v>0</v>
      </c>
      <c r="N650" t="e">
        <f t="shared" si="20"/>
        <v>#DIV/0!</v>
      </c>
      <c r="O650" t="e">
        <f t="shared" si="21"/>
        <v>#DIV/0!</v>
      </c>
      <c r="P650">
        <f>LN(_xll.ciqfunctions.udf.CIQ("XBI", "IQ_LASTSALEPRICE", WORKDAY(F650,-1))/_xll.ciqfunctions.udf.CIQ("XBI", "IQ_LASTSALEPRICE", WORKDAY(F650,1)))</f>
        <v>9.4912973850826247E-3</v>
      </c>
      <c r="Q650">
        <f>LN(_xll.ciqfunctions.udf.CIQ("XBI", "IQ_LASTSALEPRICE", WORKDAY(F650,-1))/_xll.ciqfunctions.udf.CIQ("XBI", "IQ_LASTSALEPRICE", WORKDAY(F650,5)))</f>
        <v>-2.6327351757993141E-3</v>
      </c>
      <c r="R650">
        <f>_xll.ciqfunctions.udf.CIQ(A650, "IQ_SHORT_INTEREST_PERCENT", F650)</f>
        <v>0</v>
      </c>
      <c r="S650">
        <f>_xll.ciqfunctions.udf.CIQ(A650, "IQ_BETA_1YR_RSQ", F650)</f>
        <v>0</v>
      </c>
      <c r="T650">
        <f>_xll.ciqfunctions.udf.CIQ(A650, "IQ_VALUE_TRADED", F650)</f>
        <v>0</v>
      </c>
    </row>
    <row r="651" spans="1:20" x14ac:dyDescent="0.3">
      <c r="A651" t="s">
        <v>1916</v>
      </c>
      <c r="B651" s="2">
        <v>0.9</v>
      </c>
      <c r="C651" t="s">
        <v>1919</v>
      </c>
      <c r="D651" t="s">
        <v>1920</v>
      </c>
      <c r="E651" t="s">
        <v>17</v>
      </c>
      <c r="F651" s="1">
        <v>45386</v>
      </c>
      <c r="G651" t="s">
        <v>1921</v>
      </c>
      <c r="H651">
        <v>41</v>
      </c>
      <c r="I651">
        <f>_xll.ciqfunctions.udf.CIQ(A651, "IQ_MARKETCAP", F651)</f>
        <v>54.833950000000002</v>
      </c>
      <c r="J651">
        <f>_xll.ciqfunctions.udf.CIQ(A651, "IQ_PRICE_VOL_HIST_6MTH", F651)</f>
        <v>0</v>
      </c>
      <c r="K651">
        <f>_xll.ciqfunctions.udf.CIQ(A651, "IQ_LASTSALEPRICE", WORKDAY(F651,-1))</f>
        <v>0</v>
      </c>
      <c r="L651">
        <f>_xll.ciqfunctions.udf.CIQ(A651, "IQ_LASTSALEPRICE", F651)</f>
        <v>0</v>
      </c>
      <c r="M651">
        <f>_xll.ciqfunctions.udf.CIQ(A651, "IQ_LASTSALEPRICE", WORKDAY(F651,5))</f>
        <v>0</v>
      </c>
      <c r="N651" t="e">
        <f t="shared" si="20"/>
        <v>#DIV/0!</v>
      </c>
      <c r="O651" t="e">
        <f t="shared" si="21"/>
        <v>#DIV/0!</v>
      </c>
      <c r="P651">
        <f>LN(_xll.ciqfunctions.udf.CIQ("XBI", "IQ_LASTSALEPRICE", WORKDAY(F651,-1))/_xll.ciqfunctions.udf.CIQ("XBI", "IQ_LASTSALEPRICE", WORKDAY(F651,1)))</f>
        <v>9.4912973850826247E-3</v>
      </c>
      <c r="Q651">
        <f>LN(_xll.ciqfunctions.udf.CIQ("XBI", "IQ_LASTSALEPRICE", WORKDAY(F651,-1))/_xll.ciqfunctions.udf.CIQ("XBI", "IQ_LASTSALEPRICE", WORKDAY(F651,5)))</f>
        <v>-2.6327351757993141E-3</v>
      </c>
      <c r="R651">
        <f>_xll.ciqfunctions.udf.CIQ(A651, "IQ_SHORT_INTEREST_PERCENT", F651)</f>
        <v>0</v>
      </c>
      <c r="S651">
        <f>_xll.ciqfunctions.udf.CIQ(A651, "IQ_BETA_1YR_RSQ", F651)</f>
        <v>0</v>
      </c>
      <c r="T651">
        <f>_xll.ciqfunctions.udf.CIQ(A651, "IQ_VALUE_TRADED", F651)</f>
        <v>0</v>
      </c>
    </row>
    <row r="652" spans="1:20" x14ac:dyDescent="0.3">
      <c r="A652" t="s">
        <v>142</v>
      </c>
      <c r="B652" s="2">
        <v>2.96</v>
      </c>
      <c r="C652" t="s">
        <v>1922</v>
      </c>
      <c r="D652" t="s">
        <v>1923</v>
      </c>
      <c r="E652" t="s">
        <v>76</v>
      </c>
      <c r="F652" s="1">
        <v>45386</v>
      </c>
      <c r="G652" t="s">
        <v>1924</v>
      </c>
      <c r="H652">
        <v>224</v>
      </c>
      <c r="I652">
        <f>_xll.ciqfunctions.udf.CIQ(A652, "IQ_MARKETCAP", F652)</f>
        <v>662.81417999999996</v>
      </c>
      <c r="J652">
        <f>_xll.ciqfunctions.udf.CIQ(A652, "IQ_PRICE_VOL_HIST_6MTH", F652)</f>
        <v>66.466300000000004</v>
      </c>
      <c r="K652">
        <f>_xll.ciqfunctions.udf.CIQ(A652, "IQ_LASTSALEPRICE", WORKDAY(F652,-1))</f>
        <v>2.91</v>
      </c>
      <c r="L652">
        <f>_xll.ciqfunctions.udf.CIQ(A652, "IQ_LASTSALEPRICE", F652)</f>
        <v>2.96</v>
      </c>
      <c r="M652">
        <f>_xll.ciqfunctions.udf.CIQ(A652, "IQ_LASTSALEPRICE", WORKDAY(F652,5))</f>
        <v>2.96</v>
      </c>
      <c r="N652">
        <f t="shared" si="20"/>
        <v>1.70361871525678E-2</v>
      </c>
      <c r="O652">
        <f t="shared" si="21"/>
        <v>1.70361871525678E-2</v>
      </c>
      <c r="P652">
        <f>LN(_xll.ciqfunctions.udf.CIQ("XBI", "IQ_LASTSALEPRICE", WORKDAY(F652,-1))/_xll.ciqfunctions.udf.CIQ("XBI", "IQ_LASTSALEPRICE", WORKDAY(F652,1)))</f>
        <v>9.4912973850826247E-3</v>
      </c>
      <c r="Q652">
        <f>LN(_xll.ciqfunctions.udf.CIQ("XBI", "IQ_LASTSALEPRICE", WORKDAY(F652,-1))/_xll.ciqfunctions.udf.CIQ("XBI", "IQ_LASTSALEPRICE", WORKDAY(F652,5)))</f>
        <v>-2.6327351757993141E-3</v>
      </c>
      <c r="R652">
        <f>_xll.ciqfunctions.udf.CIQ(A652, "IQ_SHORT_INTEREST_PERCENT", F652)</f>
        <v>2.1681699999999999</v>
      </c>
      <c r="S652">
        <f>_xll.ciqfunctions.udf.CIQ(A652, "IQ_BETA_1YR_RSQ", F652)</f>
        <v>1.5E-3</v>
      </c>
      <c r="T652">
        <f>_xll.ciqfunctions.udf.CIQ(A652, "IQ_VALUE_TRADED", F652)</f>
        <v>12.333729999999999</v>
      </c>
    </row>
    <row r="653" spans="1:20" x14ac:dyDescent="0.3">
      <c r="A653" t="s">
        <v>146</v>
      </c>
      <c r="B653" s="2">
        <v>40.15</v>
      </c>
      <c r="C653" t="s">
        <v>1922</v>
      </c>
      <c r="D653" t="s">
        <v>1923</v>
      </c>
      <c r="E653" t="s">
        <v>76</v>
      </c>
      <c r="F653" s="1">
        <v>45386</v>
      </c>
      <c r="G653" t="s">
        <v>1924</v>
      </c>
      <c r="I653">
        <f>_xll.ciqfunctions.udf.CIQ(A653, "IQ_MARKETCAP", F653)</f>
        <v>66909.277520000003</v>
      </c>
      <c r="J653">
        <f>_xll.ciqfunctions.udf.CIQ(A653, "IQ_PRICE_VOL_HIST_6MTH", F653)</f>
        <v>17.944299999999998</v>
      </c>
      <c r="K653">
        <f>_xll.ciqfunctions.udf.CIQ(A653, "IQ_LASTSALEPRICE", WORKDAY(F653,-1))</f>
        <v>16.54</v>
      </c>
      <c r="L653">
        <f>_xll.ciqfunctions.udf.CIQ(A653, "IQ_LASTSALEPRICE", F653)</f>
        <v>16.375</v>
      </c>
      <c r="M653">
        <f>_xll.ciqfunctions.udf.CIQ(A653, "IQ_LASTSALEPRICE", WORKDAY(F653,5))</f>
        <v>16.29</v>
      </c>
      <c r="N653">
        <f t="shared" si="20"/>
        <v>-1.0025908074229551E-2</v>
      </c>
      <c r="O653">
        <f t="shared" si="21"/>
        <v>-1.5230266981591523E-2</v>
      </c>
      <c r="P653">
        <f>LN(_xll.ciqfunctions.udf.CIQ("XBI", "IQ_LASTSALEPRICE", WORKDAY(F653,-1))/_xll.ciqfunctions.udf.CIQ("XBI", "IQ_LASTSALEPRICE", WORKDAY(F653,1)))</f>
        <v>9.4912973850826247E-3</v>
      </c>
      <c r="Q653">
        <f>LN(_xll.ciqfunctions.udf.CIQ("XBI", "IQ_LASTSALEPRICE", WORKDAY(F653,-1))/_xll.ciqfunctions.udf.CIQ("XBI", "IQ_LASTSALEPRICE", WORKDAY(F653,5)))</f>
        <v>-2.6327351757993141E-3</v>
      </c>
      <c r="R653">
        <f>_xll.ciqfunctions.udf.CIQ(A653, "IQ_SHORT_INTEREST_PERCENT", F653)</f>
        <v>0</v>
      </c>
      <c r="S653">
        <f>_xll.ciqfunctions.udf.CIQ(A653, "IQ_BETA_1YR_RSQ", F653)</f>
        <v>2.1000000000000001E-4</v>
      </c>
      <c r="T653">
        <f>_xll.ciqfunctions.udf.CIQ(A653, "IQ_VALUE_TRADED", F653)</f>
        <v>192.74587</v>
      </c>
    </row>
    <row r="654" spans="1:20" x14ac:dyDescent="0.3">
      <c r="A654" t="s">
        <v>99</v>
      </c>
      <c r="B654" s="2">
        <v>4.71</v>
      </c>
      <c r="C654" t="s">
        <v>1925</v>
      </c>
      <c r="D654" t="s">
        <v>1926</v>
      </c>
      <c r="E654" t="s">
        <v>46</v>
      </c>
      <c r="F654" s="1">
        <v>45386</v>
      </c>
      <c r="G654" t="s">
        <v>1927</v>
      </c>
      <c r="H654">
        <v>112</v>
      </c>
      <c r="I654">
        <f>_xll.ciqfunctions.udf.CIQ(A654, "IQ_MARKETCAP", F654)</f>
        <v>388.71418</v>
      </c>
      <c r="J654">
        <f>_xll.ciqfunctions.udf.CIQ(A654, "IQ_PRICE_VOL_HIST_6MTH", F654)</f>
        <v>139.45169999999999</v>
      </c>
      <c r="K654">
        <f>_xll.ciqfunctions.udf.CIQ(A654, "IQ_LASTSALEPRICE", WORKDAY(F654,-1))</f>
        <v>4.43</v>
      </c>
      <c r="L654">
        <f>_xll.ciqfunctions.udf.CIQ(A654, "IQ_LASTSALEPRICE", F654)</f>
        <v>4.71</v>
      </c>
      <c r="M654">
        <f>_xll.ciqfunctions.udf.CIQ(A654, "IQ_LASTSALEPRICE", WORKDAY(F654,5))</f>
        <v>4.68</v>
      </c>
      <c r="N654">
        <f t="shared" si="20"/>
        <v>6.1288323971282269E-2</v>
      </c>
      <c r="O654">
        <f t="shared" si="21"/>
        <v>5.4898525872511143E-2</v>
      </c>
      <c r="P654">
        <f>LN(_xll.ciqfunctions.udf.CIQ("XBI", "IQ_LASTSALEPRICE", WORKDAY(F654,-1))/_xll.ciqfunctions.udf.CIQ("XBI", "IQ_LASTSALEPRICE", WORKDAY(F654,1)))</f>
        <v>9.4912973850826247E-3</v>
      </c>
      <c r="Q654">
        <f>LN(_xll.ciqfunctions.udf.CIQ("XBI", "IQ_LASTSALEPRICE", WORKDAY(F654,-1))/_xll.ciqfunctions.udf.CIQ("XBI", "IQ_LASTSALEPRICE", WORKDAY(F654,5)))</f>
        <v>-2.6327351757993141E-3</v>
      </c>
      <c r="R654">
        <f>_xll.ciqfunctions.udf.CIQ(A654, "IQ_SHORT_INTEREST_PERCENT", F654)</f>
        <v>1.1386799999999999</v>
      </c>
      <c r="S654">
        <f>_xll.ciqfunctions.udf.CIQ(A654, "IQ_BETA_1YR_RSQ", F654)</f>
        <v>3.4389999999999997E-2</v>
      </c>
      <c r="T654">
        <f>_xll.ciqfunctions.udf.CIQ(A654, "IQ_VALUE_TRADED", F654)</f>
        <v>5.7378999999999998</v>
      </c>
    </row>
    <row r="655" spans="1:20" x14ac:dyDescent="0.3">
      <c r="A655" t="s">
        <v>753</v>
      </c>
      <c r="B655" s="2">
        <v>2.61</v>
      </c>
      <c r="C655" t="s">
        <v>1928</v>
      </c>
      <c r="D655" t="s">
        <v>1572</v>
      </c>
      <c r="E655" t="s">
        <v>36</v>
      </c>
      <c r="F655" s="1">
        <v>45386</v>
      </c>
      <c r="G655" t="s">
        <v>1929</v>
      </c>
      <c r="H655">
        <v>89</v>
      </c>
      <c r="I655">
        <f>_xll.ciqfunctions.udf.CIQ(A655, "IQ_MARKETCAP", F655)</f>
        <v>176.91138000000001</v>
      </c>
      <c r="J655">
        <f>_xll.ciqfunctions.udf.CIQ(A655, "IQ_PRICE_VOL_HIST_6MTH", F655)</f>
        <v>258.4008</v>
      </c>
      <c r="K655">
        <f>_xll.ciqfunctions.udf.CIQ(A655, "IQ_LASTSALEPRICE", WORKDAY(F655,-1))</f>
        <v>2.63</v>
      </c>
      <c r="L655">
        <f>_xll.ciqfunctions.udf.CIQ(A655, "IQ_LASTSALEPRICE", F655)</f>
        <v>2.61</v>
      </c>
      <c r="M655">
        <f>_xll.ciqfunctions.udf.CIQ(A655, "IQ_LASTSALEPRICE", WORKDAY(F655,5))</f>
        <v>2.29</v>
      </c>
      <c r="N655">
        <f t="shared" si="20"/>
        <v>-7.633624855071095E-3</v>
      </c>
      <c r="O655">
        <f t="shared" si="21"/>
        <v>-0.13843202862352488</v>
      </c>
      <c r="P655">
        <f>LN(_xll.ciqfunctions.udf.CIQ("XBI", "IQ_LASTSALEPRICE", WORKDAY(F655,-1))/_xll.ciqfunctions.udf.CIQ("XBI", "IQ_LASTSALEPRICE", WORKDAY(F655,1)))</f>
        <v>9.4912973850826247E-3</v>
      </c>
      <c r="Q655">
        <f>LN(_xll.ciqfunctions.udf.CIQ("XBI", "IQ_LASTSALEPRICE", WORKDAY(F655,-1))/_xll.ciqfunctions.udf.CIQ("XBI", "IQ_LASTSALEPRICE", WORKDAY(F655,5)))</f>
        <v>-2.6327351757993141E-3</v>
      </c>
      <c r="R655">
        <f>_xll.ciqfunctions.udf.CIQ(A655, "IQ_SHORT_INTEREST_PERCENT", F655)</f>
        <v>7.5121799999999999</v>
      </c>
      <c r="S655">
        <f>_xll.ciqfunctions.udf.CIQ(A655, "IQ_BETA_1YR_RSQ", F655)</f>
        <v>2.751E-2</v>
      </c>
      <c r="T655">
        <f>_xll.ciqfunctions.udf.CIQ(A655, "IQ_VALUE_TRADED", F655)</f>
        <v>7.3838600000000003</v>
      </c>
    </row>
    <row r="656" spans="1:20" x14ac:dyDescent="0.3">
      <c r="A656" t="s">
        <v>753</v>
      </c>
      <c r="B656" s="2">
        <v>2.61</v>
      </c>
      <c r="C656" t="s">
        <v>1347</v>
      </c>
      <c r="D656" t="s">
        <v>1348</v>
      </c>
      <c r="E656" t="s">
        <v>36</v>
      </c>
      <c r="F656" s="1">
        <v>45386</v>
      </c>
      <c r="G656" t="s">
        <v>1930</v>
      </c>
      <c r="H656">
        <v>89</v>
      </c>
      <c r="I656">
        <f>_xll.ciqfunctions.udf.CIQ(A656, "IQ_MARKETCAP", F656)</f>
        <v>176.91138000000001</v>
      </c>
      <c r="J656">
        <f>_xll.ciqfunctions.udf.CIQ(A656, "IQ_PRICE_VOL_HIST_6MTH", F656)</f>
        <v>258.4008</v>
      </c>
      <c r="K656">
        <f>_xll.ciqfunctions.udf.CIQ(A656, "IQ_LASTSALEPRICE", WORKDAY(F656,-1))</f>
        <v>2.63</v>
      </c>
      <c r="L656">
        <f>_xll.ciqfunctions.udf.CIQ(A656, "IQ_LASTSALEPRICE", F656)</f>
        <v>2.61</v>
      </c>
      <c r="M656">
        <f>_xll.ciqfunctions.udf.CIQ(A656, "IQ_LASTSALEPRICE", WORKDAY(F656,5))</f>
        <v>2.29</v>
      </c>
      <c r="N656">
        <f t="shared" si="20"/>
        <v>-7.633624855071095E-3</v>
      </c>
      <c r="O656">
        <f t="shared" si="21"/>
        <v>-0.13843202862352488</v>
      </c>
      <c r="P656">
        <f>LN(_xll.ciqfunctions.udf.CIQ("XBI", "IQ_LASTSALEPRICE", WORKDAY(F656,-1))/_xll.ciqfunctions.udf.CIQ("XBI", "IQ_LASTSALEPRICE", WORKDAY(F656,1)))</f>
        <v>9.4912973850826247E-3</v>
      </c>
      <c r="Q656">
        <f>LN(_xll.ciqfunctions.udf.CIQ("XBI", "IQ_LASTSALEPRICE", WORKDAY(F656,-1))/_xll.ciqfunctions.udf.CIQ("XBI", "IQ_LASTSALEPRICE", WORKDAY(F656,5)))</f>
        <v>-2.6327351757993141E-3</v>
      </c>
      <c r="R656">
        <f>_xll.ciqfunctions.udf.CIQ(A656, "IQ_SHORT_INTEREST_PERCENT", F656)</f>
        <v>7.5121799999999999</v>
      </c>
      <c r="S656">
        <f>_xll.ciqfunctions.udf.CIQ(A656, "IQ_BETA_1YR_RSQ", F656)</f>
        <v>2.751E-2</v>
      </c>
      <c r="T656">
        <f>_xll.ciqfunctions.udf.CIQ(A656, "IQ_VALUE_TRADED", F656)</f>
        <v>7.3838600000000003</v>
      </c>
    </row>
    <row r="657" spans="1:20" x14ac:dyDescent="0.3">
      <c r="A657" t="s">
        <v>839</v>
      </c>
      <c r="B657" s="2">
        <v>6.4</v>
      </c>
      <c r="C657" t="s">
        <v>1931</v>
      </c>
      <c r="D657" t="s">
        <v>1932</v>
      </c>
      <c r="E657" t="s">
        <v>76</v>
      </c>
      <c r="F657" s="1">
        <v>45386</v>
      </c>
      <c r="G657" t="s">
        <v>1933</v>
      </c>
      <c r="H657">
        <v>54</v>
      </c>
      <c r="I657">
        <f>_xll.ciqfunctions.udf.CIQ(A657, "IQ_MARKETCAP", F657)</f>
        <v>187.82380000000001</v>
      </c>
      <c r="J657">
        <f>_xll.ciqfunctions.udf.CIQ(A657, "IQ_PRICE_VOL_HIST_6MTH", F657)</f>
        <v>217.62</v>
      </c>
      <c r="K657">
        <f>_xll.ciqfunctions.udf.CIQ(A657, "IQ_LASTSALEPRICE", WORKDAY(F657,-1))</f>
        <v>1.68</v>
      </c>
      <c r="L657">
        <f>_xll.ciqfunctions.udf.CIQ(A657, "IQ_LASTSALEPRICE", F657)</f>
        <v>6.4</v>
      </c>
      <c r="M657">
        <f>_xll.ciqfunctions.udf.CIQ(A657, "IQ_LASTSALEPRICE", WORKDAY(F657,5))</f>
        <v>7.28</v>
      </c>
      <c r="N657">
        <f t="shared" si="20"/>
        <v>1.3375041969504586</v>
      </c>
      <c r="O657">
        <f t="shared" si="21"/>
        <v>1.4663370687934272</v>
      </c>
      <c r="P657">
        <f>LN(_xll.ciqfunctions.udf.CIQ("XBI", "IQ_LASTSALEPRICE", WORKDAY(F657,-1))/_xll.ciqfunctions.udf.CIQ("XBI", "IQ_LASTSALEPRICE", WORKDAY(F657,1)))</f>
        <v>9.4912973850826247E-3</v>
      </c>
      <c r="Q657">
        <f>LN(_xll.ciqfunctions.udf.CIQ("XBI", "IQ_LASTSALEPRICE", WORKDAY(F657,-1))/_xll.ciqfunctions.udf.CIQ("XBI", "IQ_LASTSALEPRICE", WORKDAY(F657,5)))</f>
        <v>-2.6327351757993141E-3</v>
      </c>
      <c r="R657">
        <f>_xll.ciqfunctions.udf.CIQ(A657, "IQ_SHORT_INTEREST_PERCENT", F657)</f>
        <v>0.50183</v>
      </c>
      <c r="S657">
        <f>_xll.ciqfunctions.udf.CIQ(A657, "IQ_BETA_1YR_RSQ", F657)</f>
        <v>5.9000000000000003E-4</v>
      </c>
      <c r="T657">
        <f>_xll.ciqfunctions.udf.CIQ(A657, "IQ_VALUE_TRADED", F657)</f>
        <v>921.15512999999999</v>
      </c>
    </row>
    <row r="658" spans="1:20" x14ac:dyDescent="0.3">
      <c r="A658" t="s">
        <v>1934</v>
      </c>
      <c r="B658" s="2">
        <v>2.96</v>
      </c>
      <c r="C658" t="s">
        <v>1935</v>
      </c>
      <c r="D658" t="s">
        <v>253</v>
      </c>
      <c r="E658" t="s">
        <v>197</v>
      </c>
      <c r="F658" s="1">
        <v>45386</v>
      </c>
      <c r="G658" t="s">
        <v>1936</v>
      </c>
      <c r="H658">
        <v>4</v>
      </c>
      <c r="I658">
        <f>_xll.ciqfunctions.udf.CIQ(A658, "IQ_MARKETCAP", F658)</f>
        <v>10.914440000000001</v>
      </c>
      <c r="J658">
        <f>_xll.ciqfunctions.udf.CIQ(A658, "IQ_PRICE_VOL_HIST_6MTH", F658)</f>
        <v>265.13330000000002</v>
      </c>
      <c r="K658">
        <f>_xll.ciqfunctions.udf.CIQ(A658, "IQ_LASTSALEPRICE", WORKDAY(F658,-1))</f>
        <v>16.47</v>
      </c>
      <c r="L658">
        <f>_xll.ciqfunctions.udf.CIQ(A658, "IQ_LASTSALEPRICE", F658)</f>
        <v>2.96</v>
      </c>
      <c r="M658">
        <f>_xll.ciqfunctions.udf.CIQ(A658, "IQ_LASTSALEPRICE", WORKDAY(F658,5))</f>
        <v>2.2349999999999999</v>
      </c>
      <c r="N658">
        <f t="shared" si="20"/>
        <v>-1.7163512758535799</v>
      </c>
      <c r="O658">
        <f t="shared" si="21"/>
        <v>-1.9972993161240169</v>
      </c>
      <c r="P658">
        <f>LN(_xll.ciqfunctions.udf.CIQ("XBI", "IQ_LASTSALEPRICE", WORKDAY(F658,-1))/_xll.ciqfunctions.udf.CIQ("XBI", "IQ_LASTSALEPRICE", WORKDAY(F658,1)))</f>
        <v>9.4912973850826247E-3</v>
      </c>
      <c r="Q658">
        <f>LN(_xll.ciqfunctions.udf.CIQ("XBI", "IQ_LASTSALEPRICE", WORKDAY(F658,-1))/_xll.ciqfunctions.udf.CIQ("XBI", "IQ_LASTSALEPRICE", WORKDAY(F658,5)))</f>
        <v>-2.6327351757993141E-3</v>
      </c>
      <c r="R658">
        <f>_xll.ciqfunctions.udf.CIQ(A658, "IQ_SHORT_INTEREST_PERCENT", F658)</f>
        <v>8.6259700000000006</v>
      </c>
      <c r="S658">
        <f>_xll.ciqfunctions.udf.CIQ(A658, "IQ_BETA_1YR_RSQ", F658)</f>
        <v>7.6E-3</v>
      </c>
      <c r="T658">
        <f>_xll.ciqfunctions.udf.CIQ(A658, "IQ_VALUE_TRADED", F658)</f>
        <v>25.87623</v>
      </c>
    </row>
    <row r="659" spans="1:20" x14ac:dyDescent="0.3">
      <c r="A659" t="s">
        <v>1937</v>
      </c>
      <c r="B659" s="2">
        <v>2.0099999999999998</v>
      </c>
      <c r="C659" t="s">
        <v>1938</v>
      </c>
      <c r="D659" t="s">
        <v>1939</v>
      </c>
      <c r="E659" t="s">
        <v>89</v>
      </c>
      <c r="F659" s="1">
        <v>45386</v>
      </c>
      <c r="G659" t="s">
        <v>1940</v>
      </c>
      <c r="H659">
        <v>25</v>
      </c>
      <c r="I659">
        <f>_xll.ciqfunctions.udf.CIQ(A659, "IQ_MARKETCAP", F659)</f>
        <v>4.3662700000000001</v>
      </c>
      <c r="J659">
        <f>_xll.ciqfunctions.udf.CIQ(A659, "IQ_PRICE_VOL_HIST_6MTH", F659)</f>
        <v>69.941699999999997</v>
      </c>
      <c r="K659">
        <f>_xll.ciqfunctions.udf.CIQ(A659, "IQ_LASTSALEPRICE", WORKDAY(F659,-1))</f>
        <v>1.94</v>
      </c>
      <c r="L659">
        <f>_xll.ciqfunctions.udf.CIQ(A659, "IQ_LASTSALEPRICE", F659)</f>
        <v>2.0099999999999998</v>
      </c>
      <c r="M659">
        <f>_xll.ciqfunctions.udf.CIQ(A659, "IQ_LASTSALEPRICE", WORKDAY(F659,5))</f>
        <v>1.83</v>
      </c>
      <c r="N659">
        <f t="shared" si="20"/>
        <v>3.5446748995747498E-2</v>
      </c>
      <c r="O659">
        <f t="shared" si="21"/>
        <v>-5.8372006221907094E-2</v>
      </c>
      <c r="P659">
        <f>LN(_xll.ciqfunctions.udf.CIQ("XBI", "IQ_LASTSALEPRICE", WORKDAY(F659,-1))/_xll.ciqfunctions.udf.CIQ("XBI", "IQ_LASTSALEPRICE", WORKDAY(F659,1)))</f>
        <v>9.4912973850826247E-3</v>
      </c>
      <c r="Q659">
        <f>LN(_xll.ciqfunctions.udf.CIQ("XBI", "IQ_LASTSALEPRICE", WORKDAY(F659,-1))/_xll.ciqfunctions.udf.CIQ("XBI", "IQ_LASTSALEPRICE", WORKDAY(F659,5)))</f>
        <v>-2.6327351757993141E-3</v>
      </c>
      <c r="R659">
        <f>_xll.ciqfunctions.udf.CIQ(A659, "IQ_SHORT_INTEREST_PERCENT", F659)</f>
        <v>0.76237999999999995</v>
      </c>
      <c r="S659">
        <f>_xll.ciqfunctions.udf.CIQ(A659, "IQ_BETA_1YR_RSQ", F659)</f>
        <v>1.345E-2</v>
      </c>
      <c r="T659">
        <f>_xll.ciqfunctions.udf.CIQ(A659, "IQ_VALUE_TRADED", F659)</f>
        <v>0.17064000000000001</v>
      </c>
    </row>
    <row r="660" spans="1:20" x14ac:dyDescent="0.3">
      <c r="A660" t="s">
        <v>883</v>
      </c>
      <c r="B660" s="2">
        <v>14.34</v>
      </c>
      <c r="C660" t="s">
        <v>1941</v>
      </c>
      <c r="D660" t="s">
        <v>1942</v>
      </c>
      <c r="E660" t="s">
        <v>184</v>
      </c>
      <c r="F660" s="1">
        <v>45386</v>
      </c>
      <c r="G660" t="s">
        <v>1943</v>
      </c>
      <c r="H660">
        <v>11</v>
      </c>
      <c r="I660">
        <f>_xll.ciqfunctions.udf.CIQ(A660, "IQ_MARKETCAP", F660)</f>
        <v>99.178870000000003</v>
      </c>
      <c r="J660">
        <f>_xll.ciqfunctions.udf.CIQ(A660, "IQ_PRICE_VOL_HIST_6MTH", F660)</f>
        <v>100.1952</v>
      </c>
      <c r="K660">
        <f>_xll.ciqfunctions.udf.CIQ(A660, "IQ_LASTSALEPRICE", WORKDAY(F660,-1))</f>
        <v>15.44</v>
      </c>
      <c r="L660">
        <f>_xll.ciqfunctions.udf.CIQ(A660, "IQ_LASTSALEPRICE", F660)</f>
        <v>14.34</v>
      </c>
      <c r="M660">
        <f>_xll.ciqfunctions.udf.CIQ(A660, "IQ_LASTSALEPRICE", WORKDAY(F660,5))</f>
        <v>14.45</v>
      </c>
      <c r="N660">
        <f t="shared" si="20"/>
        <v>-7.3908709425155844E-2</v>
      </c>
      <c r="O660">
        <f t="shared" si="21"/>
        <v>-6.6267130038188946E-2</v>
      </c>
      <c r="P660">
        <f>LN(_xll.ciqfunctions.udf.CIQ("XBI", "IQ_LASTSALEPRICE", WORKDAY(F660,-1))/_xll.ciqfunctions.udf.CIQ("XBI", "IQ_LASTSALEPRICE", WORKDAY(F660,1)))</f>
        <v>9.4912973850826247E-3</v>
      </c>
      <c r="Q660">
        <f>LN(_xll.ciqfunctions.udf.CIQ("XBI", "IQ_LASTSALEPRICE", WORKDAY(F660,-1))/_xll.ciqfunctions.udf.CIQ("XBI", "IQ_LASTSALEPRICE", WORKDAY(F660,5)))</f>
        <v>-2.6327351757993141E-3</v>
      </c>
      <c r="R660">
        <f>_xll.ciqfunctions.udf.CIQ(A660, "IQ_SHORT_INTEREST_PERCENT", F660)</f>
        <v>2.5741700000000001</v>
      </c>
      <c r="S660">
        <f>_xll.ciqfunctions.udf.CIQ(A660, "IQ_BETA_1YR_RSQ", F660)</f>
        <v>0.20879</v>
      </c>
      <c r="T660">
        <f>_xll.ciqfunctions.udf.CIQ(A660, "IQ_VALUE_TRADED", F660)</f>
        <v>2.0095200000000002</v>
      </c>
    </row>
    <row r="661" spans="1:20" x14ac:dyDescent="0.3">
      <c r="A661" t="s">
        <v>1944</v>
      </c>
      <c r="B661" s="2">
        <v>4.54</v>
      </c>
      <c r="C661" t="s">
        <v>1945</v>
      </c>
      <c r="D661" t="s">
        <v>1946</v>
      </c>
      <c r="E661" t="s">
        <v>184</v>
      </c>
      <c r="F661" s="1">
        <v>45386</v>
      </c>
      <c r="G661" t="s">
        <v>1947</v>
      </c>
      <c r="H661">
        <v>93</v>
      </c>
      <c r="I661">
        <f>_xll.ciqfunctions.udf.CIQ(A661, "IQ_MARKETCAP", F661)</f>
        <v>410.02784000000003</v>
      </c>
      <c r="J661">
        <f>_xll.ciqfunctions.udf.CIQ(A661, "IQ_PRICE_VOL_HIST_6MTH", F661)</f>
        <v>92.115600000000001</v>
      </c>
      <c r="K661">
        <f>_xll.ciqfunctions.udf.CIQ(A661, "IQ_LASTSALEPRICE", WORKDAY(F661,-1))</f>
        <v>4.68</v>
      </c>
      <c r="L661">
        <f>_xll.ciqfunctions.udf.CIQ(A661, "IQ_LASTSALEPRICE", F661)</f>
        <v>4.54</v>
      </c>
      <c r="M661">
        <f>_xll.ciqfunctions.udf.CIQ(A661, "IQ_LASTSALEPRICE", WORKDAY(F661,5))</f>
        <v>4.33</v>
      </c>
      <c r="N661">
        <f t="shared" si="20"/>
        <v>-3.0371097876298644E-2</v>
      </c>
      <c r="O661">
        <f t="shared" si="21"/>
        <v>-7.773056791515684E-2</v>
      </c>
      <c r="P661">
        <f>LN(_xll.ciqfunctions.udf.CIQ("XBI", "IQ_LASTSALEPRICE", WORKDAY(F661,-1))/_xll.ciqfunctions.udf.CIQ("XBI", "IQ_LASTSALEPRICE", WORKDAY(F661,1)))</f>
        <v>9.4912973850826247E-3</v>
      </c>
      <c r="Q661">
        <f>LN(_xll.ciqfunctions.udf.CIQ("XBI", "IQ_LASTSALEPRICE", WORKDAY(F661,-1))/_xll.ciqfunctions.udf.CIQ("XBI", "IQ_LASTSALEPRICE", WORKDAY(F661,5)))</f>
        <v>-2.6327351757993141E-3</v>
      </c>
      <c r="R661">
        <f>_xll.ciqfunctions.udf.CIQ(A661, "IQ_SHORT_INTEREST_PERCENT", F661)</f>
        <v>11.15339</v>
      </c>
      <c r="S661">
        <f>_xll.ciqfunctions.udf.CIQ(A661, "IQ_BETA_1YR_RSQ", F661)</f>
        <v>4.1500000000000002E-2</v>
      </c>
      <c r="T661">
        <f>_xll.ciqfunctions.udf.CIQ(A661, "IQ_VALUE_TRADED", F661)</f>
        <v>8.6201600000000003</v>
      </c>
    </row>
    <row r="662" spans="1:20" x14ac:dyDescent="0.3">
      <c r="A662" t="s">
        <v>707</v>
      </c>
      <c r="B662" s="2">
        <v>16.36</v>
      </c>
      <c r="C662" t="s">
        <v>1948</v>
      </c>
      <c r="D662" t="s">
        <v>104</v>
      </c>
      <c r="E662" t="s">
        <v>89</v>
      </c>
      <c r="F662" s="1">
        <v>45387</v>
      </c>
      <c r="G662" t="s">
        <v>1949</v>
      </c>
      <c r="H662">
        <v>174</v>
      </c>
      <c r="I662">
        <f>_xll.ciqfunctions.udf.CIQ(A662, "IQ_MARKETCAP", F662)</f>
        <v>2227.4008199999998</v>
      </c>
      <c r="J662">
        <f>_xll.ciqfunctions.udf.CIQ(A662, "IQ_PRICE_VOL_HIST_6MTH", F662)</f>
        <v>59.604199999999999</v>
      </c>
      <c r="K662">
        <f>_xll.ciqfunctions.udf.CIQ(A662, "IQ_LASTSALEPRICE", WORKDAY(F662,-1))</f>
        <v>2.67</v>
      </c>
      <c r="L662">
        <f>_xll.ciqfunctions.udf.CIQ(A662, "IQ_LASTSALEPRICE", F662)</f>
        <v>2.61</v>
      </c>
      <c r="M662">
        <f>_xll.ciqfunctions.udf.CIQ(A662, "IQ_LASTSALEPRICE", WORKDAY(F662,5))</f>
        <v>2.9</v>
      </c>
      <c r="N662">
        <f t="shared" si="20"/>
        <v>-2.2728251077556175E-2</v>
      </c>
      <c r="O662">
        <f t="shared" si="21"/>
        <v>8.2632264580270176E-2</v>
      </c>
      <c r="P662">
        <f>LN(_xll.ciqfunctions.udf.CIQ("XBI", "IQ_LASTSALEPRICE", WORKDAY(F662,-1))/_xll.ciqfunctions.udf.CIQ("XBI", "IQ_LASTSALEPRICE", WORKDAY(F662,1)))</f>
        <v>-1.0117380203364041E-2</v>
      </c>
      <c r="Q662">
        <f>LN(_xll.ciqfunctions.udf.CIQ("XBI", "IQ_LASTSALEPRICE", WORKDAY(F662,-1))/_xll.ciqfunctions.udf.CIQ("XBI", "IQ_LASTSALEPRICE", WORKDAY(F662,5)))</f>
        <v>1.5086978350887391E-2</v>
      </c>
      <c r="R662">
        <f>_xll.ciqfunctions.udf.CIQ(A662, "IQ_SHORT_INTEREST_PERCENT", F662)</f>
        <v>0</v>
      </c>
      <c r="S662">
        <f>_xll.ciqfunctions.udf.CIQ(A662, "IQ_BETA_1YR_RSQ", F662)</f>
        <v>8.4760000000000002E-2</v>
      </c>
      <c r="T662">
        <f>_xll.ciqfunctions.udf.CIQ(A662, "IQ_VALUE_TRADED", F662)</f>
        <v>5.7290000000000001E-2</v>
      </c>
    </row>
    <row r="663" spans="1:20" x14ac:dyDescent="0.3">
      <c r="A663" t="s">
        <v>707</v>
      </c>
      <c r="B663" s="2">
        <v>16.36</v>
      </c>
      <c r="C663" t="s">
        <v>1950</v>
      </c>
      <c r="D663" t="s">
        <v>1951</v>
      </c>
      <c r="E663" t="s">
        <v>89</v>
      </c>
      <c r="F663" s="1">
        <v>45387</v>
      </c>
      <c r="G663" t="s">
        <v>1952</v>
      </c>
      <c r="H663">
        <v>174</v>
      </c>
      <c r="I663">
        <f>_xll.ciqfunctions.udf.CIQ(A663, "IQ_MARKETCAP", F663)</f>
        <v>2227.4008199999998</v>
      </c>
      <c r="J663">
        <f>_xll.ciqfunctions.udf.CIQ(A663, "IQ_PRICE_VOL_HIST_6MTH", F663)</f>
        <v>59.604199999999999</v>
      </c>
      <c r="K663">
        <f>_xll.ciqfunctions.udf.CIQ(A663, "IQ_LASTSALEPRICE", WORKDAY(F663,-1))</f>
        <v>2.67</v>
      </c>
      <c r="L663">
        <f>_xll.ciqfunctions.udf.CIQ(A663, "IQ_LASTSALEPRICE", F663)</f>
        <v>2.61</v>
      </c>
      <c r="M663">
        <f>_xll.ciqfunctions.udf.CIQ(A663, "IQ_LASTSALEPRICE", WORKDAY(F663,5))</f>
        <v>2.9</v>
      </c>
      <c r="N663">
        <f t="shared" si="20"/>
        <v>-2.2728251077556175E-2</v>
      </c>
      <c r="O663">
        <f t="shared" si="21"/>
        <v>8.2632264580270176E-2</v>
      </c>
      <c r="P663">
        <f>LN(_xll.ciqfunctions.udf.CIQ("XBI", "IQ_LASTSALEPRICE", WORKDAY(F663,-1))/_xll.ciqfunctions.udf.CIQ("XBI", "IQ_LASTSALEPRICE", WORKDAY(F663,1)))</f>
        <v>-1.0117380203364041E-2</v>
      </c>
      <c r="Q663">
        <f>LN(_xll.ciqfunctions.udf.CIQ("XBI", "IQ_LASTSALEPRICE", WORKDAY(F663,-1))/_xll.ciqfunctions.udf.CIQ("XBI", "IQ_LASTSALEPRICE", WORKDAY(F663,5)))</f>
        <v>1.5086978350887391E-2</v>
      </c>
      <c r="R663">
        <f>_xll.ciqfunctions.udf.CIQ(A663, "IQ_SHORT_INTEREST_PERCENT", F663)</f>
        <v>0</v>
      </c>
      <c r="S663">
        <f>_xll.ciqfunctions.udf.CIQ(A663, "IQ_BETA_1YR_RSQ", F663)</f>
        <v>8.4760000000000002E-2</v>
      </c>
      <c r="T663">
        <f>_xll.ciqfunctions.udf.CIQ(A663, "IQ_VALUE_TRADED", F663)</f>
        <v>5.7290000000000001E-2</v>
      </c>
    </row>
    <row r="664" spans="1:20" x14ac:dyDescent="0.3">
      <c r="A664" t="s">
        <v>707</v>
      </c>
      <c r="B664" s="2">
        <v>16.36</v>
      </c>
      <c r="C664" t="s">
        <v>1953</v>
      </c>
      <c r="D664" t="s">
        <v>1954</v>
      </c>
      <c r="E664" t="s">
        <v>89</v>
      </c>
      <c r="F664" s="1">
        <v>45387</v>
      </c>
      <c r="G664" t="s">
        <v>1955</v>
      </c>
      <c r="H664">
        <v>174</v>
      </c>
      <c r="I664">
        <f>_xll.ciqfunctions.udf.CIQ(A664, "IQ_MARKETCAP", F664)</f>
        <v>2227.4008199999998</v>
      </c>
      <c r="J664">
        <f>_xll.ciqfunctions.udf.CIQ(A664, "IQ_PRICE_VOL_HIST_6MTH", F664)</f>
        <v>59.604199999999999</v>
      </c>
      <c r="K664">
        <f>_xll.ciqfunctions.udf.CIQ(A664, "IQ_LASTSALEPRICE", WORKDAY(F664,-1))</f>
        <v>2.67</v>
      </c>
      <c r="L664">
        <f>_xll.ciqfunctions.udf.CIQ(A664, "IQ_LASTSALEPRICE", F664)</f>
        <v>2.61</v>
      </c>
      <c r="M664">
        <f>_xll.ciqfunctions.udf.CIQ(A664, "IQ_LASTSALEPRICE", WORKDAY(F664,5))</f>
        <v>2.9</v>
      </c>
      <c r="N664">
        <f t="shared" si="20"/>
        <v>-2.2728251077556175E-2</v>
      </c>
      <c r="O664">
        <f t="shared" si="21"/>
        <v>8.2632264580270176E-2</v>
      </c>
      <c r="P664">
        <f>LN(_xll.ciqfunctions.udf.CIQ("XBI", "IQ_LASTSALEPRICE", WORKDAY(F664,-1))/_xll.ciqfunctions.udf.CIQ("XBI", "IQ_LASTSALEPRICE", WORKDAY(F664,1)))</f>
        <v>-1.0117380203364041E-2</v>
      </c>
      <c r="Q664">
        <f>LN(_xll.ciqfunctions.udf.CIQ("XBI", "IQ_LASTSALEPRICE", WORKDAY(F664,-1))/_xll.ciqfunctions.udf.CIQ("XBI", "IQ_LASTSALEPRICE", WORKDAY(F664,5)))</f>
        <v>1.5086978350887391E-2</v>
      </c>
      <c r="R664">
        <f>_xll.ciqfunctions.udf.CIQ(A664, "IQ_SHORT_INTEREST_PERCENT", F664)</f>
        <v>0</v>
      </c>
      <c r="S664">
        <f>_xll.ciqfunctions.udf.CIQ(A664, "IQ_BETA_1YR_RSQ", F664)</f>
        <v>8.4760000000000002E-2</v>
      </c>
      <c r="T664">
        <f>_xll.ciqfunctions.udf.CIQ(A664, "IQ_VALUE_TRADED", F664)</f>
        <v>5.7290000000000001E-2</v>
      </c>
    </row>
    <row r="665" spans="1:20" x14ac:dyDescent="0.3">
      <c r="A665" t="s">
        <v>433</v>
      </c>
      <c r="B665" s="2">
        <v>67.040000000000006</v>
      </c>
      <c r="C665" t="s">
        <v>1956</v>
      </c>
      <c r="D665" t="s">
        <v>1957</v>
      </c>
      <c r="E665" t="s">
        <v>36</v>
      </c>
      <c r="F665" s="1">
        <v>45387</v>
      </c>
      <c r="G665" t="s">
        <v>1958</v>
      </c>
      <c r="I665">
        <f>_xll.ciqfunctions.udf.CIQ(A665, "IQ_MARKETCAP", F665)</f>
        <v>164633.50078999999</v>
      </c>
      <c r="J665">
        <f>_xll.ciqfunctions.udf.CIQ(A665, "IQ_PRICE_VOL_HIST_6MTH", F665)</f>
        <v>23.853100000000001</v>
      </c>
      <c r="K665">
        <f>_xll.ciqfunctions.udf.CIQ(A665, "IQ_LASTSALEPRICE", WORKDAY(F665,-1))</f>
        <v>107.36</v>
      </c>
      <c r="L665">
        <f>_xll.ciqfunctions.udf.CIQ(A665, "IQ_LASTSALEPRICE", F665)</f>
        <v>106.2</v>
      </c>
      <c r="M665">
        <f>_xll.ciqfunctions.udf.CIQ(A665, "IQ_LASTSALEPRICE", WORKDAY(F665,5))</f>
        <v>110.64</v>
      </c>
      <c r="N665">
        <f t="shared" si="20"/>
        <v>-1.086356441553319E-2</v>
      </c>
      <c r="O665">
        <f t="shared" si="21"/>
        <v>3.009401413313113E-2</v>
      </c>
      <c r="P665">
        <f>LN(_xll.ciqfunctions.udf.CIQ("XBI", "IQ_LASTSALEPRICE", WORKDAY(F665,-1))/_xll.ciqfunctions.udf.CIQ("XBI", "IQ_LASTSALEPRICE", WORKDAY(F665,1)))</f>
        <v>-1.0117380203364041E-2</v>
      </c>
      <c r="Q665">
        <f>LN(_xll.ciqfunctions.udf.CIQ("XBI", "IQ_LASTSALEPRICE", WORKDAY(F665,-1))/_xll.ciqfunctions.udf.CIQ("XBI", "IQ_LASTSALEPRICE", WORKDAY(F665,5)))</f>
        <v>1.5086978350887391E-2</v>
      </c>
      <c r="R665">
        <f>_xll.ciqfunctions.udf.CIQ(A665, "IQ_SHORT_INTEREST_PERCENT", F665)</f>
        <v>0</v>
      </c>
      <c r="S665">
        <f>_xll.ciqfunctions.udf.CIQ(A665, "IQ_BETA_1YR_RSQ", F665)</f>
        <v>0.22766</v>
      </c>
      <c r="T665">
        <f>_xll.ciqfunctions.udf.CIQ(A665, "IQ_VALUE_TRADED", F665)</f>
        <v>277.14609999999999</v>
      </c>
    </row>
    <row r="666" spans="1:20" x14ac:dyDescent="0.3">
      <c r="A666" t="s">
        <v>519</v>
      </c>
      <c r="B666" s="2">
        <v>72.709999999999994</v>
      </c>
      <c r="C666" t="s">
        <v>520</v>
      </c>
      <c r="D666" t="s">
        <v>521</v>
      </c>
      <c r="E666" t="s">
        <v>36</v>
      </c>
      <c r="F666" s="1">
        <v>45387</v>
      </c>
      <c r="G666" t="s">
        <v>1959</v>
      </c>
      <c r="H666">
        <v>119</v>
      </c>
      <c r="I666">
        <f>_xll.ciqfunctions.udf.CIQ(A666, "IQ_MARKETCAP", F666)</f>
        <v>7489.47246</v>
      </c>
      <c r="J666">
        <f>_xll.ciqfunctions.udf.CIQ(A666, "IQ_PRICE_VOL_HIST_6MTH", F666)</f>
        <v>109.87179999999999</v>
      </c>
      <c r="K666">
        <f>_xll.ciqfunctions.udf.CIQ(A666, "IQ_LASTSALEPRICE", WORKDAY(F666,-1))</f>
        <v>69.180000000000007</v>
      </c>
      <c r="L666">
        <f>_xll.ciqfunctions.udf.CIQ(A666, "IQ_LASTSALEPRICE", F666)</f>
        <v>72.709999999999994</v>
      </c>
      <c r="M666">
        <f>_xll.ciqfunctions.udf.CIQ(A666, "IQ_LASTSALEPRICE", WORKDAY(F666,5))</f>
        <v>71.56</v>
      </c>
      <c r="N666">
        <f t="shared" si="20"/>
        <v>4.9767123152942627E-2</v>
      </c>
      <c r="O666">
        <f t="shared" si="21"/>
        <v>3.3824455131495748E-2</v>
      </c>
      <c r="P666">
        <f>LN(_xll.ciqfunctions.udf.CIQ("XBI", "IQ_LASTSALEPRICE", WORKDAY(F666,-1))/_xll.ciqfunctions.udf.CIQ("XBI", "IQ_LASTSALEPRICE", WORKDAY(F666,1)))</f>
        <v>-1.0117380203364041E-2</v>
      </c>
      <c r="Q666">
        <f>LN(_xll.ciqfunctions.udf.CIQ("XBI", "IQ_LASTSALEPRICE", WORKDAY(F666,-1))/_xll.ciqfunctions.udf.CIQ("XBI", "IQ_LASTSALEPRICE", WORKDAY(F666,5)))</f>
        <v>1.5086978350887391E-2</v>
      </c>
      <c r="R666">
        <f>_xll.ciqfunctions.udf.CIQ(A666, "IQ_SHORT_INTEREST_PERCENT", F666)</f>
        <v>14.36557</v>
      </c>
      <c r="S666">
        <f>_xll.ciqfunctions.udf.CIQ(A666, "IQ_BETA_1YR_RSQ", F666)</f>
        <v>4.5399999999999998E-3</v>
      </c>
      <c r="T666">
        <f>_xll.ciqfunctions.udf.CIQ(A666, "IQ_VALUE_TRADED", F666)</f>
        <v>73.239689999999996</v>
      </c>
    </row>
    <row r="667" spans="1:20" x14ac:dyDescent="0.3">
      <c r="A667" t="s">
        <v>1492</v>
      </c>
      <c r="B667" s="2">
        <v>1.83</v>
      </c>
      <c r="C667" t="s">
        <v>1493</v>
      </c>
      <c r="D667" t="s">
        <v>1494</v>
      </c>
      <c r="E667" t="s">
        <v>17</v>
      </c>
      <c r="F667" s="1">
        <v>45387</v>
      </c>
      <c r="G667" t="s">
        <v>1960</v>
      </c>
      <c r="H667">
        <v>292</v>
      </c>
      <c r="I667">
        <f>_xll.ciqfunctions.udf.CIQ(A667, "IQ_MARKETCAP", F667)</f>
        <v>469.39945</v>
      </c>
      <c r="J667">
        <f>_xll.ciqfunctions.udf.CIQ(A667, "IQ_PRICE_VOL_HIST_6MTH", F667)</f>
        <v>103.08710000000001</v>
      </c>
      <c r="K667">
        <f>_xll.ciqfunctions.udf.CIQ(A667, "IQ_LASTSALEPRICE", WORKDAY(F667,-1))</f>
        <v>1.51</v>
      </c>
      <c r="L667">
        <f>_xll.ciqfunctions.udf.CIQ(A667, "IQ_LASTSALEPRICE", F667)</f>
        <v>1.83</v>
      </c>
      <c r="M667">
        <f>_xll.ciqfunctions.udf.CIQ(A667, "IQ_LASTSALEPRICE", WORKDAY(F667,5))</f>
        <v>1.71</v>
      </c>
      <c r="N667">
        <f t="shared" si="20"/>
        <v>0.1922063160264966</v>
      </c>
      <c r="O667">
        <f t="shared" si="21"/>
        <v>0.12438371968773553</v>
      </c>
      <c r="P667">
        <f>LN(_xll.ciqfunctions.udf.CIQ("XBI", "IQ_LASTSALEPRICE", WORKDAY(F667,-1))/_xll.ciqfunctions.udf.CIQ("XBI", "IQ_LASTSALEPRICE", WORKDAY(F667,1)))</f>
        <v>-1.0117380203364041E-2</v>
      </c>
      <c r="Q667">
        <f>LN(_xll.ciqfunctions.udf.CIQ("XBI", "IQ_LASTSALEPRICE", WORKDAY(F667,-1))/_xll.ciqfunctions.udf.CIQ("XBI", "IQ_LASTSALEPRICE", WORKDAY(F667,5)))</f>
        <v>1.5086978350887391E-2</v>
      </c>
      <c r="R667">
        <f>_xll.ciqfunctions.udf.CIQ(A667, "IQ_SHORT_INTEREST_PERCENT", F667)</f>
        <v>13.79975</v>
      </c>
      <c r="S667">
        <f>_xll.ciqfunctions.udf.CIQ(A667, "IQ_BETA_1YR_RSQ", F667)</f>
        <v>9.3699999999999999E-3</v>
      </c>
      <c r="T667">
        <f>_xll.ciqfunctions.udf.CIQ(A667, "IQ_VALUE_TRADED", F667)</f>
        <v>38.066009999999999</v>
      </c>
    </row>
    <row r="668" spans="1:20" x14ac:dyDescent="0.3">
      <c r="A668" t="s">
        <v>1961</v>
      </c>
      <c r="B668" s="2">
        <v>0.19</v>
      </c>
      <c r="C668" t="s">
        <v>1962</v>
      </c>
      <c r="D668" t="s">
        <v>1963</v>
      </c>
      <c r="E668" t="s">
        <v>281</v>
      </c>
      <c r="F668" s="1">
        <v>45387</v>
      </c>
      <c r="G668" t="s">
        <v>1964</v>
      </c>
      <c r="H668">
        <v>174</v>
      </c>
      <c r="I668">
        <f>_xll.ciqfunctions.udf.CIQ(A668, "IQ_MARKETCAP", F668)</f>
        <v>29.517219999999998</v>
      </c>
      <c r="J668">
        <f>_xll.ciqfunctions.udf.CIQ(A668, "IQ_PRICE_VOL_HIST_6MTH", F668)</f>
        <v>0</v>
      </c>
      <c r="K668">
        <f>_xll.ciqfunctions.udf.CIQ(A668, "IQ_LASTSALEPRICE", WORKDAY(F668,-1))</f>
        <v>0</v>
      </c>
      <c r="L668">
        <f>_xll.ciqfunctions.udf.CIQ(A668, "IQ_LASTSALEPRICE", F668)</f>
        <v>0</v>
      </c>
      <c r="M668">
        <f>_xll.ciqfunctions.udf.CIQ(A668, "IQ_LASTSALEPRICE", WORKDAY(F668,5))</f>
        <v>0</v>
      </c>
      <c r="N668" t="e">
        <f t="shared" si="20"/>
        <v>#DIV/0!</v>
      </c>
      <c r="O668" t="e">
        <f t="shared" si="21"/>
        <v>#DIV/0!</v>
      </c>
      <c r="P668">
        <f>LN(_xll.ciqfunctions.udf.CIQ("XBI", "IQ_LASTSALEPRICE", WORKDAY(F668,-1))/_xll.ciqfunctions.udf.CIQ("XBI", "IQ_LASTSALEPRICE", WORKDAY(F668,1)))</f>
        <v>-1.0117380203364041E-2</v>
      </c>
      <c r="Q668">
        <f>LN(_xll.ciqfunctions.udf.CIQ("XBI", "IQ_LASTSALEPRICE", WORKDAY(F668,-1))/_xll.ciqfunctions.udf.CIQ("XBI", "IQ_LASTSALEPRICE", WORKDAY(F668,5)))</f>
        <v>1.5086978350887391E-2</v>
      </c>
      <c r="R668">
        <f>_xll.ciqfunctions.udf.CIQ(A668, "IQ_SHORT_INTEREST_PERCENT", F668)</f>
        <v>0</v>
      </c>
      <c r="S668">
        <f>_xll.ciqfunctions.udf.CIQ(A668, "IQ_BETA_1YR_RSQ", F668)</f>
        <v>0</v>
      </c>
      <c r="T668">
        <f>_xll.ciqfunctions.udf.CIQ(A668, "IQ_VALUE_TRADED", F668)</f>
        <v>0</v>
      </c>
    </row>
    <row r="669" spans="1:20" x14ac:dyDescent="0.3">
      <c r="A669" t="s">
        <v>1965</v>
      </c>
      <c r="B669" s="2">
        <v>3.63</v>
      </c>
      <c r="C669" t="s">
        <v>1966</v>
      </c>
      <c r="D669" t="s">
        <v>1967</v>
      </c>
      <c r="E669" t="s">
        <v>46</v>
      </c>
      <c r="F669" s="1">
        <v>45387</v>
      </c>
      <c r="G669" t="s">
        <v>1968</v>
      </c>
      <c r="H669">
        <v>38</v>
      </c>
      <c r="I669">
        <f>_xll.ciqfunctions.udf.CIQ(A669, "IQ_MARKETCAP", F669)</f>
        <v>41.504829999999998</v>
      </c>
      <c r="J669">
        <f>_xll.ciqfunctions.udf.CIQ(A669, "IQ_PRICE_VOL_HIST_6MTH", F669)</f>
        <v>92.985200000000006</v>
      </c>
      <c r="K669">
        <f>_xll.ciqfunctions.udf.CIQ(A669, "IQ_LASTSALEPRICE", WORKDAY(F669,-1))</f>
        <v>4.0199999999999996</v>
      </c>
      <c r="L669">
        <f>_xll.ciqfunctions.udf.CIQ(A669, "IQ_LASTSALEPRICE", F669)</f>
        <v>3.63</v>
      </c>
      <c r="M669">
        <f>_xll.ciqfunctions.udf.CIQ(A669, "IQ_LASTSALEPRICE", WORKDAY(F669,5))</f>
        <v>3</v>
      </c>
      <c r="N669">
        <f t="shared" si="20"/>
        <v>-0.10204925435417023</v>
      </c>
      <c r="O669">
        <f t="shared" si="21"/>
        <v>-0.29266961396281993</v>
      </c>
      <c r="P669">
        <f>LN(_xll.ciqfunctions.udf.CIQ("XBI", "IQ_LASTSALEPRICE", WORKDAY(F669,-1))/_xll.ciqfunctions.udf.CIQ("XBI", "IQ_LASTSALEPRICE", WORKDAY(F669,1)))</f>
        <v>-1.0117380203364041E-2</v>
      </c>
      <c r="Q669">
        <f>LN(_xll.ciqfunctions.udf.CIQ("XBI", "IQ_LASTSALEPRICE", WORKDAY(F669,-1))/_xll.ciqfunctions.udf.CIQ("XBI", "IQ_LASTSALEPRICE", WORKDAY(F669,5)))</f>
        <v>1.5086978350887391E-2</v>
      </c>
      <c r="R669">
        <f>_xll.ciqfunctions.udf.CIQ(A669, "IQ_SHORT_INTEREST_PERCENT", F669)</f>
        <v>0.53737000000000001</v>
      </c>
      <c r="S669">
        <f>_xll.ciqfunctions.udf.CIQ(A669, "IQ_BETA_1YR_RSQ", F669)</f>
        <v>9.4549999999999995E-2</v>
      </c>
      <c r="T669">
        <f>_xll.ciqfunctions.udf.CIQ(A669, "IQ_VALUE_TRADED", F669)</f>
        <v>31.16703</v>
      </c>
    </row>
    <row r="670" spans="1:20" x14ac:dyDescent="0.3">
      <c r="A670" t="s">
        <v>1531</v>
      </c>
      <c r="B670" s="2">
        <v>4.92</v>
      </c>
      <c r="C670" t="s">
        <v>1532</v>
      </c>
      <c r="D670" t="s">
        <v>1331</v>
      </c>
      <c r="E670" t="s">
        <v>160</v>
      </c>
      <c r="F670" s="1">
        <v>45387</v>
      </c>
      <c r="G670" t="s">
        <v>1969</v>
      </c>
      <c r="H670">
        <v>53</v>
      </c>
      <c r="I670" t="str">
        <f>_xll.ciqfunctions.udf.CIQ(A670, "IQ_MARKETCAP", F670)</f>
        <v>(Invalid Identifier)</v>
      </c>
      <c r="J670" t="str">
        <f>_xll.ciqfunctions.udf.CIQ(A670, "IQ_PRICE_VOL_HIST_6MTH", F670)</f>
        <v>(Invalid Identifier)</v>
      </c>
      <c r="K670" t="str">
        <f>_xll.ciqfunctions.udf.CIQ(A670, "IQ_LASTSALEPRICE", WORKDAY(F670,-1))</f>
        <v>(Invalid Identifier)</v>
      </c>
      <c r="L670" t="str">
        <f>_xll.ciqfunctions.udf.CIQ(A670, "IQ_LASTSALEPRICE", F670)</f>
        <v>(Invalid Identifier)</v>
      </c>
      <c r="M670" t="str">
        <f>_xll.ciqfunctions.udf.CIQ(A670, "IQ_LASTSALEPRICE", WORKDAY(F670,5))</f>
        <v>(Invalid Identifier)</v>
      </c>
      <c r="N670" t="e">
        <f t="shared" si="20"/>
        <v>#VALUE!</v>
      </c>
      <c r="O670" t="e">
        <f t="shared" si="21"/>
        <v>#VALUE!</v>
      </c>
      <c r="P670">
        <f>LN(_xll.ciqfunctions.udf.CIQ("XBI", "IQ_LASTSALEPRICE", WORKDAY(F670,-1))/_xll.ciqfunctions.udf.CIQ("XBI", "IQ_LASTSALEPRICE", WORKDAY(F670,1)))</f>
        <v>-1.0117380203364041E-2</v>
      </c>
      <c r="Q670">
        <f>LN(_xll.ciqfunctions.udf.CIQ("XBI", "IQ_LASTSALEPRICE", WORKDAY(F670,-1))/_xll.ciqfunctions.udf.CIQ("XBI", "IQ_LASTSALEPRICE", WORKDAY(F670,5)))</f>
        <v>1.5086978350887391E-2</v>
      </c>
      <c r="R670" t="str">
        <f>_xll.ciqfunctions.udf.CIQ(A670, "IQ_SHORT_INTEREST_PERCENT", F670)</f>
        <v>(Invalid Identifier)</v>
      </c>
      <c r="S670" t="str">
        <f>_xll.ciqfunctions.udf.CIQ(A670, "IQ_BETA_1YR_RSQ", F670)</f>
        <v>(Invalid Identifier)</v>
      </c>
      <c r="T670" t="str">
        <f>_xll.ciqfunctions.udf.CIQ(A670, "IQ_VALUE_TRADED", F670)</f>
        <v>(Invalid Identifier)</v>
      </c>
    </row>
    <row r="671" spans="1:20" x14ac:dyDescent="0.3">
      <c r="A671" t="s">
        <v>203</v>
      </c>
      <c r="B671" s="2">
        <v>50.56</v>
      </c>
      <c r="C671" t="s">
        <v>1532</v>
      </c>
      <c r="D671" t="s">
        <v>1331</v>
      </c>
      <c r="E671" t="s">
        <v>160</v>
      </c>
      <c r="F671" s="1">
        <v>45387</v>
      </c>
      <c r="G671" t="s">
        <v>1969</v>
      </c>
      <c r="I671">
        <f>_xll.ciqfunctions.udf.CIQ(A671, "IQ_MARKETCAP", F671)</f>
        <v>104013.25725</v>
      </c>
      <c r="J671">
        <f>_xll.ciqfunctions.udf.CIQ(A671, "IQ_PRICE_VOL_HIST_6MTH", F671)</f>
        <v>22.437899999999999</v>
      </c>
      <c r="K671">
        <f>_xll.ciqfunctions.udf.CIQ(A671, "IQ_LASTSALEPRICE", WORKDAY(F671,-1))</f>
        <v>51.4</v>
      </c>
      <c r="L671">
        <f>_xll.ciqfunctions.udf.CIQ(A671, "IQ_LASTSALEPRICE", F671)</f>
        <v>51.32</v>
      </c>
      <c r="M671">
        <f>_xll.ciqfunctions.udf.CIQ(A671, "IQ_LASTSALEPRICE", WORKDAY(F671,5))</f>
        <v>48.28</v>
      </c>
      <c r="N671">
        <f t="shared" si="20"/>
        <v>-1.5576327136837397E-3</v>
      </c>
      <c r="O671">
        <f t="shared" si="21"/>
        <v>-6.2620776231788675E-2</v>
      </c>
      <c r="P671">
        <f>LN(_xll.ciqfunctions.udf.CIQ("XBI", "IQ_LASTSALEPRICE", WORKDAY(F671,-1))/_xll.ciqfunctions.udf.CIQ("XBI", "IQ_LASTSALEPRICE", WORKDAY(F671,1)))</f>
        <v>-1.0117380203364041E-2</v>
      </c>
      <c r="Q671">
        <f>LN(_xll.ciqfunctions.udf.CIQ("XBI", "IQ_LASTSALEPRICE", WORKDAY(F671,-1))/_xll.ciqfunctions.udf.CIQ("XBI", "IQ_LASTSALEPRICE", WORKDAY(F671,5)))</f>
        <v>1.5086978350887391E-2</v>
      </c>
      <c r="R671">
        <f>_xll.ciqfunctions.udf.CIQ(A671, "IQ_SHORT_INTEREST_PERCENT", F671)</f>
        <v>1.83812</v>
      </c>
      <c r="S671">
        <f>_xll.ciqfunctions.udf.CIQ(A671, "IQ_BETA_1YR_RSQ", F671)</f>
        <v>5.1090000000000003E-2</v>
      </c>
      <c r="T671">
        <f>_xll.ciqfunctions.udf.CIQ(A671, "IQ_VALUE_TRADED", F671)</f>
        <v>466.78341999999998</v>
      </c>
    </row>
    <row r="672" spans="1:20" x14ac:dyDescent="0.3">
      <c r="A672" t="s">
        <v>1970</v>
      </c>
      <c r="B672" s="2">
        <v>23.2</v>
      </c>
      <c r="C672" t="s">
        <v>1971</v>
      </c>
      <c r="D672" t="s">
        <v>363</v>
      </c>
      <c r="E672" t="s">
        <v>89</v>
      </c>
      <c r="F672" s="1">
        <v>45387</v>
      </c>
      <c r="G672" t="s">
        <v>1972</v>
      </c>
      <c r="H672">
        <v>25</v>
      </c>
      <c r="I672">
        <f>_xll.ciqfunctions.udf.CIQ(A672, "IQ_MARKETCAP", F672)</f>
        <v>105.11809</v>
      </c>
      <c r="J672">
        <f>_xll.ciqfunctions.udf.CIQ(A672, "IQ_PRICE_VOL_HIST_6MTH", F672)</f>
        <v>58.148000000000003</v>
      </c>
      <c r="K672">
        <f>_xll.ciqfunctions.udf.CIQ(A672, "IQ_LASTSALEPRICE", WORKDAY(F672,-1))</f>
        <v>21.6</v>
      </c>
      <c r="L672">
        <f>_xll.ciqfunctions.udf.CIQ(A672, "IQ_LASTSALEPRICE", F672)</f>
        <v>23.2</v>
      </c>
      <c r="M672">
        <f>_xll.ciqfunctions.udf.CIQ(A672, "IQ_LASTSALEPRICE", WORKDAY(F672,5))</f>
        <v>16.2</v>
      </c>
      <c r="N672">
        <f t="shared" si="20"/>
        <v>7.1458963982144852E-2</v>
      </c>
      <c r="O672">
        <f t="shared" si="21"/>
        <v>-0.28768207245178107</v>
      </c>
      <c r="P672">
        <f>LN(_xll.ciqfunctions.udf.CIQ("XBI", "IQ_LASTSALEPRICE", WORKDAY(F672,-1))/_xll.ciqfunctions.udf.CIQ("XBI", "IQ_LASTSALEPRICE", WORKDAY(F672,1)))</f>
        <v>-1.0117380203364041E-2</v>
      </c>
      <c r="Q672">
        <f>LN(_xll.ciqfunctions.udf.CIQ("XBI", "IQ_LASTSALEPRICE", WORKDAY(F672,-1))/_xll.ciqfunctions.udf.CIQ("XBI", "IQ_LASTSALEPRICE", WORKDAY(F672,5)))</f>
        <v>1.5086978350887391E-2</v>
      </c>
      <c r="R672">
        <f>_xll.ciqfunctions.udf.CIQ(A672, "IQ_SHORT_INTEREST_PERCENT", F672)</f>
        <v>0.19803999999999999</v>
      </c>
      <c r="S672">
        <f>_xll.ciqfunctions.udf.CIQ(A672, "IQ_BETA_1YR_RSQ", F672)</f>
        <v>2E-3</v>
      </c>
      <c r="T672">
        <f>_xll.ciqfunctions.udf.CIQ(A672, "IQ_VALUE_TRADED", F672)</f>
        <v>2.6586699999999999</v>
      </c>
    </row>
    <row r="673" spans="1:20" x14ac:dyDescent="0.3">
      <c r="A673" t="s">
        <v>1970</v>
      </c>
      <c r="B673" s="2">
        <v>23.2</v>
      </c>
      <c r="C673" t="s">
        <v>1973</v>
      </c>
      <c r="D673" t="s">
        <v>1974</v>
      </c>
      <c r="E673" t="s">
        <v>89</v>
      </c>
      <c r="F673" s="1">
        <v>45387</v>
      </c>
      <c r="G673" t="s">
        <v>1975</v>
      </c>
      <c r="H673">
        <v>25</v>
      </c>
      <c r="I673">
        <f>_xll.ciqfunctions.udf.CIQ(A673, "IQ_MARKETCAP", F673)</f>
        <v>105.11809</v>
      </c>
      <c r="J673">
        <f>_xll.ciqfunctions.udf.CIQ(A673, "IQ_PRICE_VOL_HIST_6MTH", F673)</f>
        <v>58.148000000000003</v>
      </c>
      <c r="K673">
        <f>_xll.ciqfunctions.udf.CIQ(A673, "IQ_LASTSALEPRICE", WORKDAY(F673,-1))</f>
        <v>21.6</v>
      </c>
      <c r="L673">
        <f>_xll.ciqfunctions.udf.CIQ(A673, "IQ_LASTSALEPRICE", F673)</f>
        <v>23.2</v>
      </c>
      <c r="M673">
        <f>_xll.ciqfunctions.udf.CIQ(A673, "IQ_LASTSALEPRICE", WORKDAY(F673,5))</f>
        <v>16.2</v>
      </c>
      <c r="N673">
        <f t="shared" si="20"/>
        <v>7.1458963982144852E-2</v>
      </c>
      <c r="O673">
        <f t="shared" si="21"/>
        <v>-0.28768207245178107</v>
      </c>
      <c r="P673">
        <f>LN(_xll.ciqfunctions.udf.CIQ("XBI", "IQ_LASTSALEPRICE", WORKDAY(F673,-1))/_xll.ciqfunctions.udf.CIQ("XBI", "IQ_LASTSALEPRICE", WORKDAY(F673,1)))</f>
        <v>-1.0117380203364041E-2</v>
      </c>
      <c r="Q673">
        <f>LN(_xll.ciqfunctions.udf.CIQ("XBI", "IQ_LASTSALEPRICE", WORKDAY(F673,-1))/_xll.ciqfunctions.udf.CIQ("XBI", "IQ_LASTSALEPRICE", WORKDAY(F673,5)))</f>
        <v>1.5086978350887391E-2</v>
      </c>
      <c r="R673">
        <f>_xll.ciqfunctions.udf.CIQ(A673, "IQ_SHORT_INTEREST_PERCENT", F673)</f>
        <v>0.19803999999999999</v>
      </c>
      <c r="S673">
        <f>_xll.ciqfunctions.udf.CIQ(A673, "IQ_BETA_1YR_RSQ", F673)</f>
        <v>2E-3</v>
      </c>
      <c r="T673">
        <f>_xll.ciqfunctions.udf.CIQ(A673, "IQ_VALUE_TRADED", F673)</f>
        <v>2.6586699999999999</v>
      </c>
    </row>
    <row r="674" spans="1:20" x14ac:dyDescent="0.3">
      <c r="A674" t="s">
        <v>1976</v>
      </c>
      <c r="B674" s="2">
        <v>5.92</v>
      </c>
      <c r="C674" t="s">
        <v>1977</v>
      </c>
      <c r="D674" t="s">
        <v>104</v>
      </c>
      <c r="E674" t="s">
        <v>89</v>
      </c>
      <c r="F674" s="1">
        <v>45387</v>
      </c>
      <c r="G674" t="s">
        <v>1978</v>
      </c>
      <c r="H674">
        <v>45</v>
      </c>
      <c r="I674">
        <f>_xll.ciqfunctions.udf.CIQ(A674, "IQ_MARKETCAP", F674)</f>
        <v>253.00416999999999</v>
      </c>
      <c r="J674">
        <f>_xll.ciqfunctions.udf.CIQ(A674, "IQ_PRICE_VOL_HIST_6MTH", F674)</f>
        <v>119.2685</v>
      </c>
      <c r="K674">
        <f>_xll.ciqfunctions.udf.CIQ(A674, "IQ_LASTSALEPRICE", WORKDAY(F674,-1))</f>
        <v>6</v>
      </c>
      <c r="L674">
        <f>_xll.ciqfunctions.udf.CIQ(A674, "IQ_LASTSALEPRICE", F674)</f>
        <v>5.92</v>
      </c>
      <c r="M674">
        <f>_xll.ciqfunctions.udf.CIQ(A674, "IQ_LASTSALEPRICE", WORKDAY(F674,5))</f>
        <v>4.6900000000000004</v>
      </c>
      <c r="N674">
        <f t="shared" si="20"/>
        <v>-1.3423020332140661E-2</v>
      </c>
      <c r="O674">
        <f t="shared" si="21"/>
        <v>-0.24632688676986692</v>
      </c>
      <c r="P674">
        <f>LN(_xll.ciqfunctions.udf.CIQ("XBI", "IQ_LASTSALEPRICE", WORKDAY(F674,-1))/_xll.ciqfunctions.udf.CIQ("XBI", "IQ_LASTSALEPRICE", WORKDAY(F674,1)))</f>
        <v>-1.0117380203364041E-2</v>
      </c>
      <c r="Q674">
        <f>LN(_xll.ciqfunctions.udf.CIQ("XBI", "IQ_LASTSALEPRICE", WORKDAY(F674,-1))/_xll.ciqfunctions.udf.CIQ("XBI", "IQ_LASTSALEPRICE", WORKDAY(F674,5)))</f>
        <v>1.5086978350887391E-2</v>
      </c>
      <c r="R674">
        <f>_xll.ciqfunctions.udf.CIQ(A674, "IQ_SHORT_INTEREST_PERCENT", F674)</f>
        <v>1.01075</v>
      </c>
      <c r="S674">
        <f>_xll.ciqfunctions.udf.CIQ(A674, "IQ_BETA_1YR_RSQ", F674)</f>
        <v>1.455E-2</v>
      </c>
      <c r="T674">
        <f>_xll.ciqfunctions.udf.CIQ(A674, "IQ_VALUE_TRADED", F674)</f>
        <v>0.54923</v>
      </c>
    </row>
    <row r="675" spans="1:20" x14ac:dyDescent="0.3">
      <c r="A675" t="s">
        <v>1976</v>
      </c>
      <c r="B675" s="2">
        <v>5.92</v>
      </c>
      <c r="C675" t="s">
        <v>1979</v>
      </c>
      <c r="D675" t="s">
        <v>104</v>
      </c>
      <c r="E675" t="s">
        <v>89</v>
      </c>
      <c r="F675" s="1">
        <v>45387</v>
      </c>
      <c r="G675" t="s">
        <v>1980</v>
      </c>
      <c r="H675">
        <v>45</v>
      </c>
      <c r="I675">
        <f>_xll.ciqfunctions.udf.CIQ(A675, "IQ_MARKETCAP", F675)</f>
        <v>253.00416999999999</v>
      </c>
      <c r="J675">
        <f>_xll.ciqfunctions.udf.CIQ(A675, "IQ_PRICE_VOL_HIST_6MTH", F675)</f>
        <v>119.2685</v>
      </c>
      <c r="K675">
        <f>_xll.ciqfunctions.udf.CIQ(A675, "IQ_LASTSALEPRICE", WORKDAY(F675,-1))</f>
        <v>6</v>
      </c>
      <c r="L675">
        <f>_xll.ciqfunctions.udf.CIQ(A675, "IQ_LASTSALEPRICE", F675)</f>
        <v>5.92</v>
      </c>
      <c r="M675">
        <f>_xll.ciqfunctions.udf.CIQ(A675, "IQ_LASTSALEPRICE", WORKDAY(F675,5))</f>
        <v>4.6900000000000004</v>
      </c>
      <c r="N675">
        <f t="shared" si="20"/>
        <v>-1.3423020332140661E-2</v>
      </c>
      <c r="O675">
        <f t="shared" si="21"/>
        <v>-0.24632688676986692</v>
      </c>
      <c r="P675">
        <f>LN(_xll.ciqfunctions.udf.CIQ("XBI", "IQ_LASTSALEPRICE", WORKDAY(F675,-1))/_xll.ciqfunctions.udf.CIQ("XBI", "IQ_LASTSALEPRICE", WORKDAY(F675,1)))</f>
        <v>-1.0117380203364041E-2</v>
      </c>
      <c r="Q675">
        <f>LN(_xll.ciqfunctions.udf.CIQ("XBI", "IQ_LASTSALEPRICE", WORKDAY(F675,-1))/_xll.ciqfunctions.udf.CIQ("XBI", "IQ_LASTSALEPRICE", WORKDAY(F675,5)))</f>
        <v>1.5086978350887391E-2</v>
      </c>
      <c r="R675">
        <f>_xll.ciqfunctions.udf.CIQ(A675, "IQ_SHORT_INTEREST_PERCENT", F675)</f>
        <v>1.01075</v>
      </c>
      <c r="S675">
        <f>_xll.ciqfunctions.udf.CIQ(A675, "IQ_BETA_1YR_RSQ", F675)</f>
        <v>1.455E-2</v>
      </c>
      <c r="T675">
        <f>_xll.ciqfunctions.udf.CIQ(A675, "IQ_VALUE_TRADED", F675)</f>
        <v>0.54923</v>
      </c>
    </row>
    <row r="676" spans="1:20" x14ac:dyDescent="0.3">
      <c r="A676" t="s">
        <v>989</v>
      </c>
      <c r="B676" s="2">
        <v>152.38999999999999</v>
      </c>
      <c r="C676" t="s">
        <v>1524</v>
      </c>
      <c r="D676" t="s">
        <v>1331</v>
      </c>
      <c r="E676" t="s">
        <v>160</v>
      </c>
      <c r="F676" s="1">
        <v>45387</v>
      </c>
      <c r="G676" t="s">
        <v>1981</v>
      </c>
      <c r="I676">
        <f>_xll.ciqfunctions.udf.CIQ(A676, "IQ_MARKETCAP", F676)</f>
        <v>367226.83960000001</v>
      </c>
      <c r="J676">
        <f>_xll.ciqfunctions.udf.CIQ(A676, "IQ_PRICE_VOL_HIST_6MTH", F676)</f>
        <v>13.4207</v>
      </c>
      <c r="K676">
        <f>_xll.ciqfunctions.udf.CIQ(A676, "IQ_LASTSALEPRICE", WORKDAY(F676,-1))</f>
        <v>152.5</v>
      </c>
      <c r="L676">
        <f>_xll.ciqfunctions.udf.CIQ(A676, "IQ_LASTSALEPRICE", F676)</f>
        <v>152.38999999999999</v>
      </c>
      <c r="M676">
        <f>_xll.ciqfunctions.udf.CIQ(A676, "IQ_LASTSALEPRICE", WORKDAY(F676,5))</f>
        <v>147.52000000000001</v>
      </c>
      <c r="N676">
        <f t="shared" si="20"/>
        <v>-7.2157174569698187E-4</v>
      </c>
      <c r="O676">
        <f t="shared" si="21"/>
        <v>-3.3200836239182498E-2</v>
      </c>
      <c r="P676">
        <f>LN(_xll.ciqfunctions.udf.CIQ("XBI", "IQ_LASTSALEPRICE", WORKDAY(F676,-1))/_xll.ciqfunctions.udf.CIQ("XBI", "IQ_LASTSALEPRICE", WORKDAY(F676,1)))</f>
        <v>-1.0117380203364041E-2</v>
      </c>
      <c r="Q676">
        <f>LN(_xll.ciqfunctions.udf.CIQ("XBI", "IQ_LASTSALEPRICE", WORKDAY(F676,-1))/_xll.ciqfunctions.udf.CIQ("XBI", "IQ_LASTSALEPRICE", WORKDAY(F676,5)))</f>
        <v>1.5086978350887391E-2</v>
      </c>
      <c r="R676">
        <f>_xll.ciqfunctions.udf.CIQ(A676, "IQ_SHORT_INTEREST_PERCENT", F676)</f>
        <v>0.65727999999999998</v>
      </c>
      <c r="S676">
        <f>_xll.ciqfunctions.udf.CIQ(A676, "IQ_BETA_1YR_RSQ", F676)</f>
        <v>0.13880000000000001</v>
      </c>
      <c r="T676">
        <f>_xll.ciqfunctions.udf.CIQ(A676, "IQ_VALUE_TRADED", F676)</f>
        <v>1033.6644200000001</v>
      </c>
    </row>
    <row r="677" spans="1:20" x14ac:dyDescent="0.3">
      <c r="A677" t="s">
        <v>1526</v>
      </c>
      <c r="B677" s="2">
        <v>54.93</v>
      </c>
      <c r="C677" t="s">
        <v>1524</v>
      </c>
      <c r="D677" t="s">
        <v>1331</v>
      </c>
      <c r="E677" t="s">
        <v>160</v>
      </c>
      <c r="F677" s="1">
        <v>45387</v>
      </c>
      <c r="G677" t="s">
        <v>1981</v>
      </c>
      <c r="H677">
        <v>183</v>
      </c>
      <c r="I677">
        <f>_xll.ciqfunctions.udf.CIQ(A677, "IQ_MARKETCAP", F677)</f>
        <v>9992.3731000000007</v>
      </c>
      <c r="J677">
        <f>_xll.ciqfunctions.udf.CIQ(A677, "IQ_PRICE_VOL_HIST_6MTH", F677)</f>
        <v>38.415300000000002</v>
      </c>
      <c r="K677">
        <f>_xll.ciqfunctions.udf.CIQ(A677, "IQ_LASTSALEPRICE", WORKDAY(F677,-1))</f>
        <v>55.14</v>
      </c>
      <c r="L677">
        <f>_xll.ciqfunctions.udf.CIQ(A677, "IQ_LASTSALEPRICE", F677)</f>
        <v>54.93</v>
      </c>
      <c r="M677">
        <f>_xll.ciqfunctions.udf.CIQ(A677, "IQ_LASTSALEPRICE", WORKDAY(F677,5))</f>
        <v>52.92</v>
      </c>
      <c r="N677">
        <f t="shared" si="20"/>
        <v>-3.8157582411216706E-3</v>
      </c>
      <c r="O677">
        <f t="shared" si="21"/>
        <v>-4.1094066348895703E-2</v>
      </c>
      <c r="P677">
        <f>LN(_xll.ciqfunctions.udf.CIQ("XBI", "IQ_LASTSALEPRICE", WORKDAY(F677,-1))/_xll.ciqfunctions.udf.CIQ("XBI", "IQ_LASTSALEPRICE", WORKDAY(F677,1)))</f>
        <v>-1.0117380203364041E-2</v>
      </c>
      <c r="Q677">
        <f>LN(_xll.ciqfunctions.udf.CIQ("XBI", "IQ_LASTSALEPRICE", WORKDAY(F677,-1))/_xll.ciqfunctions.udf.CIQ("XBI", "IQ_LASTSALEPRICE", WORKDAY(F677,5)))</f>
        <v>1.5086978350887391E-2</v>
      </c>
      <c r="R677">
        <f>_xll.ciqfunctions.udf.CIQ(A677, "IQ_SHORT_INTEREST_PERCENT", F677)</f>
        <v>5.77745</v>
      </c>
      <c r="S677">
        <f>_xll.ciqfunctions.udf.CIQ(A677, "IQ_BETA_1YR_RSQ", F677)</f>
        <v>3.3689999999999998E-2</v>
      </c>
      <c r="T677">
        <f>_xll.ciqfunctions.udf.CIQ(A677, "IQ_VALUE_TRADED", F677)</f>
        <v>35.470550000000003</v>
      </c>
    </row>
    <row r="678" spans="1:20" x14ac:dyDescent="0.3">
      <c r="A678" t="s">
        <v>433</v>
      </c>
      <c r="B678" s="2">
        <v>67.040000000000006</v>
      </c>
      <c r="C678" t="s">
        <v>1982</v>
      </c>
      <c r="D678" t="s">
        <v>1983</v>
      </c>
      <c r="E678" t="s">
        <v>76</v>
      </c>
      <c r="F678" s="1">
        <v>45387</v>
      </c>
      <c r="G678" t="s">
        <v>1984</v>
      </c>
      <c r="I678">
        <f>_xll.ciqfunctions.udf.CIQ(A678, "IQ_MARKETCAP", F678)</f>
        <v>164633.50078999999</v>
      </c>
      <c r="J678">
        <f>_xll.ciqfunctions.udf.CIQ(A678, "IQ_PRICE_VOL_HIST_6MTH", F678)</f>
        <v>23.853100000000001</v>
      </c>
      <c r="K678">
        <f>_xll.ciqfunctions.udf.CIQ(A678, "IQ_LASTSALEPRICE", WORKDAY(F678,-1))</f>
        <v>107.36</v>
      </c>
      <c r="L678">
        <f>_xll.ciqfunctions.udf.CIQ(A678, "IQ_LASTSALEPRICE", F678)</f>
        <v>106.2</v>
      </c>
      <c r="M678">
        <f>_xll.ciqfunctions.udf.CIQ(A678, "IQ_LASTSALEPRICE", WORKDAY(F678,5))</f>
        <v>110.64</v>
      </c>
      <c r="N678">
        <f t="shared" si="20"/>
        <v>-1.086356441553319E-2</v>
      </c>
      <c r="O678">
        <f t="shared" si="21"/>
        <v>3.009401413313113E-2</v>
      </c>
      <c r="P678">
        <f>LN(_xll.ciqfunctions.udf.CIQ("XBI", "IQ_LASTSALEPRICE", WORKDAY(F678,-1))/_xll.ciqfunctions.udf.CIQ("XBI", "IQ_LASTSALEPRICE", WORKDAY(F678,1)))</f>
        <v>-1.0117380203364041E-2</v>
      </c>
      <c r="Q678">
        <f>LN(_xll.ciqfunctions.udf.CIQ("XBI", "IQ_LASTSALEPRICE", WORKDAY(F678,-1))/_xll.ciqfunctions.udf.CIQ("XBI", "IQ_LASTSALEPRICE", WORKDAY(F678,5)))</f>
        <v>1.5086978350887391E-2</v>
      </c>
      <c r="R678">
        <f>_xll.ciqfunctions.udf.CIQ(A678, "IQ_SHORT_INTEREST_PERCENT", F678)</f>
        <v>0</v>
      </c>
      <c r="S678">
        <f>_xll.ciqfunctions.udf.CIQ(A678, "IQ_BETA_1YR_RSQ", F678)</f>
        <v>0.22766</v>
      </c>
      <c r="T678">
        <f>_xll.ciqfunctions.udf.CIQ(A678, "IQ_VALUE_TRADED", F678)</f>
        <v>277.14609999999999</v>
      </c>
    </row>
    <row r="679" spans="1:20" x14ac:dyDescent="0.3">
      <c r="A679" t="s">
        <v>1985</v>
      </c>
      <c r="B679" s="2">
        <v>1.05</v>
      </c>
      <c r="C679" t="s">
        <v>1986</v>
      </c>
      <c r="D679" t="s">
        <v>1987</v>
      </c>
      <c r="E679" t="s">
        <v>22</v>
      </c>
      <c r="F679" s="1">
        <v>45388</v>
      </c>
      <c r="G679" t="s">
        <v>1988</v>
      </c>
      <c r="H679">
        <v>20</v>
      </c>
      <c r="I679">
        <f>_xll.ciqfunctions.udf.CIQ(A679, "IQ_MARKETCAP", F679)</f>
        <v>431.20539000000002</v>
      </c>
      <c r="J679">
        <f>_xll.ciqfunctions.udf.CIQ(A679, "IQ_PRICE_VOL_HIST_6MTH", F679)</f>
        <v>88.221199999999996</v>
      </c>
      <c r="K679">
        <f>_xll.ciqfunctions.udf.CIQ(A679, "IQ_LASTSALEPRICE", WORKDAY(F679,-1))</f>
        <v>21</v>
      </c>
      <c r="L679">
        <f>_xll.ciqfunctions.udf.CIQ(A679, "IQ_LASTSALEPRICE", F679)</f>
        <v>21</v>
      </c>
      <c r="M679">
        <f>_xll.ciqfunctions.udf.CIQ(A679, "IQ_LASTSALEPRICE", WORKDAY(F679,5))</f>
        <v>19.14</v>
      </c>
      <c r="N679">
        <f t="shared" si="20"/>
        <v>0</v>
      </c>
      <c r="O679">
        <f t="shared" si="21"/>
        <v>-9.2742051698614741E-2</v>
      </c>
      <c r="P679">
        <f>LN(_xll.ciqfunctions.udf.CIQ("XBI", "IQ_LASTSALEPRICE", WORKDAY(F679,-1))/_xll.ciqfunctions.udf.CIQ("XBI", "IQ_LASTSALEPRICE", WORKDAY(F679,1)))</f>
        <v>-2.4365944051926883E-3</v>
      </c>
      <c r="Q679">
        <f>LN(_xll.ciqfunctions.udf.CIQ("XBI", "IQ_LASTSALEPRICE", WORKDAY(F679,-1))/_xll.ciqfunctions.udf.CIQ("XBI", "IQ_LASTSALEPRICE", WORKDAY(F679,5)))</f>
        <v>2.2767764149058803E-2</v>
      </c>
      <c r="R679">
        <f>_xll.ciqfunctions.udf.CIQ(A679, "IQ_SHORT_INTEREST_PERCENT", F679)</f>
        <v>4.4294900000000004</v>
      </c>
      <c r="S679">
        <f>_xll.ciqfunctions.udf.CIQ(A679, "IQ_BETA_1YR_RSQ", F679)</f>
        <v>8.4080000000000002E-2</v>
      </c>
      <c r="T679">
        <f>_xll.ciqfunctions.udf.CIQ(A679, "IQ_VALUE_TRADED", F679)</f>
        <v>0</v>
      </c>
    </row>
    <row r="680" spans="1:20" x14ac:dyDescent="0.3">
      <c r="A680" t="s">
        <v>1802</v>
      </c>
      <c r="B680" s="2">
        <v>1.47</v>
      </c>
      <c r="C680" t="s">
        <v>1989</v>
      </c>
      <c r="D680" t="s">
        <v>243</v>
      </c>
      <c r="E680" t="s">
        <v>89</v>
      </c>
      <c r="F680" s="1">
        <v>45389</v>
      </c>
      <c r="G680" t="s">
        <v>1990</v>
      </c>
      <c r="H680">
        <v>51</v>
      </c>
      <c r="I680">
        <f>_xll.ciqfunctions.udf.CIQ(A680, "IQ_MARKETCAP", F680)</f>
        <v>41.361440000000002</v>
      </c>
      <c r="J680">
        <f>_xll.ciqfunctions.udf.CIQ(A680, "IQ_PRICE_VOL_HIST_6MTH", F680)</f>
        <v>138.80189999999999</v>
      </c>
      <c r="K680">
        <f>_xll.ciqfunctions.udf.CIQ(A680, "IQ_LASTSALEPRICE", WORKDAY(F680,-1))</f>
        <v>1.2</v>
      </c>
      <c r="L680">
        <f>_xll.ciqfunctions.udf.CIQ(A680, "IQ_LASTSALEPRICE", F680)</f>
        <v>1.2</v>
      </c>
      <c r="M680">
        <f>_xll.ciqfunctions.udf.CIQ(A680, "IQ_LASTSALEPRICE", WORKDAY(F680,5))</f>
        <v>1.18</v>
      </c>
      <c r="N680">
        <f t="shared" si="20"/>
        <v>0</v>
      </c>
      <c r="O680">
        <f t="shared" si="21"/>
        <v>-1.6807118316381289E-2</v>
      </c>
      <c r="P680">
        <f>LN(_xll.ciqfunctions.udf.CIQ("XBI", "IQ_LASTSALEPRICE", WORKDAY(F680,-1))/_xll.ciqfunctions.udf.CIQ("XBI", "IQ_LASTSALEPRICE", WORKDAY(F680,1)))</f>
        <v>-2.4365944051926883E-3</v>
      </c>
      <c r="Q680">
        <f>LN(_xll.ciqfunctions.udf.CIQ("XBI", "IQ_LASTSALEPRICE", WORKDAY(F680,-1))/_xll.ciqfunctions.udf.CIQ("XBI", "IQ_LASTSALEPRICE", WORKDAY(F680,5)))</f>
        <v>2.2767764149058803E-2</v>
      </c>
      <c r="R680">
        <f>_xll.ciqfunctions.udf.CIQ(A680, "IQ_SHORT_INTEREST_PERCENT", F680)</f>
        <v>0.16719000000000001</v>
      </c>
      <c r="S680">
        <f>_xll.ciqfunctions.udf.CIQ(A680, "IQ_BETA_1YR_RSQ", F680)</f>
        <v>8.7100000000000007E-3</v>
      </c>
      <c r="T680">
        <f>_xll.ciqfunctions.udf.CIQ(A680, "IQ_VALUE_TRADED", F680)</f>
        <v>0</v>
      </c>
    </row>
    <row r="681" spans="1:20" x14ac:dyDescent="0.3">
      <c r="A681" t="s">
        <v>1991</v>
      </c>
      <c r="B681" s="2">
        <v>7.12</v>
      </c>
      <c r="C681" t="s">
        <v>1992</v>
      </c>
      <c r="D681" t="s">
        <v>1993</v>
      </c>
      <c r="E681" t="s">
        <v>17</v>
      </c>
      <c r="F681" s="1">
        <v>45389</v>
      </c>
      <c r="G681" t="s">
        <v>1994</v>
      </c>
      <c r="H681">
        <v>78</v>
      </c>
      <c r="I681">
        <f>_xll.ciqfunctions.udf.CIQ(A681, "IQ_MARKETCAP", F681)</f>
        <v>451.81411000000003</v>
      </c>
      <c r="J681">
        <f>_xll.ciqfunctions.udf.CIQ(A681, "IQ_PRICE_VOL_HIST_6MTH", F681)</f>
        <v>109.2251</v>
      </c>
      <c r="K681">
        <f>_xll.ciqfunctions.udf.CIQ(A681, "IQ_LASTSALEPRICE", WORKDAY(F681,-1))</f>
        <v>7.36</v>
      </c>
      <c r="L681">
        <f>_xll.ciqfunctions.udf.CIQ(A681, "IQ_LASTSALEPRICE", F681)</f>
        <v>7.36</v>
      </c>
      <c r="M681">
        <f>_xll.ciqfunctions.udf.CIQ(A681, "IQ_LASTSALEPRICE", WORKDAY(F681,5))</f>
        <v>7.14</v>
      </c>
      <c r="N681">
        <f t="shared" si="20"/>
        <v>0</v>
      </c>
      <c r="O681">
        <f t="shared" si="21"/>
        <v>-3.0347156389291932E-2</v>
      </c>
      <c r="P681">
        <f>LN(_xll.ciqfunctions.udf.CIQ("XBI", "IQ_LASTSALEPRICE", WORKDAY(F681,-1))/_xll.ciqfunctions.udf.CIQ("XBI", "IQ_LASTSALEPRICE", WORKDAY(F681,1)))</f>
        <v>-2.4365944051926883E-3</v>
      </c>
      <c r="Q681">
        <f>LN(_xll.ciqfunctions.udf.CIQ("XBI", "IQ_LASTSALEPRICE", WORKDAY(F681,-1))/_xll.ciqfunctions.udf.CIQ("XBI", "IQ_LASTSALEPRICE", WORKDAY(F681,5)))</f>
        <v>2.2767764149058803E-2</v>
      </c>
      <c r="R681">
        <f>_xll.ciqfunctions.udf.CIQ(A681, "IQ_SHORT_INTEREST_PERCENT", F681)</f>
        <v>11.279590000000001</v>
      </c>
      <c r="S681">
        <f>_xll.ciqfunctions.udf.CIQ(A681, "IQ_BETA_1YR_RSQ", F681)</f>
        <v>2.094E-2</v>
      </c>
      <c r="T681">
        <f>_xll.ciqfunctions.udf.CIQ(A681, "IQ_VALUE_TRADED", F681)</f>
        <v>0</v>
      </c>
    </row>
    <row r="682" spans="1:20" x14ac:dyDescent="0.3">
      <c r="A682" t="s">
        <v>1245</v>
      </c>
      <c r="B682" s="2">
        <v>156.04</v>
      </c>
      <c r="C682" t="s">
        <v>1246</v>
      </c>
      <c r="D682" t="s">
        <v>1176</v>
      </c>
      <c r="E682" t="s">
        <v>76</v>
      </c>
      <c r="F682" s="1">
        <v>45389</v>
      </c>
      <c r="G682" t="s">
        <v>1995</v>
      </c>
      <c r="H682">
        <v>131</v>
      </c>
      <c r="I682">
        <f>_xll.ciqfunctions.udf.CIQ(A682, "IQ_MARKETCAP", F682)</f>
        <v>19417.98432</v>
      </c>
      <c r="J682">
        <f>_xll.ciqfunctions.udf.CIQ(A682, "IQ_PRICE_VOL_HIST_6MTH", F682)</f>
        <v>35.249899999999997</v>
      </c>
      <c r="K682">
        <f>_xll.ciqfunctions.udf.CIQ(A682, "IQ_LASTSALEPRICE", WORKDAY(F682,-1))</f>
        <v>153.56</v>
      </c>
      <c r="L682">
        <f>_xll.ciqfunctions.udf.CIQ(A682, "IQ_LASTSALEPRICE", F682)</f>
        <v>153.56</v>
      </c>
      <c r="M682">
        <f>_xll.ciqfunctions.udf.CIQ(A682, "IQ_LASTSALEPRICE", WORKDAY(F682,5))</f>
        <v>148.5</v>
      </c>
      <c r="N682">
        <f t="shared" si="20"/>
        <v>0</v>
      </c>
      <c r="O682">
        <f t="shared" si="21"/>
        <v>-3.3506411889842699E-2</v>
      </c>
      <c r="P682">
        <f>LN(_xll.ciqfunctions.udf.CIQ("XBI", "IQ_LASTSALEPRICE", WORKDAY(F682,-1))/_xll.ciqfunctions.udf.CIQ("XBI", "IQ_LASTSALEPRICE", WORKDAY(F682,1)))</f>
        <v>-2.4365944051926883E-3</v>
      </c>
      <c r="Q682">
        <f>LN(_xll.ciqfunctions.udf.CIQ("XBI", "IQ_LASTSALEPRICE", WORKDAY(F682,-1))/_xll.ciqfunctions.udf.CIQ("XBI", "IQ_LASTSALEPRICE", WORKDAY(F682,5)))</f>
        <v>2.2767764149058803E-2</v>
      </c>
      <c r="R682">
        <f>_xll.ciqfunctions.udf.CIQ(A682, "IQ_SHORT_INTEREST_PERCENT", F682)</f>
        <v>2.1249099999999999</v>
      </c>
      <c r="S682">
        <f>_xll.ciqfunctions.udf.CIQ(A682, "IQ_BETA_1YR_RSQ", F682)</f>
        <v>0.22756000000000001</v>
      </c>
      <c r="T682">
        <f>_xll.ciqfunctions.udf.CIQ(A682, "IQ_VALUE_TRADED", F682)</f>
        <v>0</v>
      </c>
    </row>
    <row r="683" spans="1:20" x14ac:dyDescent="0.3">
      <c r="A683" t="s">
        <v>1685</v>
      </c>
      <c r="B683" s="2">
        <v>25.7</v>
      </c>
      <c r="C683" t="s">
        <v>1686</v>
      </c>
      <c r="D683" t="s">
        <v>1687</v>
      </c>
      <c r="E683" t="s">
        <v>76</v>
      </c>
      <c r="F683" s="1">
        <v>45389</v>
      </c>
      <c r="G683" t="s">
        <v>1996</v>
      </c>
      <c r="H683">
        <v>138</v>
      </c>
      <c r="I683">
        <f>_xll.ciqfunctions.udf.CIQ(A683, "IQ_MARKETCAP", F683)</f>
        <v>3194.0624400000002</v>
      </c>
      <c r="J683">
        <f>_xll.ciqfunctions.udf.CIQ(A683, "IQ_PRICE_VOL_HIST_6MTH", F683)</f>
        <v>77.573800000000006</v>
      </c>
      <c r="K683">
        <f>_xll.ciqfunctions.udf.CIQ(A683, "IQ_LASTSALEPRICE", WORKDAY(F683,-1))</f>
        <v>25.78</v>
      </c>
      <c r="L683">
        <f>_xll.ciqfunctions.udf.CIQ(A683, "IQ_LASTSALEPRICE", F683)</f>
        <v>25.78</v>
      </c>
      <c r="M683">
        <f>_xll.ciqfunctions.udf.CIQ(A683, "IQ_LASTSALEPRICE", WORKDAY(F683,5))</f>
        <v>24.7</v>
      </c>
      <c r="N683">
        <f t="shared" si="20"/>
        <v>0</v>
      </c>
      <c r="O683">
        <f t="shared" si="21"/>
        <v>-4.2795753877109897E-2</v>
      </c>
      <c r="P683">
        <f>LN(_xll.ciqfunctions.udf.CIQ("XBI", "IQ_LASTSALEPRICE", WORKDAY(F683,-1))/_xll.ciqfunctions.udf.CIQ("XBI", "IQ_LASTSALEPRICE", WORKDAY(F683,1)))</f>
        <v>-2.4365944051926883E-3</v>
      </c>
      <c r="Q683">
        <f>LN(_xll.ciqfunctions.udf.CIQ("XBI", "IQ_LASTSALEPRICE", WORKDAY(F683,-1))/_xll.ciqfunctions.udf.CIQ("XBI", "IQ_LASTSALEPRICE", WORKDAY(F683,5)))</f>
        <v>2.2767764149058803E-2</v>
      </c>
      <c r="R683">
        <f>_xll.ciqfunctions.udf.CIQ(A683, "IQ_SHORT_INTEREST_PERCENT", F683)</f>
        <v>7.4277499999999996</v>
      </c>
      <c r="S683">
        <f>_xll.ciqfunctions.udf.CIQ(A683, "IQ_BETA_1YR_RSQ", F683)</f>
        <v>0.12942999999999999</v>
      </c>
      <c r="T683">
        <f>_xll.ciqfunctions.udf.CIQ(A683, "IQ_VALUE_TRADED", F683)</f>
        <v>0</v>
      </c>
    </row>
    <row r="684" spans="1:20" x14ac:dyDescent="0.3">
      <c r="A684" t="s">
        <v>1997</v>
      </c>
      <c r="B684" s="2">
        <v>89.31</v>
      </c>
      <c r="C684" t="s">
        <v>1998</v>
      </c>
      <c r="D684" t="s">
        <v>1999</v>
      </c>
      <c r="E684" t="s">
        <v>22</v>
      </c>
      <c r="F684" s="1">
        <v>45389</v>
      </c>
      <c r="G684" t="s">
        <v>2000</v>
      </c>
      <c r="H684">
        <v>239</v>
      </c>
      <c r="I684">
        <f>_xll.ciqfunctions.udf.CIQ(A684, "IQ_MARKETCAP", F684)</f>
        <v>21518.933529999998</v>
      </c>
      <c r="J684">
        <f>_xll.ciqfunctions.udf.CIQ(A684, "IQ_PRICE_VOL_HIST_6MTH", F684)</f>
        <v>34.131999999999998</v>
      </c>
      <c r="K684">
        <f>_xll.ciqfunctions.udf.CIQ(A684, "IQ_LASTSALEPRICE", WORKDAY(F684,-1))</f>
        <v>90.52</v>
      </c>
      <c r="L684">
        <f>_xll.ciqfunctions.udf.CIQ(A684, "IQ_LASTSALEPRICE", F684)</f>
        <v>90.52</v>
      </c>
      <c r="M684">
        <f>_xll.ciqfunctions.udf.CIQ(A684, "IQ_LASTSALEPRICE", WORKDAY(F684,5))</f>
        <v>86.48</v>
      </c>
      <c r="N684">
        <f t="shared" si="20"/>
        <v>0</v>
      </c>
      <c r="O684">
        <f t="shared" si="21"/>
        <v>-4.565764743438374E-2</v>
      </c>
      <c r="P684">
        <f>LN(_xll.ciqfunctions.udf.CIQ("XBI", "IQ_LASTSALEPRICE", WORKDAY(F684,-1))/_xll.ciqfunctions.udf.CIQ("XBI", "IQ_LASTSALEPRICE", WORKDAY(F684,1)))</f>
        <v>-2.4365944051926883E-3</v>
      </c>
      <c r="Q684">
        <f>LN(_xll.ciqfunctions.udf.CIQ("XBI", "IQ_LASTSALEPRICE", WORKDAY(F684,-1))/_xll.ciqfunctions.udf.CIQ("XBI", "IQ_LASTSALEPRICE", WORKDAY(F684,5)))</f>
        <v>2.2767764149058803E-2</v>
      </c>
      <c r="R684">
        <f>_xll.ciqfunctions.udf.CIQ(A684, "IQ_SHORT_INTEREST_PERCENT", F684)</f>
        <v>1.29653</v>
      </c>
      <c r="S684">
        <f>_xll.ciqfunctions.udf.CIQ(A684, "IQ_BETA_1YR_RSQ", F684)</f>
        <v>0.10852000000000001</v>
      </c>
      <c r="T684">
        <f>_xll.ciqfunctions.udf.CIQ(A684, "IQ_VALUE_TRADED", F684)</f>
        <v>0</v>
      </c>
    </row>
    <row r="685" spans="1:20" x14ac:dyDescent="0.3">
      <c r="A685" t="s">
        <v>462</v>
      </c>
      <c r="B685" s="2">
        <v>42.24</v>
      </c>
      <c r="C685" t="s">
        <v>924</v>
      </c>
      <c r="D685" t="s">
        <v>925</v>
      </c>
      <c r="E685" t="s">
        <v>36</v>
      </c>
      <c r="F685" s="1">
        <v>45389</v>
      </c>
      <c r="G685" t="s">
        <v>2001</v>
      </c>
      <c r="H685">
        <v>159</v>
      </c>
      <c r="I685">
        <f>_xll.ciqfunctions.udf.CIQ(A685, "IQ_MARKETCAP", F685)</f>
        <v>6299.3926700000002</v>
      </c>
      <c r="J685">
        <f>_xll.ciqfunctions.udf.CIQ(A685, "IQ_PRICE_VOL_HIST_6MTH", F685)</f>
        <v>34.54</v>
      </c>
      <c r="K685">
        <f>_xll.ciqfunctions.udf.CIQ(A685, "IQ_LASTSALEPRICE", WORKDAY(F685,-1))</f>
        <v>43.22</v>
      </c>
      <c r="L685">
        <f>_xll.ciqfunctions.udf.CIQ(A685, "IQ_LASTSALEPRICE", F685)</f>
        <v>43.22</v>
      </c>
      <c r="M685">
        <f>_xll.ciqfunctions.udf.CIQ(A685, "IQ_LASTSALEPRICE", WORKDAY(F685,5))</f>
        <v>41.74</v>
      </c>
      <c r="N685">
        <f t="shared" si="20"/>
        <v>0</v>
      </c>
      <c r="O685">
        <f t="shared" si="21"/>
        <v>-3.4843449429685154E-2</v>
      </c>
      <c r="P685">
        <f>LN(_xll.ciqfunctions.udf.CIQ("XBI", "IQ_LASTSALEPRICE", WORKDAY(F685,-1))/_xll.ciqfunctions.udf.CIQ("XBI", "IQ_LASTSALEPRICE", WORKDAY(F685,1)))</f>
        <v>-2.4365944051926883E-3</v>
      </c>
      <c r="Q685">
        <f>LN(_xll.ciqfunctions.udf.CIQ("XBI", "IQ_LASTSALEPRICE", WORKDAY(F685,-1))/_xll.ciqfunctions.udf.CIQ("XBI", "IQ_LASTSALEPRICE", WORKDAY(F685,5)))</f>
        <v>2.2767764149058803E-2</v>
      </c>
      <c r="R685">
        <f>_xll.ciqfunctions.udf.CIQ(A685, "IQ_SHORT_INTEREST_PERCENT", F685)</f>
        <v>6.6315999999999997</v>
      </c>
      <c r="S685">
        <f>_xll.ciqfunctions.udf.CIQ(A685, "IQ_BETA_1YR_RSQ", F685)</f>
        <v>0.15992000000000001</v>
      </c>
      <c r="T685">
        <f>_xll.ciqfunctions.udf.CIQ(A685, "IQ_VALUE_TRADED", F685)</f>
        <v>0</v>
      </c>
    </row>
    <row r="686" spans="1:20" x14ac:dyDescent="0.3">
      <c r="A686" t="s">
        <v>199</v>
      </c>
      <c r="B686" s="2">
        <v>12.22</v>
      </c>
      <c r="C686" t="s">
        <v>2002</v>
      </c>
      <c r="D686" t="s">
        <v>2003</v>
      </c>
      <c r="E686" t="s">
        <v>89</v>
      </c>
      <c r="F686" s="1">
        <v>45389</v>
      </c>
      <c r="G686" t="s">
        <v>2004</v>
      </c>
      <c r="H686">
        <v>44</v>
      </c>
      <c r="I686" t="str">
        <f>_xll.ciqfunctions.udf.CIQ(A686, "IQ_MARKETCAP", F686)</f>
        <v>(Invalid Identifier)</v>
      </c>
      <c r="J686" t="str">
        <f>_xll.ciqfunctions.udf.CIQ(A686, "IQ_PRICE_VOL_HIST_6MTH", F686)</f>
        <v>(Invalid Identifier)</v>
      </c>
      <c r="K686" t="str">
        <f>_xll.ciqfunctions.udf.CIQ(A686, "IQ_LASTSALEPRICE", WORKDAY(F686,-1))</f>
        <v>(Invalid Identifier)</v>
      </c>
      <c r="L686" t="str">
        <f>_xll.ciqfunctions.udf.CIQ(A686, "IQ_LASTSALEPRICE", F686)</f>
        <v>(Invalid Identifier)</v>
      </c>
      <c r="M686" t="str">
        <f>_xll.ciqfunctions.udf.CIQ(A686, "IQ_LASTSALEPRICE", WORKDAY(F686,5))</f>
        <v>(Invalid Identifier)</v>
      </c>
      <c r="N686" t="e">
        <f t="shared" si="20"/>
        <v>#VALUE!</v>
      </c>
      <c r="O686" t="e">
        <f t="shared" si="21"/>
        <v>#VALUE!</v>
      </c>
      <c r="P686">
        <f>LN(_xll.ciqfunctions.udf.CIQ("XBI", "IQ_LASTSALEPRICE", WORKDAY(F686,-1))/_xll.ciqfunctions.udf.CIQ("XBI", "IQ_LASTSALEPRICE", WORKDAY(F686,1)))</f>
        <v>-2.4365944051926883E-3</v>
      </c>
      <c r="Q686">
        <f>LN(_xll.ciqfunctions.udf.CIQ("XBI", "IQ_LASTSALEPRICE", WORKDAY(F686,-1))/_xll.ciqfunctions.udf.CIQ("XBI", "IQ_LASTSALEPRICE", WORKDAY(F686,5)))</f>
        <v>2.2767764149058803E-2</v>
      </c>
      <c r="R686" t="str">
        <f>_xll.ciqfunctions.udf.CIQ(A686, "IQ_SHORT_INTEREST_PERCENT", F686)</f>
        <v>(Invalid Identifier)</v>
      </c>
      <c r="S686" t="str">
        <f>_xll.ciqfunctions.udf.CIQ(A686, "IQ_BETA_1YR_RSQ", F686)</f>
        <v>(Invalid Identifier)</v>
      </c>
      <c r="T686" t="str">
        <f>_xll.ciqfunctions.udf.CIQ(A686, "IQ_VALUE_TRADED", F686)</f>
        <v>(Invalid Identifier)</v>
      </c>
    </row>
    <row r="687" spans="1:20" x14ac:dyDescent="0.3">
      <c r="A687" t="s">
        <v>2005</v>
      </c>
      <c r="B687" s="2">
        <v>11.34</v>
      </c>
      <c r="C687" t="s">
        <v>2006</v>
      </c>
      <c r="D687" t="s">
        <v>2007</v>
      </c>
      <c r="E687" t="s">
        <v>17</v>
      </c>
      <c r="F687" s="1">
        <v>45389</v>
      </c>
      <c r="G687" t="s">
        <v>2008</v>
      </c>
      <c r="H687">
        <v>53</v>
      </c>
      <c r="I687">
        <f>_xll.ciqfunctions.udf.CIQ(A687, "IQ_MARKETCAP", F687)</f>
        <v>275.65346</v>
      </c>
      <c r="J687">
        <f>_xll.ciqfunctions.udf.CIQ(A687, "IQ_PRICE_VOL_HIST_6MTH", F687)</f>
        <v>107.4811</v>
      </c>
      <c r="K687">
        <f>_xll.ciqfunctions.udf.CIQ(A687, "IQ_LASTSALEPRICE", WORKDAY(F687,-1))</f>
        <v>11.795</v>
      </c>
      <c r="L687">
        <f>_xll.ciqfunctions.udf.CIQ(A687, "IQ_LASTSALEPRICE", F687)</f>
        <v>11.795</v>
      </c>
      <c r="M687">
        <f>_xll.ciqfunctions.udf.CIQ(A687, "IQ_LASTSALEPRICE", WORKDAY(F687,5))</f>
        <v>11.03</v>
      </c>
      <c r="N687">
        <f t="shared" si="20"/>
        <v>0</v>
      </c>
      <c r="O687">
        <f t="shared" si="21"/>
        <v>-6.7056879594227264E-2</v>
      </c>
      <c r="P687">
        <f>LN(_xll.ciqfunctions.udf.CIQ("XBI", "IQ_LASTSALEPRICE", WORKDAY(F687,-1))/_xll.ciqfunctions.udf.CIQ("XBI", "IQ_LASTSALEPRICE", WORKDAY(F687,1)))</f>
        <v>-2.4365944051926883E-3</v>
      </c>
      <c r="Q687">
        <f>LN(_xll.ciqfunctions.udf.CIQ("XBI", "IQ_LASTSALEPRICE", WORKDAY(F687,-1))/_xll.ciqfunctions.udf.CIQ("XBI", "IQ_LASTSALEPRICE", WORKDAY(F687,5)))</f>
        <v>2.2767764149058803E-2</v>
      </c>
      <c r="R687">
        <f>_xll.ciqfunctions.udf.CIQ(A687, "IQ_SHORT_INTEREST_PERCENT", F687)</f>
        <v>8.8071999999999999</v>
      </c>
      <c r="S687">
        <f>_xll.ciqfunctions.udf.CIQ(A687, "IQ_BETA_1YR_RSQ", F687)</f>
        <v>2.043E-2</v>
      </c>
      <c r="T687">
        <f>_xll.ciqfunctions.udf.CIQ(A687, "IQ_VALUE_TRADED", F687)</f>
        <v>0</v>
      </c>
    </row>
    <row r="688" spans="1:20" x14ac:dyDescent="0.3">
      <c r="A688" t="s">
        <v>2009</v>
      </c>
      <c r="B688" s="2">
        <v>16.88</v>
      </c>
      <c r="C688" t="s">
        <v>2010</v>
      </c>
      <c r="D688" t="s">
        <v>2011</v>
      </c>
      <c r="E688" t="s">
        <v>89</v>
      </c>
      <c r="F688" s="1">
        <v>45389</v>
      </c>
      <c r="G688" t="s">
        <v>2012</v>
      </c>
      <c r="H688">
        <v>105</v>
      </c>
      <c r="I688">
        <f>_xll.ciqfunctions.udf.CIQ(A688, "IQ_MARKETCAP", F688)</f>
        <v>1579.15617</v>
      </c>
      <c r="J688">
        <f>_xll.ciqfunctions.udf.CIQ(A688, "IQ_PRICE_VOL_HIST_6MTH", F688)</f>
        <v>93.111699999999999</v>
      </c>
      <c r="K688">
        <f>_xll.ciqfunctions.udf.CIQ(A688, "IQ_LASTSALEPRICE", WORKDAY(F688,-1))</f>
        <v>16.96</v>
      </c>
      <c r="L688">
        <f>_xll.ciqfunctions.udf.CIQ(A688, "IQ_LASTSALEPRICE", F688)</f>
        <v>16.96</v>
      </c>
      <c r="M688">
        <f>_xll.ciqfunctions.udf.CIQ(A688, "IQ_LASTSALEPRICE", WORKDAY(F688,5))</f>
        <v>16.37</v>
      </c>
      <c r="N688">
        <f t="shared" si="20"/>
        <v>0</v>
      </c>
      <c r="O688">
        <f t="shared" si="21"/>
        <v>-3.5407238980713462E-2</v>
      </c>
      <c r="P688">
        <f>LN(_xll.ciqfunctions.udf.CIQ("XBI", "IQ_LASTSALEPRICE", WORKDAY(F688,-1))/_xll.ciqfunctions.udf.CIQ("XBI", "IQ_LASTSALEPRICE", WORKDAY(F688,1)))</f>
        <v>-2.4365944051926883E-3</v>
      </c>
      <c r="Q688">
        <f>LN(_xll.ciqfunctions.udf.CIQ("XBI", "IQ_LASTSALEPRICE", WORKDAY(F688,-1))/_xll.ciqfunctions.udf.CIQ("XBI", "IQ_LASTSALEPRICE", WORKDAY(F688,5)))</f>
        <v>2.2767764149058803E-2</v>
      </c>
      <c r="R688">
        <f>_xll.ciqfunctions.udf.CIQ(A688, "IQ_SHORT_INTEREST_PERCENT", F688)</f>
        <v>4.8164100000000003</v>
      </c>
      <c r="S688">
        <f>_xll.ciqfunctions.udf.CIQ(A688, "IQ_BETA_1YR_RSQ", F688)</f>
        <v>2.1139999999999999E-2</v>
      </c>
      <c r="T688">
        <f>_xll.ciqfunctions.udf.CIQ(A688, "IQ_VALUE_TRADED", F688)</f>
        <v>0</v>
      </c>
    </row>
    <row r="689" spans="1:20" x14ac:dyDescent="0.3">
      <c r="A689" t="s">
        <v>8</v>
      </c>
      <c r="B689" s="2">
        <v>22.81</v>
      </c>
      <c r="C689" t="s">
        <v>1803</v>
      </c>
      <c r="D689" t="s">
        <v>1804</v>
      </c>
      <c r="E689" t="s">
        <v>76</v>
      </c>
      <c r="F689" s="1">
        <v>45390</v>
      </c>
      <c r="G689" t="s">
        <v>2013</v>
      </c>
      <c r="H689">
        <v>86</v>
      </c>
      <c r="I689">
        <f>_xll.ciqfunctions.udf.CIQ(A689, "IQ_MARKETCAP", F689)</f>
        <v>1938.3866399999999</v>
      </c>
      <c r="J689">
        <f>_xll.ciqfunctions.udf.CIQ(A689, "IQ_PRICE_VOL_HIST_6MTH", F689)</f>
        <v>51.094499999999996</v>
      </c>
      <c r="K689">
        <f>_xll.ciqfunctions.udf.CIQ(A689, "IQ_LASTSALEPRICE", WORKDAY(F689,-1))</f>
        <v>22.89</v>
      </c>
      <c r="L689">
        <f>_xll.ciqfunctions.udf.CIQ(A689, "IQ_LASTSALEPRICE", F689)</f>
        <v>22.81</v>
      </c>
      <c r="M689">
        <f>_xll.ciqfunctions.udf.CIQ(A689, "IQ_LASTSALEPRICE", WORKDAY(F689,5))</f>
        <v>21.62</v>
      </c>
      <c r="N689">
        <f t="shared" si="20"/>
        <v>-3.501097668178767E-3</v>
      </c>
      <c r="O689">
        <f t="shared" si="21"/>
        <v>-5.7081321753413079E-2</v>
      </c>
      <c r="P689">
        <f>LN(_xll.ciqfunctions.udf.CIQ("XBI", "IQ_LASTSALEPRICE", WORKDAY(F689,-1))/_xll.ciqfunctions.udf.CIQ("XBI", "IQ_LASTSALEPRICE", WORKDAY(F689,1)))</f>
        <v>-1.6060184592356547E-2</v>
      </c>
      <c r="Q689">
        <f>LN(_xll.ciqfunctions.udf.CIQ("XBI", "IQ_LASTSALEPRICE", WORKDAY(F689,-1))/_xll.ciqfunctions.udf.CIQ("XBI", "IQ_LASTSALEPRICE", WORKDAY(F689,5)))</f>
        <v>4.3398868400250638E-2</v>
      </c>
      <c r="R689">
        <f>_xll.ciqfunctions.udf.CIQ(A689, "IQ_SHORT_INTEREST_PERCENT", F689)</f>
        <v>9.8015500000000007</v>
      </c>
      <c r="S689">
        <f>_xll.ciqfunctions.udf.CIQ(A689, "IQ_BETA_1YR_RSQ", F689)</f>
        <v>0.2702</v>
      </c>
      <c r="T689">
        <f>_xll.ciqfunctions.udf.CIQ(A689, "IQ_VALUE_TRADED", F689)</f>
        <v>9.7332599999999996</v>
      </c>
    </row>
    <row r="690" spans="1:20" x14ac:dyDescent="0.3">
      <c r="A690" t="s">
        <v>2014</v>
      </c>
      <c r="B690" s="2">
        <v>9.6199999999999992</v>
      </c>
      <c r="C690" t="s">
        <v>2015</v>
      </c>
      <c r="D690" t="s">
        <v>2016</v>
      </c>
      <c r="E690" t="s">
        <v>89</v>
      </c>
      <c r="F690" s="1">
        <v>45390</v>
      </c>
      <c r="G690" t="s">
        <v>2017</v>
      </c>
      <c r="H690">
        <v>75</v>
      </c>
      <c r="I690">
        <f>_xll.ciqfunctions.udf.CIQ(A690, "IQ_MARKETCAP", F690)</f>
        <v>678.86630000000002</v>
      </c>
      <c r="J690">
        <f>_xll.ciqfunctions.udf.CIQ(A690, "IQ_PRICE_VOL_HIST_6MTH", F690)</f>
        <v>46.430100000000003</v>
      </c>
      <c r="K690">
        <f>_xll.ciqfunctions.udf.CIQ(A690, "IQ_LASTSALEPRICE", WORKDAY(F690,-1))</f>
        <v>9.65</v>
      </c>
      <c r="L690">
        <f>_xll.ciqfunctions.udf.CIQ(A690, "IQ_LASTSALEPRICE", F690)</f>
        <v>9.6199999999999992</v>
      </c>
      <c r="M690">
        <f>_xll.ciqfunctions.udf.CIQ(A690, "IQ_LASTSALEPRICE", WORKDAY(F690,5))</f>
        <v>9.09</v>
      </c>
      <c r="N690">
        <f t="shared" si="20"/>
        <v>-3.1136506732795813E-3</v>
      </c>
      <c r="O690">
        <f t="shared" si="21"/>
        <v>-5.9783007161507126E-2</v>
      </c>
      <c r="P690">
        <f>LN(_xll.ciqfunctions.udf.CIQ("XBI", "IQ_LASTSALEPRICE", WORKDAY(F690,-1))/_xll.ciqfunctions.udf.CIQ("XBI", "IQ_LASTSALEPRICE", WORKDAY(F690,1)))</f>
        <v>-1.6060184592356547E-2</v>
      </c>
      <c r="Q690">
        <f>LN(_xll.ciqfunctions.udf.CIQ("XBI", "IQ_LASTSALEPRICE", WORKDAY(F690,-1))/_xll.ciqfunctions.udf.CIQ("XBI", "IQ_LASTSALEPRICE", WORKDAY(F690,5)))</f>
        <v>4.3398868400250638E-2</v>
      </c>
      <c r="R690">
        <f>_xll.ciqfunctions.udf.CIQ(A690, "IQ_SHORT_INTEREST_PERCENT", F690)</f>
        <v>5.60663</v>
      </c>
      <c r="S690">
        <f>_xll.ciqfunctions.udf.CIQ(A690, "IQ_BETA_1YR_RSQ", F690)</f>
        <v>3.1550000000000002E-2</v>
      </c>
      <c r="T690">
        <f>_xll.ciqfunctions.udf.CIQ(A690, "IQ_VALUE_TRADED", F690)</f>
        <v>2.9262100000000002</v>
      </c>
    </row>
    <row r="691" spans="1:20" x14ac:dyDescent="0.3">
      <c r="A691" t="s">
        <v>829</v>
      </c>
      <c r="B691" t="s">
        <v>43</v>
      </c>
      <c r="C691" t="s">
        <v>2018</v>
      </c>
      <c r="D691" t="s">
        <v>2019</v>
      </c>
      <c r="E691" t="s">
        <v>17</v>
      </c>
      <c r="F691" s="1">
        <v>45390</v>
      </c>
      <c r="G691" t="s">
        <v>2020</v>
      </c>
      <c r="H691">
        <v>192</v>
      </c>
      <c r="I691">
        <f>_xll.ciqfunctions.udf.CIQ(A691, "IQ_MARKETCAP", F691)</f>
        <v>16467.60829</v>
      </c>
      <c r="J691">
        <f>_xll.ciqfunctions.udf.CIQ(A691, "IQ_PRICE_VOL_HIST_6MTH", F691)</f>
        <v>29.189399999999999</v>
      </c>
      <c r="K691">
        <f>_xll.ciqfunctions.udf.CIQ(A691, "IQ_LASTSALEPRICE", WORKDAY(F691,-1))</f>
        <v>86.95</v>
      </c>
      <c r="L691">
        <f>_xll.ciqfunctions.udf.CIQ(A691, "IQ_LASTSALEPRICE", F691)</f>
        <v>87.28</v>
      </c>
      <c r="M691">
        <f>_xll.ciqfunctions.udf.CIQ(A691, "IQ_LASTSALEPRICE", WORKDAY(F691,5))</f>
        <v>91.51</v>
      </c>
      <c r="N691">
        <f t="shared" si="20"/>
        <v>3.7881007245233493E-3</v>
      </c>
      <c r="O691">
        <f t="shared" si="21"/>
        <v>5.1115015126994734E-2</v>
      </c>
      <c r="P691">
        <f>LN(_xll.ciqfunctions.udf.CIQ("XBI", "IQ_LASTSALEPRICE", WORKDAY(F691,-1))/_xll.ciqfunctions.udf.CIQ("XBI", "IQ_LASTSALEPRICE", WORKDAY(F691,1)))</f>
        <v>-1.6060184592356547E-2</v>
      </c>
      <c r="Q691">
        <f>LN(_xll.ciqfunctions.udf.CIQ("XBI", "IQ_LASTSALEPRICE", WORKDAY(F691,-1))/_xll.ciqfunctions.udf.CIQ("XBI", "IQ_LASTSALEPRICE", WORKDAY(F691,5)))</f>
        <v>4.3398868400250638E-2</v>
      </c>
      <c r="R691">
        <f>_xll.ciqfunctions.udf.CIQ(A691, "IQ_SHORT_INTEREST_PERCENT", F691)</f>
        <v>1.5710999999999999</v>
      </c>
      <c r="S691">
        <f>_xll.ciqfunctions.udf.CIQ(A691, "IQ_BETA_1YR_RSQ", F691)</f>
        <v>5.8790000000000002E-2</v>
      </c>
      <c r="T691">
        <f>_xll.ciqfunctions.udf.CIQ(A691, "IQ_VALUE_TRADED", F691)</f>
        <v>117.38881000000001</v>
      </c>
    </row>
    <row r="692" spans="1:20" x14ac:dyDescent="0.3">
      <c r="A692" t="s">
        <v>1789</v>
      </c>
      <c r="B692" s="2">
        <v>1.82</v>
      </c>
      <c r="C692" t="s">
        <v>2021</v>
      </c>
      <c r="D692" t="s">
        <v>1791</v>
      </c>
      <c r="E692" t="s">
        <v>36</v>
      </c>
      <c r="F692" s="1">
        <v>45390</v>
      </c>
      <c r="G692" t="s">
        <v>2022</v>
      </c>
      <c r="H692">
        <v>84</v>
      </c>
      <c r="I692">
        <f>_xll.ciqfunctions.udf.CIQ(A692, "IQ_MARKETCAP", F692)</f>
        <v>108.7032</v>
      </c>
      <c r="J692">
        <f>_xll.ciqfunctions.udf.CIQ(A692, "IQ_PRICE_VOL_HIST_6MTH", F692)</f>
        <v>102.34399999999999</v>
      </c>
      <c r="K692">
        <f>_xll.ciqfunctions.udf.CIQ(A692, "IQ_LASTSALEPRICE", WORKDAY(F692,-1))</f>
        <v>1.8</v>
      </c>
      <c r="L692">
        <f>_xll.ciqfunctions.udf.CIQ(A692, "IQ_LASTSALEPRICE", F692)</f>
        <v>1.82</v>
      </c>
      <c r="M692">
        <f>_xll.ciqfunctions.udf.CIQ(A692, "IQ_LASTSALEPRICE", WORKDAY(F692,5))</f>
        <v>1.7549999999999999</v>
      </c>
      <c r="N692">
        <f t="shared" si="20"/>
        <v>1.1049836186584935E-2</v>
      </c>
      <c r="O692">
        <f t="shared" si="21"/>
        <v>-2.5317807984290012E-2</v>
      </c>
      <c r="P692">
        <f>LN(_xll.ciqfunctions.udf.CIQ("XBI", "IQ_LASTSALEPRICE", WORKDAY(F692,-1))/_xll.ciqfunctions.udf.CIQ("XBI", "IQ_LASTSALEPRICE", WORKDAY(F692,1)))</f>
        <v>-1.6060184592356547E-2</v>
      </c>
      <c r="Q692">
        <f>LN(_xll.ciqfunctions.udf.CIQ("XBI", "IQ_LASTSALEPRICE", WORKDAY(F692,-1))/_xll.ciqfunctions.udf.CIQ("XBI", "IQ_LASTSALEPRICE", WORKDAY(F692,5)))</f>
        <v>4.3398868400250638E-2</v>
      </c>
      <c r="R692">
        <f>_xll.ciqfunctions.udf.CIQ(A692, "IQ_SHORT_INTEREST_PERCENT", F692)</f>
        <v>0.80386999999999997</v>
      </c>
      <c r="S692">
        <f>_xll.ciqfunctions.udf.CIQ(A692, "IQ_BETA_1YR_RSQ", F692)</f>
        <v>1.554E-2</v>
      </c>
      <c r="T692">
        <f>_xll.ciqfunctions.udf.CIQ(A692, "IQ_VALUE_TRADED", F692)</f>
        <v>0.45022000000000001</v>
      </c>
    </row>
    <row r="693" spans="1:20" x14ac:dyDescent="0.3">
      <c r="A693" t="s">
        <v>2023</v>
      </c>
      <c r="B693" s="2">
        <v>2.97</v>
      </c>
      <c r="C693" t="s">
        <v>2024</v>
      </c>
      <c r="D693" t="s">
        <v>679</v>
      </c>
      <c r="E693" t="s">
        <v>22</v>
      </c>
      <c r="F693" s="1">
        <v>45390</v>
      </c>
      <c r="G693" t="s">
        <v>2025</v>
      </c>
      <c r="H693">
        <v>97</v>
      </c>
      <c r="I693">
        <f>_xll.ciqfunctions.udf.CIQ(A693, "IQ_MARKETCAP", F693)</f>
        <v>0</v>
      </c>
      <c r="J693">
        <f>_xll.ciqfunctions.udf.CIQ(A693, "IQ_PRICE_VOL_HIST_6MTH", F693)</f>
        <v>0</v>
      </c>
      <c r="K693">
        <f>_xll.ciqfunctions.udf.CIQ(A693, "IQ_LASTSALEPRICE", WORKDAY(F693,-1))</f>
        <v>0</v>
      </c>
      <c r="L693">
        <f>_xll.ciqfunctions.udf.CIQ(A693, "IQ_LASTSALEPRICE", F693)</f>
        <v>0</v>
      </c>
      <c r="M693">
        <f>_xll.ciqfunctions.udf.CIQ(A693, "IQ_LASTSALEPRICE", WORKDAY(F693,5))</f>
        <v>0</v>
      </c>
      <c r="N693" t="e">
        <f t="shared" si="20"/>
        <v>#DIV/0!</v>
      </c>
      <c r="O693" t="e">
        <f t="shared" si="21"/>
        <v>#DIV/0!</v>
      </c>
      <c r="P693">
        <f>LN(_xll.ciqfunctions.udf.CIQ("XBI", "IQ_LASTSALEPRICE", WORKDAY(F693,-1))/_xll.ciqfunctions.udf.CIQ("XBI", "IQ_LASTSALEPRICE", WORKDAY(F693,1)))</f>
        <v>-1.6060184592356547E-2</v>
      </c>
      <c r="Q693">
        <f>LN(_xll.ciqfunctions.udf.CIQ("XBI", "IQ_LASTSALEPRICE", WORKDAY(F693,-1))/_xll.ciqfunctions.udf.CIQ("XBI", "IQ_LASTSALEPRICE", WORKDAY(F693,5)))</f>
        <v>4.3398868400250638E-2</v>
      </c>
      <c r="R693">
        <f>_xll.ciqfunctions.udf.CIQ(A693, "IQ_SHORT_INTEREST_PERCENT", F693)</f>
        <v>0</v>
      </c>
      <c r="S693">
        <f>_xll.ciqfunctions.udf.CIQ(A693, "IQ_BETA_1YR_RSQ", F693)</f>
        <v>0</v>
      </c>
      <c r="T693">
        <f>_xll.ciqfunctions.udf.CIQ(A693, "IQ_VALUE_TRADED", F693)</f>
        <v>0</v>
      </c>
    </row>
    <row r="694" spans="1:20" x14ac:dyDescent="0.3">
      <c r="A694" t="s">
        <v>382</v>
      </c>
      <c r="B694" t="s">
        <v>43</v>
      </c>
      <c r="C694" t="s">
        <v>383</v>
      </c>
      <c r="D694" t="s">
        <v>104</v>
      </c>
      <c r="E694" t="s">
        <v>17</v>
      </c>
      <c r="F694" s="1">
        <v>45390</v>
      </c>
      <c r="G694" t="s">
        <v>2026</v>
      </c>
      <c r="H694">
        <v>13</v>
      </c>
      <c r="I694" t="str">
        <f>_xll.ciqfunctions.udf.CIQ(A694, "IQ_MARKETCAP", F694)</f>
        <v>(Invalid Identifier)</v>
      </c>
      <c r="J694" t="str">
        <f>_xll.ciqfunctions.udf.CIQ(A694, "IQ_PRICE_VOL_HIST_6MTH", F694)</f>
        <v>(Invalid Identifier)</v>
      </c>
      <c r="K694" t="str">
        <f>_xll.ciqfunctions.udf.CIQ(A694, "IQ_LASTSALEPRICE", WORKDAY(F694,-1))</f>
        <v>(Invalid Identifier)</v>
      </c>
      <c r="L694" t="str">
        <f>_xll.ciqfunctions.udf.CIQ(A694, "IQ_LASTSALEPRICE", F694)</f>
        <v>(Invalid Identifier)</v>
      </c>
      <c r="M694" t="str">
        <f>_xll.ciqfunctions.udf.CIQ(A694, "IQ_LASTSALEPRICE", WORKDAY(F694,5))</f>
        <v>(Invalid Identifier)</v>
      </c>
      <c r="N694" t="e">
        <f t="shared" si="20"/>
        <v>#VALUE!</v>
      </c>
      <c r="O694" t="e">
        <f t="shared" si="21"/>
        <v>#VALUE!</v>
      </c>
      <c r="P694">
        <f>LN(_xll.ciqfunctions.udf.CIQ("XBI", "IQ_LASTSALEPRICE", WORKDAY(F694,-1))/_xll.ciqfunctions.udf.CIQ("XBI", "IQ_LASTSALEPRICE", WORKDAY(F694,1)))</f>
        <v>-1.6060184592356547E-2</v>
      </c>
      <c r="Q694">
        <f>LN(_xll.ciqfunctions.udf.CIQ("XBI", "IQ_LASTSALEPRICE", WORKDAY(F694,-1))/_xll.ciqfunctions.udf.CIQ("XBI", "IQ_LASTSALEPRICE", WORKDAY(F694,5)))</f>
        <v>4.3398868400250638E-2</v>
      </c>
      <c r="R694" t="str">
        <f>_xll.ciqfunctions.udf.CIQ(A694, "IQ_SHORT_INTEREST_PERCENT", F694)</f>
        <v>(Invalid Identifier)</v>
      </c>
      <c r="S694" t="str">
        <f>_xll.ciqfunctions.udf.CIQ(A694, "IQ_BETA_1YR_RSQ", F694)</f>
        <v>(Invalid Identifier)</v>
      </c>
      <c r="T694" t="str">
        <f>_xll.ciqfunctions.udf.CIQ(A694, "IQ_VALUE_TRADED", F694)</f>
        <v>(Invalid Identifier)</v>
      </c>
    </row>
    <row r="695" spans="1:20" x14ac:dyDescent="0.3">
      <c r="A695" t="s">
        <v>164</v>
      </c>
      <c r="B695" s="2">
        <v>4.78</v>
      </c>
      <c r="C695" t="s">
        <v>165</v>
      </c>
      <c r="D695" t="s">
        <v>104</v>
      </c>
      <c r="E695" t="s">
        <v>22</v>
      </c>
      <c r="F695" s="1">
        <v>45390</v>
      </c>
      <c r="G695" t="s">
        <v>2027</v>
      </c>
      <c r="H695">
        <v>5</v>
      </c>
      <c r="I695">
        <f>_xll.ciqfunctions.udf.CIQ(A695, "IQ_MARKETCAP", F695)</f>
        <v>102.35596</v>
      </c>
      <c r="J695">
        <f>_xll.ciqfunctions.udf.CIQ(A695, "IQ_PRICE_VOL_HIST_6MTH", F695)</f>
        <v>152.47550000000001</v>
      </c>
      <c r="K695">
        <f>_xll.ciqfunctions.udf.CIQ(A695, "IQ_LASTSALEPRICE", WORKDAY(F695,-1))</f>
        <v>111</v>
      </c>
      <c r="L695">
        <f>_xll.ciqfunctions.udf.CIQ(A695, "IQ_LASTSALEPRICE", F695)</f>
        <v>95.6</v>
      </c>
      <c r="M695">
        <f>_xll.ciqfunctions.udf.CIQ(A695, "IQ_LASTSALEPRICE", WORKDAY(F695,5))</f>
        <v>17.399999999999999</v>
      </c>
      <c r="N695">
        <f t="shared" si="20"/>
        <v>-0.14935738125497858</v>
      </c>
      <c r="O695">
        <f t="shared" si="21"/>
        <v>-1.8530599950918509</v>
      </c>
      <c r="P695">
        <f>LN(_xll.ciqfunctions.udf.CIQ("XBI", "IQ_LASTSALEPRICE", WORKDAY(F695,-1))/_xll.ciqfunctions.udf.CIQ("XBI", "IQ_LASTSALEPRICE", WORKDAY(F695,1)))</f>
        <v>-1.6060184592356547E-2</v>
      </c>
      <c r="Q695">
        <f>LN(_xll.ciqfunctions.udf.CIQ("XBI", "IQ_LASTSALEPRICE", WORKDAY(F695,-1))/_xll.ciqfunctions.udf.CIQ("XBI", "IQ_LASTSALEPRICE", WORKDAY(F695,5)))</f>
        <v>4.3398868400250638E-2</v>
      </c>
      <c r="R695">
        <f>_xll.ciqfunctions.udf.CIQ(A695, "IQ_SHORT_INTEREST_PERCENT", F695)</f>
        <v>4.0334399999999997</v>
      </c>
      <c r="S695">
        <f>_xll.ciqfunctions.udf.CIQ(A695, "IQ_BETA_1YR_RSQ", F695)</f>
        <v>2.6900000000000001E-3</v>
      </c>
      <c r="T695">
        <f>_xll.ciqfunctions.udf.CIQ(A695, "IQ_VALUE_TRADED", F695)</f>
        <v>10.609690000000001</v>
      </c>
    </row>
    <row r="696" spans="1:20" x14ac:dyDescent="0.3">
      <c r="A696" t="s">
        <v>405</v>
      </c>
      <c r="B696" s="2">
        <v>5.88</v>
      </c>
      <c r="C696" t="s">
        <v>1153</v>
      </c>
      <c r="D696" t="s">
        <v>1154</v>
      </c>
      <c r="E696" t="s">
        <v>17</v>
      </c>
      <c r="F696" s="1">
        <v>45390</v>
      </c>
      <c r="G696" t="s">
        <v>2028</v>
      </c>
      <c r="H696">
        <v>66</v>
      </c>
      <c r="I696">
        <f>_xll.ciqfunctions.udf.CIQ(A696, "IQ_MARKETCAP", F696)</f>
        <v>262.70175</v>
      </c>
      <c r="J696">
        <f>_xll.ciqfunctions.udf.CIQ(A696, "IQ_PRICE_VOL_HIST_6MTH", F696)</f>
        <v>115.91330000000001</v>
      </c>
      <c r="K696">
        <f>_xll.ciqfunctions.udf.CIQ(A696, "IQ_LASTSALEPRICE", WORKDAY(F696,-1))</f>
        <v>5.84</v>
      </c>
      <c r="L696">
        <f>_xll.ciqfunctions.udf.CIQ(A696, "IQ_LASTSALEPRICE", F696)</f>
        <v>5.88</v>
      </c>
      <c r="M696">
        <f>_xll.ciqfunctions.udf.CIQ(A696, "IQ_LASTSALEPRICE", WORKDAY(F696,5))</f>
        <v>5.28</v>
      </c>
      <c r="N696">
        <f t="shared" si="20"/>
        <v>6.8259650703998906E-3</v>
      </c>
      <c r="O696">
        <f t="shared" si="21"/>
        <v>-0.10080469912196552</v>
      </c>
      <c r="P696">
        <f>LN(_xll.ciqfunctions.udf.CIQ("XBI", "IQ_LASTSALEPRICE", WORKDAY(F696,-1))/_xll.ciqfunctions.udf.CIQ("XBI", "IQ_LASTSALEPRICE", WORKDAY(F696,1)))</f>
        <v>-1.6060184592356547E-2</v>
      </c>
      <c r="Q696">
        <f>LN(_xll.ciqfunctions.udf.CIQ("XBI", "IQ_LASTSALEPRICE", WORKDAY(F696,-1))/_xll.ciqfunctions.udf.CIQ("XBI", "IQ_LASTSALEPRICE", WORKDAY(F696,5)))</f>
        <v>4.3398868400250638E-2</v>
      </c>
      <c r="R696">
        <f>_xll.ciqfunctions.udf.CIQ(A696, "IQ_SHORT_INTEREST_PERCENT", F696)</f>
        <v>6.2972099999999998</v>
      </c>
      <c r="S696">
        <f>_xll.ciqfunctions.udf.CIQ(A696, "IQ_BETA_1YR_RSQ", F696)</f>
        <v>1.7819999999999999E-2</v>
      </c>
      <c r="T696">
        <f>_xll.ciqfunctions.udf.CIQ(A696, "IQ_VALUE_TRADED", F696)</f>
        <v>4.9770899999999996</v>
      </c>
    </row>
    <row r="697" spans="1:20" x14ac:dyDescent="0.3">
      <c r="A697" t="s">
        <v>797</v>
      </c>
      <c r="B697" s="2">
        <v>68.44</v>
      </c>
      <c r="C697" t="s">
        <v>2029</v>
      </c>
      <c r="D697" t="s">
        <v>2030</v>
      </c>
      <c r="E697" t="s">
        <v>89</v>
      </c>
      <c r="F697" s="1">
        <v>45390</v>
      </c>
      <c r="G697" t="s">
        <v>2031</v>
      </c>
      <c r="H697">
        <v>72</v>
      </c>
      <c r="I697">
        <f>_xll.ciqfunctions.udf.CIQ(A697, "IQ_MARKETCAP", F697)</f>
        <v>4384.7891499999996</v>
      </c>
      <c r="J697">
        <f>_xll.ciqfunctions.udf.CIQ(A697, "IQ_PRICE_VOL_HIST_6MTH", F697)</f>
        <v>41.522300000000001</v>
      </c>
      <c r="K697">
        <f>_xll.ciqfunctions.udf.CIQ(A697, "IQ_LASTSALEPRICE", WORKDAY(F697,-1))</f>
        <v>70.2</v>
      </c>
      <c r="L697">
        <f>_xll.ciqfunctions.udf.CIQ(A697, "IQ_LASTSALEPRICE", F697)</f>
        <v>68.44</v>
      </c>
      <c r="M697">
        <f>_xll.ciqfunctions.udf.CIQ(A697, "IQ_LASTSALEPRICE", WORKDAY(F697,5))</f>
        <v>65.28</v>
      </c>
      <c r="N697">
        <f t="shared" si="20"/>
        <v>-2.5390862007772807E-2</v>
      </c>
      <c r="O697">
        <f t="shared" si="21"/>
        <v>-7.2662600375913836E-2</v>
      </c>
      <c r="P697">
        <f>LN(_xll.ciqfunctions.udf.CIQ("XBI", "IQ_LASTSALEPRICE", WORKDAY(F697,-1))/_xll.ciqfunctions.udf.CIQ("XBI", "IQ_LASTSALEPRICE", WORKDAY(F697,1)))</f>
        <v>-1.6060184592356547E-2</v>
      </c>
      <c r="Q697">
        <f>LN(_xll.ciqfunctions.udf.CIQ("XBI", "IQ_LASTSALEPRICE", WORKDAY(F697,-1))/_xll.ciqfunctions.udf.CIQ("XBI", "IQ_LASTSALEPRICE", WORKDAY(F697,5)))</f>
        <v>4.3398868400250638E-2</v>
      </c>
      <c r="R697">
        <f>_xll.ciqfunctions.udf.CIQ(A697, "IQ_SHORT_INTEREST_PERCENT", F697)</f>
        <v>11.0059</v>
      </c>
      <c r="S697">
        <f>_xll.ciqfunctions.udf.CIQ(A697, "IQ_BETA_1YR_RSQ", F697)</f>
        <v>0.11771</v>
      </c>
      <c r="T697">
        <f>_xll.ciqfunctions.udf.CIQ(A697, "IQ_VALUE_TRADED", F697)</f>
        <v>86.929550000000006</v>
      </c>
    </row>
    <row r="698" spans="1:20" x14ac:dyDescent="0.3">
      <c r="A698" t="s">
        <v>2032</v>
      </c>
      <c r="B698" s="2">
        <v>44.01</v>
      </c>
      <c r="C698" t="s">
        <v>2033</v>
      </c>
      <c r="D698" t="s">
        <v>2034</v>
      </c>
      <c r="E698" t="s">
        <v>89</v>
      </c>
      <c r="F698" s="1">
        <v>45390</v>
      </c>
      <c r="G698" t="s">
        <v>2035</v>
      </c>
      <c r="H698">
        <v>75</v>
      </c>
      <c r="I698">
        <f>_xll.ciqfunctions.udf.CIQ(A698, "IQ_MARKETCAP", F698)</f>
        <v>2581.1987800000002</v>
      </c>
      <c r="J698">
        <f>_xll.ciqfunctions.udf.CIQ(A698, "IQ_PRICE_VOL_HIST_6MTH", F698)</f>
        <v>52.941299999999998</v>
      </c>
      <c r="K698">
        <f>_xll.ciqfunctions.udf.CIQ(A698, "IQ_LASTSALEPRICE", WORKDAY(F698,-1))</f>
        <v>44.7</v>
      </c>
      <c r="L698">
        <f>_xll.ciqfunctions.udf.CIQ(A698, "IQ_LASTSALEPRICE", F698)</f>
        <v>44.01</v>
      </c>
      <c r="M698">
        <f>_xll.ciqfunctions.udf.CIQ(A698, "IQ_LASTSALEPRICE", WORKDAY(F698,5))</f>
        <v>41.27</v>
      </c>
      <c r="N698">
        <f t="shared" si="20"/>
        <v>-1.5556620796523165E-2</v>
      </c>
      <c r="O698">
        <f t="shared" si="21"/>
        <v>-7.9837657855032731E-2</v>
      </c>
      <c r="P698">
        <f>LN(_xll.ciqfunctions.udf.CIQ("XBI", "IQ_LASTSALEPRICE", WORKDAY(F698,-1))/_xll.ciqfunctions.udf.CIQ("XBI", "IQ_LASTSALEPRICE", WORKDAY(F698,1)))</f>
        <v>-1.6060184592356547E-2</v>
      </c>
      <c r="Q698">
        <f>LN(_xll.ciqfunctions.udf.CIQ("XBI", "IQ_LASTSALEPRICE", WORKDAY(F698,-1))/_xll.ciqfunctions.udf.CIQ("XBI", "IQ_LASTSALEPRICE", WORKDAY(F698,5)))</f>
        <v>4.3398868400250638E-2</v>
      </c>
      <c r="R698">
        <f>_xll.ciqfunctions.udf.CIQ(A698, "IQ_SHORT_INTEREST_PERCENT", F698)</f>
        <v>6.9870900000000002</v>
      </c>
      <c r="S698">
        <f>_xll.ciqfunctions.udf.CIQ(A698, "IQ_BETA_1YR_RSQ", F698)</f>
        <v>0.25394</v>
      </c>
      <c r="T698">
        <f>_xll.ciqfunctions.udf.CIQ(A698, "IQ_VALUE_TRADED", F698)</f>
        <v>20.02195</v>
      </c>
    </row>
    <row r="699" spans="1:20" x14ac:dyDescent="0.3">
      <c r="A699" t="s">
        <v>2036</v>
      </c>
      <c r="B699" t="s">
        <v>43</v>
      </c>
      <c r="C699" t="s">
        <v>2033</v>
      </c>
      <c r="D699" t="s">
        <v>2034</v>
      </c>
      <c r="E699" t="s">
        <v>89</v>
      </c>
      <c r="F699" s="1">
        <v>45390</v>
      </c>
      <c r="G699" t="s">
        <v>2035</v>
      </c>
      <c r="H699">
        <v>661</v>
      </c>
      <c r="I699">
        <f>_xll.ciqfunctions.udf.CIQ(A699, "IQ_MARKETCAP", F699)</f>
        <v>133454.91717</v>
      </c>
      <c r="J699">
        <f>_xll.ciqfunctions.udf.CIQ(A699, "IQ_PRICE_VOL_HIST_6MTH", F699)</f>
        <v>36.941699999999997</v>
      </c>
      <c r="K699">
        <f>_xll.ciqfunctions.udf.CIQ(A699, "IQ_LASTSALEPRICE", WORKDAY(F699,-1))</f>
        <v>2057</v>
      </c>
      <c r="L699">
        <f>_xll.ciqfunctions.udf.CIQ(A699, "IQ_LASTSALEPRICE", F699)</f>
        <v>2051</v>
      </c>
      <c r="M699">
        <f>_xll.ciqfunctions.udf.CIQ(A699, "IQ_LASTSALEPRICE", WORKDAY(F699,5))</f>
        <v>2058</v>
      </c>
      <c r="N699">
        <f t="shared" si="20"/>
        <v>-2.9211315805765083E-3</v>
      </c>
      <c r="O699">
        <f t="shared" si="21"/>
        <v>4.8602674103785057E-4</v>
      </c>
      <c r="P699">
        <f>LN(_xll.ciqfunctions.udf.CIQ("XBI", "IQ_LASTSALEPRICE", WORKDAY(F699,-1))/_xll.ciqfunctions.udf.CIQ("XBI", "IQ_LASTSALEPRICE", WORKDAY(F699,1)))</f>
        <v>-1.6060184592356547E-2</v>
      </c>
      <c r="Q699">
        <f>LN(_xll.ciqfunctions.udf.CIQ("XBI", "IQ_LASTSALEPRICE", WORKDAY(F699,-1))/_xll.ciqfunctions.udf.CIQ("XBI", "IQ_LASTSALEPRICE", WORKDAY(F699,5)))</f>
        <v>4.3398868400250638E-2</v>
      </c>
      <c r="R699">
        <f>_xll.ciqfunctions.udf.CIQ(A699, "IQ_SHORT_INTEREST_PERCENT", F699)</f>
        <v>0</v>
      </c>
      <c r="S699">
        <f>_xll.ciqfunctions.udf.CIQ(A699, "IQ_BETA_1YR_RSQ", F699)</f>
        <v>9.4E-2</v>
      </c>
      <c r="T699">
        <f>_xll.ciqfunctions.udf.CIQ(A699, "IQ_VALUE_TRADED", F699)</f>
        <v>132.87609</v>
      </c>
    </row>
    <row r="700" spans="1:20" x14ac:dyDescent="0.3">
      <c r="A700" t="s">
        <v>700</v>
      </c>
      <c r="B700" s="2">
        <v>1.32</v>
      </c>
      <c r="C700" t="s">
        <v>2037</v>
      </c>
      <c r="D700" t="s">
        <v>253</v>
      </c>
      <c r="E700" t="s">
        <v>89</v>
      </c>
      <c r="F700" s="1">
        <v>45390</v>
      </c>
      <c r="G700" t="s">
        <v>2038</v>
      </c>
      <c r="H700">
        <v>4</v>
      </c>
      <c r="I700">
        <f>_xll.ciqfunctions.udf.CIQ(A700, "IQ_MARKETCAP", F700)</f>
        <v>45.802750000000003</v>
      </c>
      <c r="J700">
        <f>_xll.ciqfunctions.udf.CIQ(A700, "IQ_PRICE_VOL_HIST_6MTH", F700)</f>
        <v>84.488200000000006</v>
      </c>
      <c r="K700">
        <f>_xll.ciqfunctions.udf.CIQ(A700, "IQ_LASTSALEPRICE", WORKDAY(F700,-1))</f>
        <v>15.6</v>
      </c>
      <c r="L700">
        <f>_xll.ciqfunctions.udf.CIQ(A700, "IQ_LASTSALEPRICE", F700)</f>
        <v>13.2</v>
      </c>
      <c r="M700">
        <f>_xll.ciqfunctions.udf.CIQ(A700, "IQ_LASTSALEPRICE", WORKDAY(F700,5))</f>
        <v>9.0850000000000009</v>
      </c>
      <c r="N700">
        <f t="shared" si="20"/>
        <v>-0.16705408466316621</v>
      </c>
      <c r="O700">
        <f t="shared" si="21"/>
        <v>-0.54064621240735677</v>
      </c>
      <c r="P700">
        <f>LN(_xll.ciqfunctions.udf.CIQ("XBI", "IQ_LASTSALEPRICE", WORKDAY(F700,-1))/_xll.ciqfunctions.udf.CIQ("XBI", "IQ_LASTSALEPRICE", WORKDAY(F700,1)))</f>
        <v>-1.6060184592356547E-2</v>
      </c>
      <c r="Q700">
        <f>LN(_xll.ciqfunctions.udf.CIQ("XBI", "IQ_LASTSALEPRICE", WORKDAY(F700,-1))/_xll.ciqfunctions.udf.CIQ("XBI", "IQ_LASTSALEPRICE", WORKDAY(F700,5)))</f>
        <v>4.3398868400250638E-2</v>
      </c>
      <c r="R700">
        <f>_xll.ciqfunctions.udf.CIQ(A700, "IQ_SHORT_INTEREST_PERCENT", F700)</f>
        <v>0.13389000000000001</v>
      </c>
      <c r="S700">
        <f>_xll.ciqfunctions.udf.CIQ(A700, "IQ_BETA_1YR_RSQ", F700)</f>
        <v>1.6559999999999998E-2</v>
      </c>
      <c r="T700">
        <f>_xll.ciqfunctions.udf.CIQ(A700, "IQ_VALUE_TRADED", F700)</f>
        <v>0.60655000000000003</v>
      </c>
    </row>
    <row r="701" spans="1:20" x14ac:dyDescent="0.3">
      <c r="A701" t="s">
        <v>839</v>
      </c>
      <c r="B701" s="2">
        <v>6.43</v>
      </c>
      <c r="C701" t="s">
        <v>2039</v>
      </c>
      <c r="D701" t="s">
        <v>2040</v>
      </c>
      <c r="E701" t="s">
        <v>89</v>
      </c>
      <c r="F701" s="1">
        <v>45390</v>
      </c>
      <c r="G701" t="s">
        <v>2041</v>
      </c>
      <c r="H701">
        <v>54</v>
      </c>
      <c r="I701">
        <f>_xll.ciqfunctions.udf.CIQ(A701, "IQ_MARKETCAP", F701)</f>
        <v>188.70421999999999</v>
      </c>
      <c r="J701">
        <f>_xll.ciqfunctions.udf.CIQ(A701, "IQ_PRICE_VOL_HIST_6MTH", F701)</f>
        <v>217.87620000000001</v>
      </c>
      <c r="K701">
        <f>_xll.ciqfunctions.udf.CIQ(A701, "IQ_LASTSALEPRICE", WORKDAY(F701,-1))</f>
        <v>6.64</v>
      </c>
      <c r="L701">
        <f>_xll.ciqfunctions.udf.CIQ(A701, "IQ_LASTSALEPRICE", F701)</f>
        <v>6.43</v>
      </c>
      <c r="M701">
        <f>_xll.ciqfunctions.udf.CIQ(A701, "IQ_LASTSALEPRICE", WORKDAY(F701,5))</f>
        <v>5.82</v>
      </c>
      <c r="N701">
        <f t="shared" si="20"/>
        <v>-3.213742523881441E-2</v>
      </c>
      <c r="O701">
        <f t="shared" si="21"/>
        <v>-0.13181170174499587</v>
      </c>
      <c r="P701">
        <f>LN(_xll.ciqfunctions.udf.CIQ("XBI", "IQ_LASTSALEPRICE", WORKDAY(F701,-1))/_xll.ciqfunctions.udf.CIQ("XBI", "IQ_LASTSALEPRICE", WORKDAY(F701,1)))</f>
        <v>-1.6060184592356547E-2</v>
      </c>
      <c r="Q701">
        <f>LN(_xll.ciqfunctions.udf.CIQ("XBI", "IQ_LASTSALEPRICE", WORKDAY(F701,-1))/_xll.ciqfunctions.udf.CIQ("XBI", "IQ_LASTSALEPRICE", WORKDAY(F701,5)))</f>
        <v>4.3398868400250638E-2</v>
      </c>
      <c r="R701">
        <f>_xll.ciqfunctions.udf.CIQ(A701, "IQ_SHORT_INTEREST_PERCENT", F701)</f>
        <v>0.50183</v>
      </c>
      <c r="S701">
        <f>_xll.ciqfunctions.udf.CIQ(A701, "IQ_BETA_1YR_RSQ", F701)</f>
        <v>1.5949999999999999E-2</v>
      </c>
      <c r="T701">
        <f>_xll.ciqfunctions.udf.CIQ(A701, "IQ_VALUE_TRADED", F701)</f>
        <v>99.970770000000002</v>
      </c>
    </row>
    <row r="702" spans="1:20" x14ac:dyDescent="0.3">
      <c r="A702" t="s">
        <v>1040</v>
      </c>
      <c r="B702" s="2">
        <v>6.52</v>
      </c>
      <c r="C702" t="s">
        <v>2042</v>
      </c>
      <c r="D702" t="s">
        <v>104</v>
      </c>
      <c r="E702" t="s">
        <v>89</v>
      </c>
      <c r="F702" s="1">
        <v>45390</v>
      </c>
      <c r="G702" t="s">
        <v>2043</v>
      </c>
      <c r="H702">
        <v>139</v>
      </c>
      <c r="I702">
        <f>_xll.ciqfunctions.udf.CIQ(A702, "IQ_MARKETCAP", F702)</f>
        <v>623.39934000000005</v>
      </c>
      <c r="J702">
        <f>_xll.ciqfunctions.udf.CIQ(A702, "IQ_PRICE_VOL_HIST_6MTH", F702)</f>
        <v>149.77500000000001</v>
      </c>
      <c r="K702">
        <f>_xll.ciqfunctions.udf.CIQ(A702, "IQ_LASTSALEPRICE", WORKDAY(F702,-1))</f>
        <v>6.71</v>
      </c>
      <c r="L702">
        <f>_xll.ciqfunctions.udf.CIQ(A702, "IQ_LASTSALEPRICE", F702)</f>
        <v>6.52</v>
      </c>
      <c r="M702">
        <f>_xll.ciqfunctions.udf.CIQ(A702, "IQ_LASTSALEPRICE", WORKDAY(F702,5))</f>
        <v>6.5</v>
      </c>
      <c r="N702">
        <f t="shared" si="20"/>
        <v>-2.8724575045028851E-2</v>
      </c>
      <c r="O702">
        <f t="shared" si="21"/>
        <v>-3.1796774081998949E-2</v>
      </c>
      <c r="P702">
        <f>LN(_xll.ciqfunctions.udf.CIQ("XBI", "IQ_LASTSALEPRICE", WORKDAY(F702,-1))/_xll.ciqfunctions.udf.CIQ("XBI", "IQ_LASTSALEPRICE", WORKDAY(F702,1)))</f>
        <v>-1.6060184592356547E-2</v>
      </c>
      <c r="Q702">
        <f>LN(_xll.ciqfunctions.udf.CIQ("XBI", "IQ_LASTSALEPRICE", WORKDAY(F702,-1))/_xll.ciqfunctions.udf.CIQ("XBI", "IQ_LASTSALEPRICE", WORKDAY(F702,5)))</f>
        <v>4.3398868400250638E-2</v>
      </c>
      <c r="R702">
        <f>_xll.ciqfunctions.udf.CIQ(A702, "IQ_SHORT_INTEREST_PERCENT", F702)</f>
        <v>10.07551</v>
      </c>
      <c r="S702">
        <f>_xll.ciqfunctions.udf.CIQ(A702, "IQ_BETA_1YR_RSQ", F702)</f>
        <v>2.15E-3</v>
      </c>
      <c r="T702">
        <f>_xll.ciqfunctions.udf.CIQ(A702, "IQ_VALUE_TRADED", F702)</f>
        <v>3.2928199999999999</v>
      </c>
    </row>
    <row r="703" spans="1:20" x14ac:dyDescent="0.3">
      <c r="A703" t="s">
        <v>459</v>
      </c>
      <c r="B703" s="2">
        <v>9.31</v>
      </c>
      <c r="C703" t="s">
        <v>2044</v>
      </c>
      <c r="D703" t="s">
        <v>104</v>
      </c>
      <c r="E703" t="s">
        <v>89</v>
      </c>
      <c r="F703" s="1">
        <v>45390</v>
      </c>
      <c r="G703" t="s">
        <v>2045</v>
      </c>
      <c r="H703">
        <v>31</v>
      </c>
      <c r="I703">
        <f>_xll.ciqfunctions.udf.CIQ(A703, "IQ_MARKETCAP", F703)</f>
        <v>195.00729000000001</v>
      </c>
      <c r="J703">
        <f>_xll.ciqfunctions.udf.CIQ(A703, "IQ_PRICE_VOL_HIST_6MTH", F703)</f>
        <v>106.8075</v>
      </c>
      <c r="K703">
        <f>_xll.ciqfunctions.udf.CIQ(A703, "IQ_LASTSALEPRICE", WORKDAY(F703,-1))</f>
        <v>10.074</v>
      </c>
      <c r="L703">
        <f>_xll.ciqfunctions.udf.CIQ(A703, "IQ_LASTSALEPRICE", F703)</f>
        <v>9.31</v>
      </c>
      <c r="M703">
        <f>_xll.ciqfunctions.udf.CIQ(A703, "IQ_LASTSALEPRICE", WORKDAY(F703,5))</f>
        <v>6.5</v>
      </c>
      <c r="N703">
        <f t="shared" si="20"/>
        <v>-7.8868756034482984E-2</v>
      </c>
      <c r="O703">
        <f t="shared" si="21"/>
        <v>-0.43815567042186726</v>
      </c>
      <c r="P703">
        <f>LN(_xll.ciqfunctions.udf.CIQ("XBI", "IQ_LASTSALEPRICE", WORKDAY(F703,-1))/_xll.ciqfunctions.udf.CIQ("XBI", "IQ_LASTSALEPRICE", WORKDAY(F703,1)))</f>
        <v>-1.6060184592356547E-2</v>
      </c>
      <c r="Q703">
        <f>LN(_xll.ciqfunctions.udf.CIQ("XBI", "IQ_LASTSALEPRICE", WORKDAY(F703,-1))/_xll.ciqfunctions.udf.CIQ("XBI", "IQ_LASTSALEPRICE", WORKDAY(F703,5)))</f>
        <v>4.3398868400250638E-2</v>
      </c>
      <c r="R703">
        <f>_xll.ciqfunctions.udf.CIQ(A703, "IQ_SHORT_INTEREST_PERCENT", F703)</f>
        <v>10.9199</v>
      </c>
      <c r="S703">
        <f>_xll.ciqfunctions.udf.CIQ(A703, "IQ_BETA_1YR_RSQ", F703)</f>
        <v>4.2619999999999998E-2</v>
      </c>
      <c r="T703">
        <f>_xll.ciqfunctions.udf.CIQ(A703, "IQ_VALUE_TRADED", F703)</f>
        <v>12.29673</v>
      </c>
    </row>
    <row r="704" spans="1:20" x14ac:dyDescent="0.3">
      <c r="A704" t="s">
        <v>99</v>
      </c>
      <c r="B704" s="2">
        <v>5.09</v>
      </c>
      <c r="C704" t="s">
        <v>100</v>
      </c>
      <c r="D704" t="s">
        <v>101</v>
      </c>
      <c r="E704" t="s">
        <v>46</v>
      </c>
      <c r="F704" s="1">
        <v>45390</v>
      </c>
      <c r="G704" t="s">
        <v>2046</v>
      </c>
      <c r="H704">
        <v>112</v>
      </c>
      <c r="I704">
        <f>_xll.ciqfunctions.udf.CIQ(A704, "IQ_MARKETCAP", F704)</f>
        <v>420.0754</v>
      </c>
      <c r="J704">
        <f>_xll.ciqfunctions.udf.CIQ(A704, "IQ_PRICE_VOL_HIST_6MTH", F704)</f>
        <v>139.93389999999999</v>
      </c>
      <c r="K704">
        <f>_xll.ciqfunctions.udf.CIQ(A704, "IQ_LASTSALEPRICE", WORKDAY(F704,-1))</f>
        <v>5</v>
      </c>
      <c r="L704">
        <f>_xll.ciqfunctions.udf.CIQ(A704, "IQ_LASTSALEPRICE", F704)</f>
        <v>5.09</v>
      </c>
      <c r="M704">
        <f>_xll.ciqfunctions.udf.CIQ(A704, "IQ_LASTSALEPRICE", WORKDAY(F704,5))</f>
        <v>4.37</v>
      </c>
      <c r="N704">
        <f t="shared" si="20"/>
        <v>1.7839918128331016E-2</v>
      </c>
      <c r="O704">
        <f t="shared" si="21"/>
        <v>-0.13467490332660159</v>
      </c>
      <c r="P704">
        <f>LN(_xll.ciqfunctions.udf.CIQ("XBI", "IQ_LASTSALEPRICE", WORKDAY(F704,-1))/_xll.ciqfunctions.udf.CIQ("XBI", "IQ_LASTSALEPRICE", WORKDAY(F704,1)))</f>
        <v>-1.6060184592356547E-2</v>
      </c>
      <c r="Q704">
        <f>LN(_xll.ciqfunctions.udf.CIQ("XBI", "IQ_LASTSALEPRICE", WORKDAY(F704,-1))/_xll.ciqfunctions.udf.CIQ("XBI", "IQ_LASTSALEPRICE", WORKDAY(F704,5)))</f>
        <v>4.3398868400250638E-2</v>
      </c>
      <c r="R704">
        <f>_xll.ciqfunctions.udf.CIQ(A704, "IQ_SHORT_INTEREST_PERCENT", F704)</f>
        <v>1.1386799999999999</v>
      </c>
      <c r="S704">
        <f>_xll.ciqfunctions.udf.CIQ(A704, "IQ_BETA_1YR_RSQ", F704)</f>
        <v>3.134E-2</v>
      </c>
      <c r="T704">
        <f>_xll.ciqfunctions.udf.CIQ(A704, "IQ_VALUE_TRADED", F704)</f>
        <v>3.20478</v>
      </c>
    </row>
    <row r="705" spans="1:20" x14ac:dyDescent="0.3">
      <c r="A705" t="s">
        <v>2047</v>
      </c>
      <c r="B705" s="2">
        <v>12.14</v>
      </c>
      <c r="C705" t="s">
        <v>2048</v>
      </c>
      <c r="D705" t="s">
        <v>609</v>
      </c>
      <c r="E705" t="s">
        <v>22</v>
      </c>
      <c r="F705" s="1">
        <v>45390</v>
      </c>
      <c r="G705" t="s">
        <v>2049</v>
      </c>
      <c r="H705">
        <v>53</v>
      </c>
      <c r="I705">
        <f>_xll.ciqfunctions.udf.CIQ(A705, "IQ_MARKETCAP", F705)</f>
        <v>608.84627999999998</v>
      </c>
      <c r="J705">
        <f>_xll.ciqfunctions.udf.CIQ(A705, "IQ_PRICE_VOL_HIST_6MTH", F705)</f>
        <v>92.738500000000002</v>
      </c>
      <c r="K705">
        <f>_xll.ciqfunctions.udf.CIQ(A705, "IQ_LASTSALEPRICE", WORKDAY(F705,-1))</f>
        <v>12.23</v>
      </c>
      <c r="L705">
        <f>_xll.ciqfunctions.udf.CIQ(A705, "IQ_LASTSALEPRICE", F705)</f>
        <v>12.14</v>
      </c>
      <c r="M705">
        <f>_xll.ciqfunctions.udf.CIQ(A705, "IQ_LASTSALEPRICE", WORKDAY(F705,5))</f>
        <v>12.89</v>
      </c>
      <c r="N705">
        <f t="shared" si="20"/>
        <v>-7.3861640677287833E-3</v>
      </c>
      <c r="O705">
        <f t="shared" si="21"/>
        <v>5.2559867252014961E-2</v>
      </c>
      <c r="P705">
        <f>LN(_xll.ciqfunctions.udf.CIQ("XBI", "IQ_LASTSALEPRICE", WORKDAY(F705,-1))/_xll.ciqfunctions.udf.CIQ("XBI", "IQ_LASTSALEPRICE", WORKDAY(F705,1)))</f>
        <v>-1.6060184592356547E-2</v>
      </c>
      <c r="Q705">
        <f>LN(_xll.ciqfunctions.udf.CIQ("XBI", "IQ_LASTSALEPRICE", WORKDAY(F705,-1))/_xll.ciqfunctions.udf.CIQ("XBI", "IQ_LASTSALEPRICE", WORKDAY(F705,5)))</f>
        <v>4.3398868400250638E-2</v>
      </c>
      <c r="R705">
        <f>_xll.ciqfunctions.udf.CIQ(A705, "IQ_SHORT_INTEREST_PERCENT", F705)</f>
        <v>5.8098000000000001</v>
      </c>
      <c r="S705">
        <f>_xll.ciqfunctions.udf.CIQ(A705, "IQ_BETA_1YR_RSQ", F705)</f>
        <v>0.10736999999999999</v>
      </c>
      <c r="T705">
        <f>_xll.ciqfunctions.udf.CIQ(A705, "IQ_VALUE_TRADED", F705)</f>
        <v>10.85633</v>
      </c>
    </row>
    <row r="706" spans="1:20" x14ac:dyDescent="0.3">
      <c r="A706" t="s">
        <v>2050</v>
      </c>
      <c r="B706" s="2">
        <v>5.58</v>
      </c>
      <c r="C706" t="s">
        <v>2051</v>
      </c>
      <c r="D706" t="s">
        <v>243</v>
      </c>
      <c r="E706" t="s">
        <v>89</v>
      </c>
      <c r="F706" s="1">
        <v>45390</v>
      </c>
      <c r="G706" t="s">
        <v>2052</v>
      </c>
      <c r="H706">
        <v>62</v>
      </c>
      <c r="I706">
        <f>_xll.ciqfunctions.udf.CIQ(A706, "IQ_MARKETCAP", F706)</f>
        <v>324.38423</v>
      </c>
      <c r="J706">
        <f>_xll.ciqfunctions.udf.CIQ(A706, "IQ_PRICE_VOL_HIST_6MTH", F706)</f>
        <v>108.6148</v>
      </c>
      <c r="K706">
        <f>_xll.ciqfunctions.udf.CIQ(A706, "IQ_LASTSALEPRICE", WORKDAY(F706,-1))</f>
        <v>5.46</v>
      </c>
      <c r="L706">
        <f>_xll.ciqfunctions.udf.CIQ(A706, "IQ_LASTSALEPRICE", F706)</f>
        <v>5.58</v>
      </c>
      <c r="M706">
        <f>_xll.ciqfunctions.udf.CIQ(A706, "IQ_LASTSALEPRICE", WORKDAY(F706,5))</f>
        <v>4.74</v>
      </c>
      <c r="N706">
        <f t="shared" si="20"/>
        <v>2.173998663640582E-2</v>
      </c>
      <c r="O706">
        <f t="shared" si="21"/>
        <v>-0.14141165404982853</v>
      </c>
      <c r="P706">
        <f>LN(_xll.ciqfunctions.udf.CIQ("XBI", "IQ_LASTSALEPRICE", WORKDAY(F706,-1))/_xll.ciqfunctions.udf.CIQ("XBI", "IQ_LASTSALEPRICE", WORKDAY(F706,1)))</f>
        <v>-1.6060184592356547E-2</v>
      </c>
      <c r="Q706">
        <f>LN(_xll.ciqfunctions.udf.CIQ("XBI", "IQ_LASTSALEPRICE", WORKDAY(F706,-1))/_xll.ciqfunctions.udf.CIQ("XBI", "IQ_LASTSALEPRICE", WORKDAY(F706,5)))</f>
        <v>4.3398868400250638E-2</v>
      </c>
      <c r="R706">
        <f>_xll.ciqfunctions.udf.CIQ(A706, "IQ_SHORT_INTEREST_PERCENT", F706)</f>
        <v>2.81013</v>
      </c>
      <c r="S706">
        <f>_xll.ciqfunctions.udf.CIQ(A706, "IQ_BETA_1YR_RSQ", F706)</f>
        <v>2.367E-2</v>
      </c>
      <c r="T706">
        <f>_xll.ciqfunctions.udf.CIQ(A706, "IQ_VALUE_TRADED", F706)</f>
        <v>3.1623399999999999</v>
      </c>
    </row>
    <row r="707" spans="1:20" x14ac:dyDescent="0.3">
      <c r="A707" t="s">
        <v>275</v>
      </c>
      <c r="B707" s="2">
        <v>8.66</v>
      </c>
      <c r="C707" t="s">
        <v>276</v>
      </c>
      <c r="D707" t="s">
        <v>243</v>
      </c>
      <c r="E707" t="s">
        <v>22</v>
      </c>
      <c r="F707" s="1">
        <v>45390</v>
      </c>
      <c r="G707" t="s">
        <v>2053</v>
      </c>
      <c r="H707">
        <v>16</v>
      </c>
      <c r="I707">
        <f>_xll.ciqfunctions.udf.CIQ(A707, "IQ_MARKETCAP", F707)</f>
        <v>88.513980000000004</v>
      </c>
      <c r="J707">
        <f>_xll.ciqfunctions.udf.CIQ(A707, "IQ_PRICE_VOL_HIST_6MTH", F707)</f>
        <v>134.93119999999999</v>
      </c>
      <c r="K707">
        <f>_xll.ciqfunctions.udf.CIQ(A707, "IQ_LASTSALEPRICE", WORKDAY(F707,-1))</f>
        <v>8.85</v>
      </c>
      <c r="L707">
        <f>_xll.ciqfunctions.udf.CIQ(A707, "IQ_LASTSALEPRICE", F707)</f>
        <v>8.66</v>
      </c>
      <c r="M707">
        <f>_xll.ciqfunctions.udf.CIQ(A707, "IQ_LASTSALEPRICE", WORKDAY(F707,5))</f>
        <v>9.23</v>
      </c>
      <c r="N707">
        <f t="shared" ref="N707:N770" si="22">LN(L707/K707)</f>
        <v>-2.1702736445494319E-2</v>
      </c>
      <c r="O707">
        <f t="shared" ref="O707:O770" si="23">LN(M707/K707)</f>
        <v>4.2041589494922774E-2</v>
      </c>
      <c r="P707">
        <f>LN(_xll.ciqfunctions.udf.CIQ("XBI", "IQ_LASTSALEPRICE", WORKDAY(F707,-1))/_xll.ciqfunctions.udf.CIQ("XBI", "IQ_LASTSALEPRICE", WORKDAY(F707,1)))</f>
        <v>-1.6060184592356547E-2</v>
      </c>
      <c r="Q707">
        <f>LN(_xll.ciqfunctions.udf.CIQ("XBI", "IQ_LASTSALEPRICE", WORKDAY(F707,-1))/_xll.ciqfunctions.udf.CIQ("XBI", "IQ_LASTSALEPRICE", WORKDAY(F707,5)))</f>
        <v>4.3398868400250638E-2</v>
      </c>
      <c r="R707">
        <f>_xll.ciqfunctions.udf.CIQ(A707, "IQ_SHORT_INTEREST_PERCENT", F707)</f>
        <v>0.27790999999999999</v>
      </c>
      <c r="S707">
        <f>_xll.ciqfunctions.udf.CIQ(A707, "IQ_BETA_1YR_RSQ", F707)</f>
        <v>1.3950000000000001E-2</v>
      </c>
      <c r="T707">
        <f>_xll.ciqfunctions.udf.CIQ(A707, "IQ_VALUE_TRADED", F707)</f>
        <v>1.19713</v>
      </c>
    </row>
    <row r="708" spans="1:20" x14ac:dyDescent="0.3">
      <c r="A708" t="s">
        <v>2054</v>
      </c>
      <c r="B708" s="2">
        <v>12.6</v>
      </c>
      <c r="C708" t="s">
        <v>2055</v>
      </c>
      <c r="D708" t="s">
        <v>2056</v>
      </c>
      <c r="E708" t="s">
        <v>76</v>
      </c>
      <c r="F708" s="1">
        <v>45390</v>
      </c>
      <c r="G708" t="s">
        <v>2057</v>
      </c>
      <c r="H708">
        <v>17</v>
      </c>
      <c r="I708">
        <f>_xll.ciqfunctions.udf.CIQ(A708, "IQ_MARKETCAP", F708)</f>
        <v>220.97604000000001</v>
      </c>
      <c r="J708">
        <f>_xll.ciqfunctions.udf.CIQ(A708, "IQ_PRICE_VOL_HIST_6MTH", F708)</f>
        <v>74.680300000000003</v>
      </c>
      <c r="K708">
        <f>_xll.ciqfunctions.udf.CIQ(A708, "IQ_LASTSALEPRICE", WORKDAY(F708,-1))</f>
        <v>12.9</v>
      </c>
      <c r="L708">
        <f>_xll.ciqfunctions.udf.CIQ(A708, "IQ_LASTSALEPRICE", F708)</f>
        <v>12.6</v>
      </c>
      <c r="M708">
        <f>_xll.ciqfunctions.udf.CIQ(A708, "IQ_LASTSALEPRICE", WORKDAY(F708,5))</f>
        <v>11.5</v>
      </c>
      <c r="N708">
        <f t="shared" si="22"/>
        <v>-2.3530497410194161E-2</v>
      </c>
      <c r="O708">
        <f t="shared" si="23"/>
        <v>-0.11488027599842202</v>
      </c>
      <c r="P708">
        <f>LN(_xll.ciqfunctions.udf.CIQ("XBI", "IQ_LASTSALEPRICE", WORKDAY(F708,-1))/_xll.ciqfunctions.udf.CIQ("XBI", "IQ_LASTSALEPRICE", WORKDAY(F708,1)))</f>
        <v>-1.6060184592356547E-2</v>
      </c>
      <c r="Q708">
        <f>LN(_xll.ciqfunctions.udf.CIQ("XBI", "IQ_LASTSALEPRICE", WORKDAY(F708,-1))/_xll.ciqfunctions.udf.CIQ("XBI", "IQ_LASTSALEPRICE", WORKDAY(F708,5)))</f>
        <v>4.3398868400250638E-2</v>
      </c>
      <c r="R708">
        <f>_xll.ciqfunctions.udf.CIQ(A708, "IQ_SHORT_INTEREST_PERCENT", F708)</f>
        <v>2.81941</v>
      </c>
      <c r="S708">
        <f>_xll.ciqfunctions.udf.CIQ(A708, "IQ_BETA_1YR_RSQ", F708)</f>
        <v>0.11488</v>
      </c>
      <c r="T708">
        <f>_xll.ciqfunctions.udf.CIQ(A708, "IQ_VALUE_TRADED", F708)</f>
        <v>8.0142699999999998</v>
      </c>
    </row>
    <row r="709" spans="1:20" x14ac:dyDescent="0.3">
      <c r="A709" t="s">
        <v>1104</v>
      </c>
      <c r="B709" s="2">
        <v>2.02</v>
      </c>
      <c r="C709" t="s">
        <v>1105</v>
      </c>
      <c r="D709" t="s">
        <v>293</v>
      </c>
      <c r="E709" t="s">
        <v>36</v>
      </c>
      <c r="F709" s="1">
        <v>45390</v>
      </c>
      <c r="G709" t="s">
        <v>2058</v>
      </c>
      <c r="H709">
        <v>46</v>
      </c>
      <c r="I709">
        <f>_xll.ciqfunctions.udf.CIQ(A709, "IQ_MARKETCAP", F709)</f>
        <v>83.648690000000002</v>
      </c>
      <c r="J709">
        <f>_xll.ciqfunctions.udf.CIQ(A709, "IQ_PRICE_VOL_HIST_6MTH", F709)</f>
        <v>73.374300000000005</v>
      </c>
      <c r="K709">
        <f>_xll.ciqfunctions.udf.CIQ(A709, "IQ_LASTSALEPRICE", WORKDAY(F709,-1))</f>
        <v>7.3999999999999996E-2</v>
      </c>
      <c r="L709">
        <f>_xll.ciqfunctions.udf.CIQ(A709, "IQ_LASTSALEPRICE", F709)</f>
        <v>7.0999999999999994E-2</v>
      </c>
      <c r="M709">
        <f>_xll.ciqfunctions.udf.CIQ(A709, "IQ_LASTSALEPRICE", WORKDAY(F709,5))</f>
        <v>7.6999999999999999E-2</v>
      </c>
      <c r="N709">
        <f t="shared" si="22"/>
        <v>-4.1385216162854364E-2</v>
      </c>
      <c r="O709">
        <f t="shared" si="23"/>
        <v>3.9740328649514121E-2</v>
      </c>
      <c r="P709">
        <f>LN(_xll.ciqfunctions.udf.CIQ("XBI", "IQ_LASTSALEPRICE", WORKDAY(F709,-1))/_xll.ciqfunctions.udf.CIQ("XBI", "IQ_LASTSALEPRICE", WORKDAY(F709,1)))</f>
        <v>-1.6060184592356547E-2</v>
      </c>
      <c r="Q709">
        <f>LN(_xll.ciqfunctions.udf.CIQ("XBI", "IQ_LASTSALEPRICE", WORKDAY(F709,-1))/_xll.ciqfunctions.udf.CIQ("XBI", "IQ_LASTSALEPRICE", WORKDAY(F709,5)))</f>
        <v>4.3398868400250638E-2</v>
      </c>
      <c r="R709">
        <f>_xll.ciqfunctions.udf.CIQ(A709, "IQ_SHORT_INTEREST_PERCENT", F709)</f>
        <v>0</v>
      </c>
      <c r="S709">
        <f>_xll.ciqfunctions.udf.CIQ(A709, "IQ_BETA_1YR_RSQ", F709)</f>
        <v>1.7799999999999999E-3</v>
      </c>
      <c r="T709">
        <f>_xll.ciqfunctions.udf.CIQ(A709, "IQ_VALUE_TRADED", F709)</f>
        <v>1.2109999999999999E-2</v>
      </c>
    </row>
    <row r="710" spans="1:20" x14ac:dyDescent="0.3">
      <c r="A710" t="s">
        <v>2059</v>
      </c>
      <c r="B710" s="2">
        <v>31.43</v>
      </c>
      <c r="C710" t="s">
        <v>2060</v>
      </c>
      <c r="D710" t="s">
        <v>2061</v>
      </c>
      <c r="E710" t="s">
        <v>281</v>
      </c>
      <c r="F710" s="1">
        <v>45390</v>
      </c>
      <c r="G710" t="s">
        <v>2062</v>
      </c>
      <c r="H710">
        <v>56</v>
      </c>
      <c r="I710">
        <f>_xll.ciqfunctions.udf.CIQ(A710, "IQ_MARKETCAP", F710)</f>
        <v>1720.3196700000001</v>
      </c>
      <c r="J710">
        <f>_xll.ciqfunctions.udf.CIQ(A710, "IQ_PRICE_VOL_HIST_6MTH", F710)</f>
        <v>40.5167</v>
      </c>
      <c r="K710">
        <f>_xll.ciqfunctions.udf.CIQ(A710, "IQ_LASTSALEPRICE", WORKDAY(F710,-1))</f>
        <v>33.549999999999997</v>
      </c>
      <c r="L710">
        <f>_xll.ciqfunctions.udf.CIQ(A710, "IQ_LASTSALEPRICE", F710)</f>
        <v>31.43</v>
      </c>
      <c r="M710">
        <f>_xll.ciqfunctions.udf.CIQ(A710, "IQ_LASTSALEPRICE", WORKDAY(F710,5))</f>
        <v>29.99</v>
      </c>
      <c r="N710">
        <f t="shared" si="22"/>
        <v>-6.5274012608214513E-2</v>
      </c>
      <c r="O710">
        <f t="shared" si="23"/>
        <v>-0.11217287065677306</v>
      </c>
      <c r="P710">
        <f>LN(_xll.ciqfunctions.udf.CIQ("XBI", "IQ_LASTSALEPRICE", WORKDAY(F710,-1))/_xll.ciqfunctions.udf.CIQ("XBI", "IQ_LASTSALEPRICE", WORKDAY(F710,1)))</f>
        <v>-1.6060184592356547E-2</v>
      </c>
      <c r="Q710">
        <f>LN(_xll.ciqfunctions.udf.CIQ("XBI", "IQ_LASTSALEPRICE", WORKDAY(F710,-1))/_xll.ciqfunctions.udf.CIQ("XBI", "IQ_LASTSALEPRICE", WORKDAY(F710,5)))</f>
        <v>4.3398868400250638E-2</v>
      </c>
      <c r="R710">
        <f>_xll.ciqfunctions.udf.CIQ(A710, "IQ_SHORT_INTEREST_PERCENT", F710)</f>
        <v>8.9960900000000006</v>
      </c>
      <c r="S710">
        <f>_xll.ciqfunctions.udf.CIQ(A710, "IQ_BETA_1YR_RSQ", F710)</f>
        <v>9.0859999999999996E-2</v>
      </c>
      <c r="T710">
        <f>_xll.ciqfunctions.udf.CIQ(A710, "IQ_VALUE_TRADED", F710)</f>
        <v>24.819800000000001</v>
      </c>
    </row>
    <row r="711" spans="1:20" x14ac:dyDescent="0.3">
      <c r="A711" t="s">
        <v>255</v>
      </c>
      <c r="B711" s="2">
        <v>10.75</v>
      </c>
      <c r="C711" t="s">
        <v>256</v>
      </c>
      <c r="D711" t="s">
        <v>257</v>
      </c>
      <c r="E711" t="s">
        <v>89</v>
      </c>
      <c r="F711" s="1">
        <v>45390</v>
      </c>
      <c r="G711" t="s">
        <v>2063</v>
      </c>
      <c r="H711">
        <v>97</v>
      </c>
      <c r="I711">
        <f>_xll.ciqfunctions.udf.CIQ(A711, "IQ_MARKETCAP", F711)</f>
        <v>724.29035999999996</v>
      </c>
      <c r="J711">
        <f>_xll.ciqfunctions.udf.CIQ(A711, "IQ_PRICE_VOL_HIST_6MTH", F711)</f>
        <v>70.7196</v>
      </c>
      <c r="K711">
        <f>_xll.ciqfunctions.udf.CIQ(A711, "IQ_LASTSALEPRICE", WORKDAY(F711,-1))</f>
        <v>10.97</v>
      </c>
      <c r="L711">
        <f>_xll.ciqfunctions.udf.CIQ(A711, "IQ_LASTSALEPRICE", F711)</f>
        <v>10.75</v>
      </c>
      <c r="M711">
        <f>_xll.ciqfunctions.udf.CIQ(A711, "IQ_LASTSALEPRICE", WORKDAY(F711,5))</f>
        <v>9.5399999999999991</v>
      </c>
      <c r="N711">
        <f t="shared" si="22"/>
        <v>-2.0258519713467166E-2</v>
      </c>
      <c r="O711">
        <f t="shared" si="23"/>
        <v>-0.13967078882694381</v>
      </c>
      <c r="P711">
        <f>LN(_xll.ciqfunctions.udf.CIQ("XBI", "IQ_LASTSALEPRICE", WORKDAY(F711,-1))/_xll.ciqfunctions.udf.CIQ("XBI", "IQ_LASTSALEPRICE", WORKDAY(F711,1)))</f>
        <v>-1.6060184592356547E-2</v>
      </c>
      <c r="Q711">
        <f>LN(_xll.ciqfunctions.udf.CIQ("XBI", "IQ_LASTSALEPRICE", WORKDAY(F711,-1))/_xll.ciqfunctions.udf.CIQ("XBI", "IQ_LASTSALEPRICE", WORKDAY(F711,5)))</f>
        <v>4.3398868400250638E-2</v>
      </c>
      <c r="R711">
        <f>_xll.ciqfunctions.udf.CIQ(A711, "IQ_SHORT_INTEREST_PERCENT", F711)</f>
        <v>10.282500000000001</v>
      </c>
      <c r="S711">
        <f>_xll.ciqfunctions.udf.CIQ(A711, "IQ_BETA_1YR_RSQ", F711)</f>
        <v>0.12339</v>
      </c>
      <c r="T711">
        <f>_xll.ciqfunctions.udf.CIQ(A711, "IQ_VALUE_TRADED", F711)</f>
        <v>5.4070799999999997</v>
      </c>
    </row>
    <row r="712" spans="1:20" x14ac:dyDescent="0.3">
      <c r="A712" t="s">
        <v>401</v>
      </c>
      <c r="B712" s="2">
        <v>25.84</v>
      </c>
      <c r="C712" t="s">
        <v>2064</v>
      </c>
      <c r="D712" t="s">
        <v>2065</v>
      </c>
      <c r="E712" t="s">
        <v>160</v>
      </c>
      <c r="F712" s="1">
        <v>45390</v>
      </c>
      <c r="G712" t="s">
        <v>2066</v>
      </c>
      <c r="I712">
        <f>_xll.ciqfunctions.udf.CIQ(A712, "IQ_MARKETCAP", F712)</f>
        <v>150510.34752000001</v>
      </c>
      <c r="J712">
        <f>_xll.ciqfunctions.udf.CIQ(A712, "IQ_PRICE_VOL_HIST_6MTH", F712)</f>
        <v>26.873000000000001</v>
      </c>
      <c r="K712">
        <f>_xll.ciqfunctions.udf.CIQ(A712, "IQ_LASTSALEPRICE", WORKDAY(F712,-1))</f>
        <v>26.66</v>
      </c>
      <c r="L712">
        <f>_xll.ciqfunctions.udf.CIQ(A712, "IQ_LASTSALEPRICE", F712)</f>
        <v>26.58</v>
      </c>
      <c r="M712">
        <f>_xll.ciqfunctions.udf.CIQ(A712, "IQ_LASTSALEPRICE", WORKDAY(F712,5))</f>
        <v>25.91</v>
      </c>
      <c r="N712">
        <f t="shared" si="22"/>
        <v>-3.0052614654634277E-3</v>
      </c>
      <c r="O712">
        <f t="shared" si="23"/>
        <v>-2.8535320176544011E-2</v>
      </c>
      <c r="P712">
        <f>LN(_xll.ciqfunctions.udf.CIQ("XBI", "IQ_LASTSALEPRICE", WORKDAY(F712,-1))/_xll.ciqfunctions.udf.CIQ("XBI", "IQ_LASTSALEPRICE", WORKDAY(F712,1)))</f>
        <v>-1.6060184592356547E-2</v>
      </c>
      <c r="Q712">
        <f>LN(_xll.ciqfunctions.udf.CIQ("XBI", "IQ_LASTSALEPRICE", WORKDAY(F712,-1))/_xll.ciqfunctions.udf.CIQ("XBI", "IQ_LASTSALEPRICE", WORKDAY(F712,5)))</f>
        <v>4.3398868400250638E-2</v>
      </c>
      <c r="R712">
        <f>_xll.ciqfunctions.udf.CIQ(A712, "IQ_SHORT_INTEREST_PERCENT", F712)</f>
        <v>1.2654000000000001</v>
      </c>
      <c r="S712">
        <f>_xll.ciqfunctions.udf.CIQ(A712, "IQ_BETA_1YR_RSQ", F712)</f>
        <v>3.3669999999999999E-2</v>
      </c>
      <c r="T712">
        <f>_xll.ciqfunctions.udf.CIQ(A712, "IQ_VALUE_TRADED", F712)</f>
        <v>649.38534000000004</v>
      </c>
    </row>
    <row r="713" spans="1:20" x14ac:dyDescent="0.3">
      <c r="A713" t="s">
        <v>1609</v>
      </c>
      <c r="B713" s="2">
        <v>1.95</v>
      </c>
      <c r="C713" t="s">
        <v>2067</v>
      </c>
      <c r="D713" t="s">
        <v>2068</v>
      </c>
      <c r="E713" t="s">
        <v>76</v>
      </c>
      <c r="F713" s="1">
        <v>45390</v>
      </c>
      <c r="G713" t="s">
        <v>2069</v>
      </c>
      <c r="H713">
        <v>45</v>
      </c>
      <c r="I713">
        <f>_xll.ciqfunctions.udf.CIQ(A713, "IQ_MARKETCAP", F713)</f>
        <v>69.18862</v>
      </c>
      <c r="J713">
        <f>_xll.ciqfunctions.udf.CIQ(A713, "IQ_PRICE_VOL_HIST_6MTH", F713)</f>
        <v>108.2337</v>
      </c>
      <c r="K713">
        <f>_xll.ciqfunctions.udf.CIQ(A713, "IQ_LASTSALEPRICE", WORKDAY(F713,-1))</f>
        <v>1.9850000000000001</v>
      </c>
      <c r="L713">
        <f>_xll.ciqfunctions.udf.CIQ(A713, "IQ_LASTSALEPRICE", F713)</f>
        <v>1.95</v>
      </c>
      <c r="M713">
        <f>_xll.ciqfunctions.udf.CIQ(A713, "IQ_LASTSALEPRICE", WORKDAY(F713,5))</f>
        <v>2.52</v>
      </c>
      <c r="N713">
        <f t="shared" si="22"/>
        <v>-1.778954156349841E-2</v>
      </c>
      <c r="O713">
        <f t="shared" si="23"/>
        <v>0.23863998738417821</v>
      </c>
      <c r="P713">
        <f>LN(_xll.ciqfunctions.udf.CIQ("XBI", "IQ_LASTSALEPRICE", WORKDAY(F713,-1))/_xll.ciqfunctions.udf.CIQ("XBI", "IQ_LASTSALEPRICE", WORKDAY(F713,1)))</f>
        <v>-1.6060184592356547E-2</v>
      </c>
      <c r="Q713">
        <f>LN(_xll.ciqfunctions.udf.CIQ("XBI", "IQ_LASTSALEPRICE", WORKDAY(F713,-1))/_xll.ciqfunctions.udf.CIQ("XBI", "IQ_LASTSALEPRICE", WORKDAY(F713,5)))</f>
        <v>4.3398868400250638E-2</v>
      </c>
      <c r="R713">
        <f>_xll.ciqfunctions.udf.CIQ(A713, "IQ_SHORT_INTEREST_PERCENT", F713)</f>
        <v>2.281E-2</v>
      </c>
      <c r="S713">
        <f>_xll.ciqfunctions.udf.CIQ(A713, "IQ_BETA_1YR_RSQ", F713)</f>
        <v>6.62E-3</v>
      </c>
      <c r="T713">
        <f>_xll.ciqfunctions.udf.CIQ(A713, "IQ_VALUE_TRADED", F713)</f>
        <v>0.70408000000000004</v>
      </c>
    </row>
    <row r="714" spans="1:20" x14ac:dyDescent="0.3">
      <c r="A714" t="s">
        <v>422</v>
      </c>
      <c r="B714" s="2">
        <v>2.5099999999999998</v>
      </c>
      <c r="C714" t="s">
        <v>2070</v>
      </c>
      <c r="D714" t="s">
        <v>243</v>
      </c>
      <c r="E714" t="s">
        <v>89</v>
      </c>
      <c r="F714" s="1">
        <v>45390</v>
      </c>
      <c r="G714" t="s">
        <v>2071</v>
      </c>
      <c r="H714">
        <v>116</v>
      </c>
      <c r="I714">
        <f>_xll.ciqfunctions.udf.CIQ(A714, "IQ_MARKETCAP", F714)</f>
        <v>282.91336999999999</v>
      </c>
      <c r="J714">
        <f>_xll.ciqfunctions.udf.CIQ(A714, "IQ_PRICE_VOL_HIST_6MTH", F714)</f>
        <v>117.63200000000001</v>
      </c>
      <c r="K714">
        <f>_xll.ciqfunctions.udf.CIQ(A714, "IQ_LASTSALEPRICE", WORKDAY(F714,-1))</f>
        <v>2.4300000000000002</v>
      </c>
      <c r="L714">
        <f>_xll.ciqfunctions.udf.CIQ(A714, "IQ_LASTSALEPRICE", F714)</f>
        <v>2.5099999999999998</v>
      </c>
      <c r="M714">
        <f>_xll.ciqfunctions.udf.CIQ(A714, "IQ_LASTSALEPRICE", WORKDAY(F714,5))</f>
        <v>2.2000000000000002</v>
      </c>
      <c r="N714">
        <f t="shared" si="22"/>
        <v>3.2391495791235285E-2</v>
      </c>
      <c r="O714">
        <f t="shared" si="23"/>
        <v>-9.9433896988186929E-2</v>
      </c>
      <c r="P714">
        <f>LN(_xll.ciqfunctions.udf.CIQ("XBI", "IQ_LASTSALEPRICE", WORKDAY(F714,-1))/_xll.ciqfunctions.udf.CIQ("XBI", "IQ_LASTSALEPRICE", WORKDAY(F714,1)))</f>
        <v>-1.6060184592356547E-2</v>
      </c>
      <c r="Q714">
        <f>LN(_xll.ciqfunctions.udf.CIQ("XBI", "IQ_LASTSALEPRICE", WORKDAY(F714,-1))/_xll.ciqfunctions.udf.CIQ("XBI", "IQ_LASTSALEPRICE", WORKDAY(F714,5)))</f>
        <v>4.3398868400250638E-2</v>
      </c>
      <c r="R714">
        <f>_xll.ciqfunctions.udf.CIQ(A714, "IQ_SHORT_INTEREST_PERCENT", F714)</f>
        <v>22.98948</v>
      </c>
      <c r="S714">
        <f>_xll.ciqfunctions.udf.CIQ(A714, "IQ_BETA_1YR_RSQ", F714)</f>
        <v>5.6529999999999997E-2</v>
      </c>
      <c r="T714">
        <f>_xll.ciqfunctions.udf.CIQ(A714, "IQ_VALUE_TRADED", F714)</f>
        <v>5.2980999999999998</v>
      </c>
    </row>
    <row r="715" spans="1:20" x14ac:dyDescent="0.3">
      <c r="A715" t="s">
        <v>1497</v>
      </c>
      <c r="B715" s="2">
        <v>7.81</v>
      </c>
      <c r="C715" t="s">
        <v>2072</v>
      </c>
      <c r="D715" t="s">
        <v>253</v>
      </c>
      <c r="E715" t="s">
        <v>22</v>
      </c>
      <c r="F715" s="1">
        <v>45390</v>
      </c>
      <c r="G715" t="s">
        <v>2073</v>
      </c>
      <c r="H715">
        <v>25</v>
      </c>
      <c r="I715">
        <f>_xll.ciqfunctions.udf.CIQ(A715, "IQ_MARKETCAP", F715)</f>
        <v>138.77452</v>
      </c>
      <c r="J715">
        <f>_xll.ciqfunctions.udf.CIQ(A715, "IQ_PRICE_VOL_HIST_6MTH", F715)</f>
        <v>85.550700000000006</v>
      </c>
      <c r="K715">
        <f>_xll.ciqfunctions.udf.CIQ(A715, "IQ_LASTSALEPRICE", WORKDAY(F715,-1))</f>
        <v>7.78</v>
      </c>
      <c r="L715">
        <f>_xll.ciqfunctions.udf.CIQ(A715, "IQ_LASTSALEPRICE", F715)</f>
        <v>7.81</v>
      </c>
      <c r="M715">
        <f>_xll.ciqfunctions.udf.CIQ(A715, "IQ_LASTSALEPRICE", WORKDAY(F715,5))</f>
        <v>6.41</v>
      </c>
      <c r="N715">
        <f t="shared" si="22"/>
        <v>3.8486256612942351E-3</v>
      </c>
      <c r="O715">
        <f t="shared" si="23"/>
        <v>-0.19369706725772159</v>
      </c>
      <c r="P715">
        <f>LN(_xll.ciqfunctions.udf.CIQ("XBI", "IQ_LASTSALEPRICE", WORKDAY(F715,-1))/_xll.ciqfunctions.udf.CIQ("XBI", "IQ_LASTSALEPRICE", WORKDAY(F715,1)))</f>
        <v>-1.6060184592356547E-2</v>
      </c>
      <c r="Q715">
        <f>LN(_xll.ciqfunctions.udf.CIQ("XBI", "IQ_LASTSALEPRICE", WORKDAY(F715,-1))/_xll.ciqfunctions.udf.CIQ("XBI", "IQ_LASTSALEPRICE", WORKDAY(F715,5)))</f>
        <v>4.3398868400250638E-2</v>
      </c>
      <c r="R715">
        <f>_xll.ciqfunctions.udf.CIQ(A715, "IQ_SHORT_INTEREST_PERCENT", F715)</f>
        <v>4.3114499999999998</v>
      </c>
      <c r="S715">
        <f>_xll.ciqfunctions.udf.CIQ(A715, "IQ_BETA_1YR_RSQ", F715)</f>
        <v>7.9299999999999995E-3</v>
      </c>
      <c r="T715">
        <f>_xll.ciqfunctions.udf.CIQ(A715, "IQ_VALUE_TRADED", F715)</f>
        <v>0.18998000000000001</v>
      </c>
    </row>
    <row r="716" spans="1:20" x14ac:dyDescent="0.3">
      <c r="A716" t="s">
        <v>2074</v>
      </c>
      <c r="B716" s="2">
        <v>7.66</v>
      </c>
      <c r="C716" t="s">
        <v>2075</v>
      </c>
      <c r="D716" t="s">
        <v>104</v>
      </c>
      <c r="E716" t="s">
        <v>89</v>
      </c>
      <c r="F716" s="1">
        <v>45390</v>
      </c>
      <c r="G716" t="s">
        <v>2076</v>
      </c>
      <c r="H716">
        <v>71</v>
      </c>
      <c r="I716">
        <f>_xll.ciqfunctions.udf.CIQ(A716, "IQ_MARKETCAP", F716)</f>
        <v>525.48113000000001</v>
      </c>
      <c r="J716">
        <f>_xll.ciqfunctions.udf.CIQ(A716, "IQ_PRICE_VOL_HIST_6MTH", F716)</f>
        <v>189.39510000000001</v>
      </c>
      <c r="K716">
        <f>_xll.ciqfunctions.udf.CIQ(A716, "IQ_LASTSALEPRICE", WORKDAY(F716,-1))</f>
        <v>7.52</v>
      </c>
      <c r="L716">
        <f>_xll.ciqfunctions.udf.CIQ(A716, "IQ_LASTSALEPRICE", F716)</f>
        <v>7.66</v>
      </c>
      <c r="M716">
        <f>_xll.ciqfunctions.udf.CIQ(A716, "IQ_LASTSALEPRICE", WORKDAY(F716,5))</f>
        <v>6.86</v>
      </c>
      <c r="N716">
        <f t="shared" si="22"/>
        <v>1.8445845790751651E-2</v>
      </c>
      <c r="O716">
        <f t="shared" si="23"/>
        <v>-9.1858696223954456E-2</v>
      </c>
      <c r="P716">
        <f>LN(_xll.ciqfunctions.udf.CIQ("XBI", "IQ_LASTSALEPRICE", WORKDAY(F716,-1))/_xll.ciqfunctions.udf.CIQ("XBI", "IQ_LASTSALEPRICE", WORKDAY(F716,1)))</f>
        <v>-1.6060184592356547E-2</v>
      </c>
      <c r="Q716">
        <f>LN(_xll.ciqfunctions.udf.CIQ("XBI", "IQ_LASTSALEPRICE", WORKDAY(F716,-1))/_xll.ciqfunctions.udf.CIQ("XBI", "IQ_LASTSALEPRICE", WORKDAY(F716,5)))</f>
        <v>4.3398868400250638E-2</v>
      </c>
      <c r="R716">
        <f>_xll.ciqfunctions.udf.CIQ(A716, "IQ_SHORT_INTEREST_PERCENT", F716)</f>
        <v>7.7069700000000001</v>
      </c>
      <c r="S716">
        <f>_xll.ciqfunctions.udf.CIQ(A716, "IQ_BETA_1YR_RSQ", F716)</f>
        <v>5.6370000000000003E-2</v>
      </c>
      <c r="T716">
        <f>_xll.ciqfunctions.udf.CIQ(A716, "IQ_VALUE_TRADED", F716)</f>
        <v>7.9462099999999998</v>
      </c>
    </row>
    <row r="717" spans="1:20" x14ac:dyDescent="0.3">
      <c r="A717" t="s">
        <v>1864</v>
      </c>
      <c r="B717" s="2">
        <v>24.23</v>
      </c>
      <c r="C717" t="s">
        <v>2077</v>
      </c>
      <c r="D717" t="s">
        <v>1410</v>
      </c>
      <c r="E717" t="s">
        <v>36</v>
      </c>
      <c r="F717" s="1">
        <v>45390</v>
      </c>
      <c r="G717" t="s">
        <v>2078</v>
      </c>
      <c r="H717">
        <v>105</v>
      </c>
      <c r="I717">
        <f>_xll.ciqfunctions.udf.CIQ(A717, "IQ_MARKETCAP", F717)</f>
        <v>2508.22631</v>
      </c>
      <c r="J717">
        <f>_xll.ciqfunctions.udf.CIQ(A717, "IQ_PRICE_VOL_HIST_6MTH", F717)</f>
        <v>62.586199999999998</v>
      </c>
      <c r="K717">
        <f>_xll.ciqfunctions.udf.CIQ(A717, "IQ_LASTSALEPRICE", WORKDAY(F717,-1))</f>
        <v>25.2</v>
      </c>
      <c r="L717">
        <f>_xll.ciqfunctions.udf.CIQ(A717, "IQ_LASTSALEPRICE", F717)</f>
        <v>24.23</v>
      </c>
      <c r="M717">
        <f>_xll.ciqfunctions.udf.CIQ(A717, "IQ_LASTSALEPRICE", WORKDAY(F717,5))</f>
        <v>23.15</v>
      </c>
      <c r="N717">
        <f t="shared" si="22"/>
        <v>-3.9252459688943232E-2</v>
      </c>
      <c r="O717">
        <f t="shared" si="23"/>
        <v>-8.4849213985134592E-2</v>
      </c>
      <c r="P717">
        <f>LN(_xll.ciqfunctions.udf.CIQ("XBI", "IQ_LASTSALEPRICE", WORKDAY(F717,-1))/_xll.ciqfunctions.udf.CIQ("XBI", "IQ_LASTSALEPRICE", WORKDAY(F717,1)))</f>
        <v>-1.6060184592356547E-2</v>
      </c>
      <c r="Q717">
        <f>LN(_xll.ciqfunctions.udf.CIQ("XBI", "IQ_LASTSALEPRICE", WORKDAY(F717,-1))/_xll.ciqfunctions.udf.CIQ("XBI", "IQ_LASTSALEPRICE", WORKDAY(F717,5)))</f>
        <v>4.3398868400250638E-2</v>
      </c>
      <c r="R717">
        <f>_xll.ciqfunctions.udf.CIQ(A717, "IQ_SHORT_INTEREST_PERCENT", F717)</f>
        <v>19.528449999999999</v>
      </c>
      <c r="S717">
        <f>_xll.ciqfunctions.udf.CIQ(A717, "IQ_BETA_1YR_RSQ", F717)</f>
        <v>1.1650000000000001E-2</v>
      </c>
      <c r="T717">
        <f>_xll.ciqfunctions.udf.CIQ(A717, "IQ_VALUE_TRADED", F717)</f>
        <v>23.087510000000002</v>
      </c>
    </row>
    <row r="718" spans="1:20" x14ac:dyDescent="0.3">
      <c r="A718" t="s">
        <v>2079</v>
      </c>
      <c r="B718" s="2">
        <v>10.36</v>
      </c>
      <c r="C718" t="s">
        <v>2080</v>
      </c>
      <c r="D718" t="s">
        <v>2081</v>
      </c>
      <c r="E718" t="s">
        <v>22</v>
      </c>
      <c r="F718" s="1">
        <v>45390</v>
      </c>
      <c r="G718" t="s">
        <v>2082</v>
      </c>
      <c r="H718">
        <v>26</v>
      </c>
      <c r="I718">
        <f>_xll.ciqfunctions.udf.CIQ(A718, "IQ_MARKETCAP", F718)</f>
        <v>185.97004000000001</v>
      </c>
      <c r="J718">
        <f>_xll.ciqfunctions.udf.CIQ(A718, "IQ_PRICE_VOL_HIST_6MTH", F718)</f>
        <v>72.297600000000003</v>
      </c>
      <c r="K718">
        <f>_xll.ciqfunctions.udf.CIQ(A718, "IQ_LASTSALEPRICE", WORKDAY(F718,-1))</f>
        <v>10.34</v>
      </c>
      <c r="L718">
        <f>_xll.ciqfunctions.udf.CIQ(A718, "IQ_LASTSALEPRICE", F718)</f>
        <v>10.36</v>
      </c>
      <c r="M718">
        <f>_xll.ciqfunctions.udf.CIQ(A718, "IQ_LASTSALEPRICE", WORKDAY(F718,5))</f>
        <v>9.58</v>
      </c>
      <c r="N718">
        <f t="shared" si="22"/>
        <v>1.9323677510538603E-3</v>
      </c>
      <c r="O718">
        <f t="shared" si="23"/>
        <v>-7.6342277097513872E-2</v>
      </c>
      <c r="P718">
        <f>LN(_xll.ciqfunctions.udf.CIQ("XBI", "IQ_LASTSALEPRICE", WORKDAY(F718,-1))/_xll.ciqfunctions.udf.CIQ("XBI", "IQ_LASTSALEPRICE", WORKDAY(F718,1)))</f>
        <v>-1.6060184592356547E-2</v>
      </c>
      <c r="Q718">
        <f>LN(_xll.ciqfunctions.udf.CIQ("XBI", "IQ_LASTSALEPRICE", WORKDAY(F718,-1))/_xll.ciqfunctions.udf.CIQ("XBI", "IQ_LASTSALEPRICE", WORKDAY(F718,5)))</f>
        <v>4.3398868400250638E-2</v>
      </c>
      <c r="R718">
        <f>_xll.ciqfunctions.udf.CIQ(A718, "IQ_SHORT_INTEREST_PERCENT", F718)</f>
        <v>8.0462500000000006</v>
      </c>
      <c r="S718">
        <f>_xll.ciqfunctions.udf.CIQ(A718, "IQ_BETA_1YR_RSQ", F718)</f>
        <v>2.1600000000000001E-2</v>
      </c>
      <c r="T718">
        <f>_xll.ciqfunctions.udf.CIQ(A718, "IQ_VALUE_TRADED", F718)</f>
        <v>2.31955</v>
      </c>
    </row>
    <row r="719" spans="1:20" x14ac:dyDescent="0.3">
      <c r="A719" t="s">
        <v>829</v>
      </c>
      <c r="B719" t="s">
        <v>43</v>
      </c>
      <c r="C719" t="s">
        <v>2083</v>
      </c>
      <c r="D719" t="s">
        <v>2084</v>
      </c>
      <c r="E719" t="s">
        <v>17</v>
      </c>
      <c r="F719" s="1">
        <v>45390</v>
      </c>
      <c r="G719" t="s">
        <v>2085</v>
      </c>
      <c r="H719">
        <v>192</v>
      </c>
      <c r="I719">
        <f>_xll.ciqfunctions.udf.CIQ(A719, "IQ_MARKETCAP", F719)</f>
        <v>16467.60829</v>
      </c>
      <c r="J719">
        <f>_xll.ciqfunctions.udf.CIQ(A719, "IQ_PRICE_VOL_HIST_6MTH", F719)</f>
        <v>29.189399999999999</v>
      </c>
      <c r="K719">
        <f>_xll.ciqfunctions.udf.CIQ(A719, "IQ_LASTSALEPRICE", WORKDAY(F719,-1))</f>
        <v>86.95</v>
      </c>
      <c r="L719">
        <f>_xll.ciqfunctions.udf.CIQ(A719, "IQ_LASTSALEPRICE", F719)</f>
        <v>87.28</v>
      </c>
      <c r="M719">
        <f>_xll.ciqfunctions.udf.CIQ(A719, "IQ_LASTSALEPRICE", WORKDAY(F719,5))</f>
        <v>91.51</v>
      </c>
      <c r="N719">
        <f t="shared" si="22"/>
        <v>3.7881007245233493E-3</v>
      </c>
      <c r="O719">
        <f t="shared" si="23"/>
        <v>5.1115015126994734E-2</v>
      </c>
      <c r="P719">
        <f>LN(_xll.ciqfunctions.udf.CIQ("XBI", "IQ_LASTSALEPRICE", WORKDAY(F719,-1))/_xll.ciqfunctions.udf.CIQ("XBI", "IQ_LASTSALEPRICE", WORKDAY(F719,1)))</f>
        <v>-1.6060184592356547E-2</v>
      </c>
      <c r="Q719">
        <f>LN(_xll.ciqfunctions.udf.CIQ("XBI", "IQ_LASTSALEPRICE", WORKDAY(F719,-1))/_xll.ciqfunctions.udf.CIQ("XBI", "IQ_LASTSALEPRICE", WORKDAY(F719,5)))</f>
        <v>4.3398868400250638E-2</v>
      </c>
      <c r="R719">
        <f>_xll.ciqfunctions.udf.CIQ(A719, "IQ_SHORT_INTEREST_PERCENT", F719)</f>
        <v>1.5710999999999999</v>
      </c>
      <c r="S719">
        <f>_xll.ciqfunctions.udf.CIQ(A719, "IQ_BETA_1YR_RSQ", F719)</f>
        <v>5.8790000000000002E-2</v>
      </c>
      <c r="T719">
        <f>_xll.ciqfunctions.udf.CIQ(A719, "IQ_VALUE_TRADED", F719)</f>
        <v>117.38881000000001</v>
      </c>
    </row>
    <row r="720" spans="1:20" x14ac:dyDescent="0.3">
      <c r="A720" t="s">
        <v>2086</v>
      </c>
      <c r="B720" s="2">
        <v>4.71</v>
      </c>
      <c r="C720" t="s">
        <v>2087</v>
      </c>
      <c r="D720" t="s">
        <v>2088</v>
      </c>
      <c r="E720" t="s">
        <v>22</v>
      </c>
      <c r="F720" s="1">
        <v>45390</v>
      </c>
      <c r="G720" t="s">
        <v>2089</v>
      </c>
      <c r="H720">
        <v>12</v>
      </c>
      <c r="I720">
        <f>_xll.ciqfunctions.udf.CIQ(A720, "IQ_MARKETCAP", F720)</f>
        <v>41.932650000000002</v>
      </c>
      <c r="J720">
        <f>_xll.ciqfunctions.udf.CIQ(A720, "IQ_PRICE_VOL_HIST_6MTH", F720)</f>
        <v>101.6656</v>
      </c>
      <c r="K720">
        <f>_xll.ciqfunctions.udf.CIQ(A720, "IQ_LASTSALEPRICE", WORKDAY(F720,-1))</f>
        <v>4.67</v>
      </c>
      <c r="L720">
        <f>_xll.ciqfunctions.udf.CIQ(A720, "IQ_LASTSALEPRICE", F720)</f>
        <v>4.71</v>
      </c>
      <c r="M720">
        <f>_xll.ciqfunctions.udf.CIQ(A720, "IQ_LASTSALEPRICE", WORKDAY(F720,5))</f>
        <v>4.4400000000000004</v>
      </c>
      <c r="N720">
        <f t="shared" si="22"/>
        <v>8.5288363475205017E-3</v>
      </c>
      <c r="O720">
        <f t="shared" si="23"/>
        <v>-5.0504695236672482E-2</v>
      </c>
      <c r="P720">
        <f>LN(_xll.ciqfunctions.udf.CIQ("XBI", "IQ_LASTSALEPRICE", WORKDAY(F720,-1))/_xll.ciqfunctions.udf.CIQ("XBI", "IQ_LASTSALEPRICE", WORKDAY(F720,1)))</f>
        <v>-1.6060184592356547E-2</v>
      </c>
      <c r="Q720">
        <f>LN(_xll.ciqfunctions.udf.CIQ("XBI", "IQ_LASTSALEPRICE", WORKDAY(F720,-1))/_xll.ciqfunctions.udf.CIQ("XBI", "IQ_LASTSALEPRICE", WORKDAY(F720,5)))</f>
        <v>4.3398868400250638E-2</v>
      </c>
      <c r="R720">
        <f>_xll.ciqfunctions.udf.CIQ(A720, "IQ_SHORT_INTEREST_PERCENT", F720)</f>
        <v>1.6815100000000001</v>
      </c>
      <c r="S720">
        <f>_xll.ciqfunctions.udf.CIQ(A720, "IQ_BETA_1YR_RSQ", F720)</f>
        <v>7.77E-3</v>
      </c>
      <c r="T720">
        <f>_xll.ciqfunctions.udf.CIQ(A720, "IQ_VALUE_TRADED", F720)</f>
        <v>9.5780000000000004E-2</v>
      </c>
    </row>
    <row r="721" spans="1:20" x14ac:dyDescent="0.3">
      <c r="A721" t="s">
        <v>42</v>
      </c>
      <c r="B721" s="2">
        <v>95.48</v>
      </c>
      <c r="C721" t="s">
        <v>2090</v>
      </c>
      <c r="D721" t="s">
        <v>2091</v>
      </c>
      <c r="E721" t="s">
        <v>36</v>
      </c>
      <c r="F721" s="1">
        <v>45390</v>
      </c>
      <c r="G721" t="s">
        <v>2092</v>
      </c>
      <c r="I721">
        <f>_xll.ciqfunctions.udf.CIQ(A721, "IQ_MARKETCAP", F721)</f>
        <v>1306.2819500000001</v>
      </c>
      <c r="J721">
        <f>_xll.ciqfunctions.udf.CIQ(A721, "IQ_PRICE_VOL_HIST_6MTH", F721)</f>
        <v>51.160899999999998</v>
      </c>
      <c r="K721">
        <f>_xll.ciqfunctions.udf.CIQ(A721, "IQ_LASTSALEPRICE", WORKDAY(F721,-1))</f>
        <v>4.21</v>
      </c>
      <c r="L721">
        <f>_xll.ciqfunctions.udf.CIQ(A721, "IQ_LASTSALEPRICE", F721)</f>
        <v>4.21</v>
      </c>
      <c r="M721">
        <f>_xll.ciqfunctions.udf.CIQ(A721, "IQ_LASTSALEPRICE", WORKDAY(F721,5))</f>
        <v>4.3</v>
      </c>
      <c r="N721">
        <f t="shared" si="22"/>
        <v>0</v>
      </c>
      <c r="O721">
        <f t="shared" si="23"/>
        <v>2.1152375005226761E-2</v>
      </c>
      <c r="P721">
        <f>LN(_xll.ciqfunctions.udf.CIQ("XBI", "IQ_LASTSALEPRICE", WORKDAY(F721,-1))/_xll.ciqfunctions.udf.CIQ("XBI", "IQ_LASTSALEPRICE", WORKDAY(F721,1)))</f>
        <v>-1.6060184592356547E-2</v>
      </c>
      <c r="Q721">
        <f>LN(_xll.ciqfunctions.udf.CIQ("XBI", "IQ_LASTSALEPRICE", WORKDAY(F721,-1))/_xll.ciqfunctions.udf.CIQ("XBI", "IQ_LASTSALEPRICE", WORKDAY(F721,5)))</f>
        <v>4.3398868400250638E-2</v>
      </c>
      <c r="R721">
        <f>_xll.ciqfunctions.udf.CIQ(A721, "IQ_SHORT_INTEREST_PERCENT", F721)</f>
        <v>0</v>
      </c>
      <c r="S721">
        <f>_xll.ciqfunctions.udf.CIQ(A721, "IQ_BETA_1YR_RSQ", F721)</f>
        <v>5.5999999999999995E-4</v>
      </c>
      <c r="T721">
        <f>_xll.ciqfunctions.udf.CIQ(A721, "IQ_VALUE_TRADED", F721)</f>
        <v>0</v>
      </c>
    </row>
    <row r="722" spans="1:20" x14ac:dyDescent="0.3">
      <c r="A722" t="s">
        <v>2093</v>
      </c>
      <c r="B722" s="2">
        <v>2.0499999999999998</v>
      </c>
      <c r="C722" t="s">
        <v>2094</v>
      </c>
      <c r="D722" t="s">
        <v>2095</v>
      </c>
      <c r="E722" t="s">
        <v>89</v>
      </c>
      <c r="F722" s="1">
        <v>45390</v>
      </c>
      <c r="G722" t="s">
        <v>2096</v>
      </c>
      <c r="H722">
        <v>2</v>
      </c>
      <c r="I722">
        <f>_xll.ciqfunctions.udf.CIQ(A722, "IQ_MARKETCAP", F722)</f>
        <v>57.2012</v>
      </c>
      <c r="J722">
        <f>_xll.ciqfunctions.udf.CIQ(A722, "IQ_PRICE_VOL_HIST_6MTH", F722)</f>
        <v>81.668999999999997</v>
      </c>
      <c r="K722">
        <f>_xll.ciqfunctions.udf.CIQ(A722, "IQ_LASTSALEPRICE", WORKDAY(F722,-1))</f>
        <v>26.16001</v>
      </c>
      <c r="L722">
        <f>_xll.ciqfunctions.udf.CIQ(A722, "IQ_LASTSALEPRICE", F722)</f>
        <v>24.600010000000001</v>
      </c>
      <c r="M722">
        <f>_xll.ciqfunctions.udf.CIQ(A722, "IQ_LASTSALEPRICE", WORKDAY(F722,5))</f>
        <v>20.040009999999999</v>
      </c>
      <c r="N722">
        <f t="shared" si="22"/>
        <v>-6.1485059409622206E-2</v>
      </c>
      <c r="O722">
        <f t="shared" si="23"/>
        <v>-0.26650113363338634</v>
      </c>
      <c r="P722">
        <f>LN(_xll.ciqfunctions.udf.CIQ("XBI", "IQ_LASTSALEPRICE", WORKDAY(F722,-1))/_xll.ciqfunctions.udf.CIQ("XBI", "IQ_LASTSALEPRICE", WORKDAY(F722,1)))</f>
        <v>-1.6060184592356547E-2</v>
      </c>
      <c r="Q722">
        <f>LN(_xll.ciqfunctions.udf.CIQ("XBI", "IQ_LASTSALEPRICE", WORKDAY(F722,-1))/_xll.ciqfunctions.udf.CIQ("XBI", "IQ_LASTSALEPRICE", WORKDAY(F722,5)))</f>
        <v>4.3398868400250638E-2</v>
      </c>
      <c r="R722">
        <f>_xll.ciqfunctions.udf.CIQ(A722, "IQ_SHORT_INTEREST_PERCENT", F722)</f>
        <v>3.0093000000000001</v>
      </c>
      <c r="S722">
        <f>_xll.ciqfunctions.udf.CIQ(A722, "IQ_BETA_1YR_RSQ", F722)</f>
        <v>6.9879999999999998E-2</v>
      </c>
      <c r="T722">
        <f>_xll.ciqfunctions.udf.CIQ(A722, "IQ_VALUE_TRADED", F722)</f>
        <v>0.33645000000000003</v>
      </c>
    </row>
    <row r="723" spans="1:20" x14ac:dyDescent="0.3">
      <c r="A723" t="s">
        <v>2097</v>
      </c>
      <c r="B723" s="2">
        <v>10.76</v>
      </c>
      <c r="C723" t="s">
        <v>2098</v>
      </c>
      <c r="D723" t="s">
        <v>2099</v>
      </c>
      <c r="E723" t="s">
        <v>36</v>
      </c>
      <c r="F723" s="1">
        <v>45390</v>
      </c>
      <c r="G723" t="s">
        <v>2100</v>
      </c>
      <c r="H723">
        <v>43</v>
      </c>
      <c r="I723">
        <f>_xll.ciqfunctions.udf.CIQ(A723, "IQ_MARKETCAP", F723)</f>
        <v>394.35082999999997</v>
      </c>
      <c r="J723">
        <f>_xll.ciqfunctions.udf.CIQ(A723, "IQ_PRICE_VOL_HIST_6MTH", F723)</f>
        <v>43.245699999999999</v>
      </c>
      <c r="K723">
        <f>_xll.ciqfunctions.udf.CIQ(A723, "IQ_LASTSALEPRICE", WORKDAY(F723,-1))</f>
        <v>11.16</v>
      </c>
      <c r="L723">
        <f>_xll.ciqfunctions.udf.CIQ(A723, "IQ_LASTSALEPRICE", F723)</f>
        <v>10.76</v>
      </c>
      <c r="M723">
        <f>_xll.ciqfunctions.udf.CIQ(A723, "IQ_LASTSALEPRICE", WORKDAY(F723,5))</f>
        <v>12.03</v>
      </c>
      <c r="N723">
        <f t="shared" si="22"/>
        <v>-3.650040221952653E-2</v>
      </c>
      <c r="O723">
        <f t="shared" si="23"/>
        <v>7.5067573033422569E-2</v>
      </c>
      <c r="P723">
        <f>LN(_xll.ciqfunctions.udf.CIQ("XBI", "IQ_LASTSALEPRICE", WORKDAY(F723,-1))/_xll.ciqfunctions.udf.CIQ("XBI", "IQ_LASTSALEPRICE", WORKDAY(F723,1)))</f>
        <v>-1.6060184592356547E-2</v>
      </c>
      <c r="Q723">
        <f>LN(_xll.ciqfunctions.udf.CIQ("XBI", "IQ_LASTSALEPRICE", WORKDAY(F723,-1))/_xll.ciqfunctions.udf.CIQ("XBI", "IQ_LASTSALEPRICE", WORKDAY(F723,5)))</f>
        <v>4.3398868400250638E-2</v>
      </c>
      <c r="R723">
        <f>_xll.ciqfunctions.udf.CIQ(A723, "IQ_SHORT_INTEREST_PERCENT", F723)</f>
        <v>0.12881999999999999</v>
      </c>
      <c r="S723">
        <f>_xll.ciqfunctions.udf.CIQ(A723, "IQ_BETA_1YR_RSQ", F723)</f>
        <v>9.5099999999999994E-3</v>
      </c>
      <c r="T723">
        <f>_xll.ciqfunctions.udf.CIQ(A723, "IQ_VALUE_TRADED", F723)</f>
        <v>8.7090000000000001E-2</v>
      </c>
    </row>
    <row r="724" spans="1:20" x14ac:dyDescent="0.3">
      <c r="A724" t="s">
        <v>2101</v>
      </c>
      <c r="B724" s="2">
        <v>6.13</v>
      </c>
      <c r="C724" t="s">
        <v>2102</v>
      </c>
      <c r="D724" t="s">
        <v>2103</v>
      </c>
      <c r="E724" t="s">
        <v>76</v>
      </c>
      <c r="F724" s="1">
        <v>45391</v>
      </c>
      <c r="G724" t="s">
        <v>2104</v>
      </c>
      <c r="H724">
        <v>2</v>
      </c>
      <c r="I724">
        <f>_xll.ciqfunctions.udf.CIQ(A724, "IQ_MARKETCAP", F724)</f>
        <v>6.5426599999999997</v>
      </c>
      <c r="J724">
        <f>_xll.ciqfunctions.udf.CIQ(A724, "IQ_PRICE_VOL_HIST_6MTH", F724)</f>
        <v>123.1122</v>
      </c>
      <c r="K724">
        <f>_xll.ciqfunctions.udf.CIQ(A724, "IQ_LASTSALEPRICE", WORKDAY(F724,-1))</f>
        <v>7.65</v>
      </c>
      <c r="L724">
        <f>_xll.ciqfunctions.udf.CIQ(A724, "IQ_LASTSALEPRICE", F724)</f>
        <v>6.1304999999999996</v>
      </c>
      <c r="M724">
        <f>_xll.ciqfunctions.udf.CIQ(A724, "IQ_LASTSALEPRICE", WORKDAY(F724,5))</f>
        <v>5.8484999999999996</v>
      </c>
      <c r="N724">
        <f t="shared" si="22"/>
        <v>-0.22142933514813995</v>
      </c>
      <c r="O724">
        <f t="shared" si="23"/>
        <v>-0.26852042972981993</v>
      </c>
      <c r="P724">
        <f>LN(_xll.ciqfunctions.udf.CIQ("XBI", "IQ_LASTSALEPRICE", WORKDAY(F724,-1))/_xll.ciqfunctions.udf.CIQ("XBI", "IQ_LASTSALEPRICE", WORKDAY(F724,1)))</f>
        <v>4.9903070015886852E-3</v>
      </c>
      <c r="Q724">
        <f>LN(_xll.ciqfunctions.udf.CIQ("XBI", "IQ_LASTSALEPRICE", WORKDAY(F724,-1))/_xll.ciqfunctions.udf.CIQ("XBI", "IQ_LASTSALEPRICE", WORKDAY(F724,5)))</f>
        <v>5.444216864373666E-2</v>
      </c>
      <c r="R724">
        <f>_xll.ciqfunctions.udf.CIQ(A724, "IQ_SHORT_INTEREST_PERCENT", F724)</f>
        <v>0.26246000000000003</v>
      </c>
      <c r="S724">
        <f>_xll.ciqfunctions.udf.CIQ(A724, "IQ_BETA_1YR_RSQ", F724)</f>
        <v>2.223E-2</v>
      </c>
      <c r="T724">
        <f>_xll.ciqfunctions.udf.CIQ(A724, "IQ_VALUE_TRADED", F724)</f>
        <v>2.4910399999999999</v>
      </c>
    </row>
    <row r="725" spans="1:20" x14ac:dyDescent="0.3">
      <c r="A725" t="s">
        <v>2105</v>
      </c>
      <c r="B725" s="2">
        <v>1.84</v>
      </c>
      <c r="C725" t="s">
        <v>2106</v>
      </c>
      <c r="D725" t="s">
        <v>2107</v>
      </c>
      <c r="E725" t="s">
        <v>76</v>
      </c>
      <c r="F725" s="1">
        <v>45391</v>
      </c>
      <c r="G725" t="s">
        <v>2108</v>
      </c>
      <c r="H725">
        <v>129</v>
      </c>
      <c r="I725">
        <f>_xll.ciqfunctions.udf.CIQ(A725, "IQ_MARKETCAP", F725)</f>
        <v>230.55948000000001</v>
      </c>
      <c r="J725">
        <f>_xll.ciqfunctions.udf.CIQ(A725, "IQ_PRICE_VOL_HIST_6MTH", F725)</f>
        <v>72.928399999999996</v>
      </c>
      <c r="K725">
        <f>_xll.ciqfunctions.udf.CIQ(A725, "IQ_LASTSALEPRICE", WORKDAY(F725,-1))</f>
        <v>1.75</v>
      </c>
      <c r="L725">
        <f>_xll.ciqfunctions.udf.CIQ(A725, "IQ_LASTSALEPRICE", F725)</f>
        <v>1.84</v>
      </c>
      <c r="M725">
        <f>_xll.ciqfunctions.udf.CIQ(A725, "IQ_LASTSALEPRICE", WORKDAY(F725,5))</f>
        <v>1.54</v>
      </c>
      <c r="N725">
        <f t="shared" si="22"/>
        <v>5.0149783685471516E-2</v>
      </c>
      <c r="O725">
        <f t="shared" si="23"/>
        <v>-0.12783337150988489</v>
      </c>
      <c r="P725">
        <f>LN(_xll.ciqfunctions.udf.CIQ("XBI", "IQ_LASTSALEPRICE", WORKDAY(F725,-1))/_xll.ciqfunctions.udf.CIQ("XBI", "IQ_LASTSALEPRICE", WORKDAY(F725,1)))</f>
        <v>4.9903070015886852E-3</v>
      </c>
      <c r="Q725">
        <f>LN(_xll.ciqfunctions.udf.CIQ("XBI", "IQ_LASTSALEPRICE", WORKDAY(F725,-1))/_xll.ciqfunctions.udf.CIQ("XBI", "IQ_LASTSALEPRICE", WORKDAY(F725,5)))</f>
        <v>5.444216864373666E-2</v>
      </c>
      <c r="R725">
        <f>_xll.ciqfunctions.udf.CIQ(A725, "IQ_SHORT_INTEREST_PERCENT", F725)</f>
        <v>8.4303299999999997</v>
      </c>
      <c r="S725">
        <f>_xll.ciqfunctions.udf.CIQ(A725, "IQ_BETA_1YR_RSQ", F725)</f>
        <v>3.8390000000000001E-2</v>
      </c>
      <c r="T725">
        <f>_xll.ciqfunctions.udf.CIQ(A725, "IQ_VALUE_TRADED", F725)</f>
        <v>7.10928</v>
      </c>
    </row>
    <row r="726" spans="1:20" x14ac:dyDescent="0.3">
      <c r="A726" t="s">
        <v>488</v>
      </c>
      <c r="B726" s="2">
        <v>754.94</v>
      </c>
      <c r="C726" t="s">
        <v>2106</v>
      </c>
      <c r="D726" t="s">
        <v>2107</v>
      </c>
      <c r="E726" t="s">
        <v>76</v>
      </c>
      <c r="F726" s="1">
        <v>45391</v>
      </c>
      <c r="G726" t="s">
        <v>2108</v>
      </c>
      <c r="H726">
        <v>946</v>
      </c>
      <c r="I726">
        <f>_xll.ciqfunctions.udf.CIQ(A726, "IQ_MARKETCAP", F726)</f>
        <v>682096.12156</v>
      </c>
      <c r="J726">
        <f>_xll.ciqfunctions.udf.CIQ(A726, "IQ_PRICE_VOL_HIST_6MTH", F726)</f>
        <v>28.220199999999998</v>
      </c>
      <c r="K726">
        <f>_xll.ciqfunctions.udf.CIQ(A726, "IQ_LASTSALEPRICE", WORKDAY(F726,-1))</f>
        <v>777.29</v>
      </c>
      <c r="L726">
        <f>_xll.ciqfunctions.udf.CIQ(A726, "IQ_LASTSALEPRICE", F726)</f>
        <v>757.24</v>
      </c>
      <c r="M726">
        <f>_xll.ciqfunctions.udf.CIQ(A726, "IQ_LASTSALEPRICE", WORKDAY(F726,5))</f>
        <v>746.74</v>
      </c>
      <c r="N726">
        <f t="shared" si="22"/>
        <v>-2.6133266966038439E-2</v>
      </c>
      <c r="O726">
        <f t="shared" si="23"/>
        <v>-4.0096445463764625E-2</v>
      </c>
      <c r="P726">
        <f>LN(_xll.ciqfunctions.udf.CIQ("XBI", "IQ_LASTSALEPRICE", WORKDAY(F726,-1))/_xll.ciqfunctions.udf.CIQ("XBI", "IQ_LASTSALEPRICE", WORKDAY(F726,1)))</f>
        <v>4.9903070015886852E-3</v>
      </c>
      <c r="Q726">
        <f>LN(_xll.ciqfunctions.udf.CIQ("XBI", "IQ_LASTSALEPRICE", WORKDAY(F726,-1))/_xll.ciqfunctions.udf.CIQ("XBI", "IQ_LASTSALEPRICE", WORKDAY(F726,5)))</f>
        <v>5.444216864373666E-2</v>
      </c>
      <c r="R726">
        <f>_xll.ciqfunctions.udf.CIQ(A726, "IQ_SHORT_INTEREST_PERCENT", F726)</f>
        <v>0.60177999999999998</v>
      </c>
      <c r="S726">
        <f>_xll.ciqfunctions.udf.CIQ(A726, "IQ_BETA_1YR_RSQ", F726)</f>
        <v>5.8199999999999997E-3</v>
      </c>
      <c r="T726">
        <f>_xll.ciqfunctions.udf.CIQ(A726, "IQ_VALUE_TRADED", F726)</f>
        <v>1866.47317</v>
      </c>
    </row>
    <row r="727" spans="1:20" x14ac:dyDescent="0.3">
      <c r="A727" t="s">
        <v>972</v>
      </c>
      <c r="B727" s="2">
        <v>2.19</v>
      </c>
      <c r="C727" t="s">
        <v>973</v>
      </c>
      <c r="D727" t="s">
        <v>974</v>
      </c>
      <c r="E727" t="s">
        <v>89</v>
      </c>
      <c r="F727" s="1">
        <v>45391</v>
      </c>
      <c r="G727" t="s">
        <v>2109</v>
      </c>
      <c r="H727">
        <v>36</v>
      </c>
      <c r="I727">
        <f>_xll.ciqfunctions.udf.CIQ(A727, "IQ_MARKETCAP", F727)</f>
        <v>64.130369999999999</v>
      </c>
      <c r="J727">
        <f>_xll.ciqfunctions.udf.CIQ(A727, "IQ_PRICE_VOL_HIST_6MTH", F727)</f>
        <v>159.4041</v>
      </c>
      <c r="K727">
        <f>_xll.ciqfunctions.udf.CIQ(A727, "IQ_LASTSALEPRICE", WORKDAY(F727,-1))</f>
        <v>2.12</v>
      </c>
      <c r="L727">
        <f>_xll.ciqfunctions.udf.CIQ(A727, "IQ_LASTSALEPRICE", F727)</f>
        <v>2.19</v>
      </c>
      <c r="M727">
        <f>_xll.ciqfunctions.udf.CIQ(A727, "IQ_LASTSALEPRICE", WORKDAY(F727,5))</f>
        <v>1.84</v>
      </c>
      <c r="N727">
        <f t="shared" si="22"/>
        <v>3.2485455144488307E-2</v>
      </c>
      <c r="O727">
        <f t="shared" si="23"/>
        <v>-0.14165051706302681</v>
      </c>
      <c r="P727">
        <f>LN(_xll.ciqfunctions.udf.CIQ("XBI", "IQ_LASTSALEPRICE", WORKDAY(F727,-1))/_xll.ciqfunctions.udf.CIQ("XBI", "IQ_LASTSALEPRICE", WORKDAY(F727,1)))</f>
        <v>4.9903070015886852E-3</v>
      </c>
      <c r="Q727">
        <f>LN(_xll.ciqfunctions.udf.CIQ("XBI", "IQ_LASTSALEPRICE", WORKDAY(F727,-1))/_xll.ciqfunctions.udf.CIQ("XBI", "IQ_LASTSALEPRICE", WORKDAY(F727,5)))</f>
        <v>5.444216864373666E-2</v>
      </c>
      <c r="R727">
        <f>_xll.ciqfunctions.udf.CIQ(A727, "IQ_SHORT_INTEREST_PERCENT", F727)</f>
        <v>9.8209599999999995</v>
      </c>
      <c r="S727">
        <f>_xll.ciqfunctions.udf.CIQ(A727, "IQ_BETA_1YR_RSQ", F727)</f>
        <v>0.16422</v>
      </c>
      <c r="T727">
        <f>_xll.ciqfunctions.udf.CIQ(A727, "IQ_VALUE_TRADED", F727)</f>
        <v>0.86856</v>
      </c>
    </row>
    <row r="728" spans="1:20" x14ac:dyDescent="0.3">
      <c r="A728" t="s">
        <v>1109</v>
      </c>
      <c r="B728" s="2">
        <v>1.67</v>
      </c>
      <c r="C728" t="s">
        <v>2110</v>
      </c>
      <c r="D728" t="s">
        <v>2111</v>
      </c>
      <c r="E728" t="s">
        <v>89</v>
      </c>
      <c r="F728" s="1">
        <v>45391</v>
      </c>
      <c r="G728" t="s">
        <v>2112</v>
      </c>
      <c r="H728">
        <v>138</v>
      </c>
      <c r="I728">
        <f>_xll.ciqfunctions.udf.CIQ(A728, "IQ_MARKETCAP", F728)</f>
        <v>229.77392</v>
      </c>
      <c r="J728">
        <f>_xll.ciqfunctions.udf.CIQ(A728, "IQ_PRICE_VOL_HIST_6MTH", F728)</f>
        <v>82.963899999999995</v>
      </c>
      <c r="K728">
        <f>_xll.ciqfunctions.udf.CIQ(A728, "IQ_LASTSALEPRICE", WORKDAY(F728,-1))</f>
        <v>1.7</v>
      </c>
      <c r="L728">
        <f>_xll.ciqfunctions.udf.CIQ(A728, "IQ_LASTSALEPRICE", F728)</f>
        <v>1.67</v>
      </c>
      <c r="M728">
        <f>_xll.ciqfunctions.udf.CIQ(A728, "IQ_LASTSALEPRICE", WORKDAY(F728,5))</f>
        <v>1.57</v>
      </c>
      <c r="N728">
        <f t="shared" si="22"/>
        <v>-1.7804624633506707E-2</v>
      </c>
      <c r="O728">
        <f t="shared" si="23"/>
        <v>-7.9552631701953647E-2</v>
      </c>
      <c r="P728">
        <f>LN(_xll.ciqfunctions.udf.CIQ("XBI", "IQ_LASTSALEPRICE", WORKDAY(F728,-1))/_xll.ciqfunctions.udf.CIQ("XBI", "IQ_LASTSALEPRICE", WORKDAY(F728,1)))</f>
        <v>4.9903070015886852E-3</v>
      </c>
      <c r="Q728">
        <f>LN(_xll.ciqfunctions.udf.CIQ("XBI", "IQ_LASTSALEPRICE", WORKDAY(F728,-1))/_xll.ciqfunctions.udf.CIQ("XBI", "IQ_LASTSALEPRICE", WORKDAY(F728,5)))</f>
        <v>5.444216864373666E-2</v>
      </c>
      <c r="R728">
        <f>_xll.ciqfunctions.udf.CIQ(A728, "IQ_SHORT_INTEREST_PERCENT", F728)</f>
        <v>1.18007</v>
      </c>
      <c r="S728">
        <f>_xll.ciqfunctions.udf.CIQ(A728, "IQ_BETA_1YR_RSQ", F728)</f>
        <v>2.0799999999999999E-2</v>
      </c>
      <c r="T728">
        <f>_xll.ciqfunctions.udf.CIQ(A728, "IQ_VALUE_TRADED", F728)</f>
        <v>0.40600999999999998</v>
      </c>
    </row>
    <row r="729" spans="1:20" x14ac:dyDescent="0.3">
      <c r="A729" t="s">
        <v>1219</v>
      </c>
      <c r="B729" s="2">
        <v>1.85</v>
      </c>
      <c r="C729" t="s">
        <v>1220</v>
      </c>
      <c r="D729" t="s">
        <v>104</v>
      </c>
      <c r="E729" t="s">
        <v>22</v>
      </c>
      <c r="F729" s="1">
        <v>45391</v>
      </c>
      <c r="G729" t="s">
        <v>2113</v>
      </c>
      <c r="H729">
        <v>6</v>
      </c>
      <c r="I729">
        <f>_xll.ciqfunctions.udf.CIQ(A729, "IQ_MARKETCAP", F729)</f>
        <v>9.9423999999999992</v>
      </c>
      <c r="J729">
        <f>_xll.ciqfunctions.udf.CIQ(A729, "IQ_PRICE_VOL_HIST_6MTH", F729)</f>
        <v>0</v>
      </c>
      <c r="K729">
        <f>_xll.ciqfunctions.udf.CIQ(A729, "IQ_LASTSALEPRICE", WORKDAY(F729,-1))</f>
        <v>0</v>
      </c>
      <c r="L729">
        <f>_xll.ciqfunctions.udf.CIQ(A729, "IQ_LASTSALEPRICE", F729)</f>
        <v>0</v>
      </c>
      <c r="M729">
        <f>_xll.ciqfunctions.udf.CIQ(A729, "IQ_LASTSALEPRICE", WORKDAY(F729,5))</f>
        <v>0</v>
      </c>
      <c r="N729" t="e">
        <f t="shared" si="22"/>
        <v>#DIV/0!</v>
      </c>
      <c r="O729" t="e">
        <f t="shared" si="23"/>
        <v>#DIV/0!</v>
      </c>
      <c r="P729">
        <f>LN(_xll.ciqfunctions.udf.CIQ("XBI", "IQ_LASTSALEPRICE", WORKDAY(F729,-1))/_xll.ciqfunctions.udf.CIQ("XBI", "IQ_LASTSALEPRICE", WORKDAY(F729,1)))</f>
        <v>4.9903070015886852E-3</v>
      </c>
      <c r="Q729">
        <f>LN(_xll.ciqfunctions.udf.CIQ("XBI", "IQ_LASTSALEPRICE", WORKDAY(F729,-1))/_xll.ciqfunctions.udf.CIQ("XBI", "IQ_LASTSALEPRICE", WORKDAY(F729,5)))</f>
        <v>5.444216864373666E-2</v>
      </c>
      <c r="R729">
        <f>_xll.ciqfunctions.udf.CIQ(A729, "IQ_SHORT_INTEREST_PERCENT", F729)</f>
        <v>0</v>
      </c>
      <c r="S729">
        <f>_xll.ciqfunctions.udf.CIQ(A729, "IQ_BETA_1YR_RSQ", F729)</f>
        <v>0</v>
      </c>
      <c r="T729">
        <f>_xll.ciqfunctions.udf.CIQ(A729, "IQ_VALUE_TRADED", F729)</f>
        <v>0</v>
      </c>
    </row>
    <row r="730" spans="1:20" x14ac:dyDescent="0.3">
      <c r="A730" t="s">
        <v>224</v>
      </c>
      <c r="B730" s="2">
        <v>17.48</v>
      </c>
      <c r="C730" t="s">
        <v>2114</v>
      </c>
      <c r="D730" t="s">
        <v>2115</v>
      </c>
      <c r="E730" t="s">
        <v>97</v>
      </c>
      <c r="F730" s="1">
        <v>45391</v>
      </c>
      <c r="G730" t="s">
        <v>2116</v>
      </c>
      <c r="H730">
        <v>76</v>
      </c>
      <c r="I730">
        <f>_xll.ciqfunctions.udf.CIQ(A730, "IQ_MARKETCAP", F730)</f>
        <v>859.15588000000002</v>
      </c>
      <c r="J730">
        <f>_xll.ciqfunctions.udf.CIQ(A730, "IQ_PRICE_VOL_HIST_6MTH", F730)</f>
        <v>91.067300000000003</v>
      </c>
      <c r="K730">
        <f>_xll.ciqfunctions.udf.CIQ(A730, "IQ_LASTSALEPRICE", WORKDAY(F730,-1))</f>
        <v>13.8</v>
      </c>
      <c r="L730">
        <f>_xll.ciqfunctions.udf.CIQ(A730, "IQ_LASTSALEPRICE", F730)</f>
        <v>17.48</v>
      </c>
      <c r="M730">
        <f>_xll.ciqfunctions.udf.CIQ(A730, "IQ_LASTSALEPRICE", WORKDAY(F730,5))</f>
        <v>14.65</v>
      </c>
      <c r="N730">
        <f t="shared" si="22"/>
        <v>0.23638877806423034</v>
      </c>
      <c r="O730">
        <f t="shared" si="23"/>
        <v>5.977174329991735E-2</v>
      </c>
      <c r="P730">
        <f>LN(_xll.ciqfunctions.udf.CIQ("XBI", "IQ_LASTSALEPRICE", WORKDAY(F730,-1))/_xll.ciqfunctions.udf.CIQ("XBI", "IQ_LASTSALEPRICE", WORKDAY(F730,1)))</f>
        <v>4.9903070015886852E-3</v>
      </c>
      <c r="Q730">
        <f>LN(_xll.ciqfunctions.udf.CIQ("XBI", "IQ_LASTSALEPRICE", WORKDAY(F730,-1))/_xll.ciqfunctions.udf.CIQ("XBI", "IQ_LASTSALEPRICE", WORKDAY(F730,5)))</f>
        <v>5.444216864373666E-2</v>
      </c>
      <c r="R730">
        <f>_xll.ciqfunctions.udf.CIQ(A730, "IQ_SHORT_INTEREST_PERCENT", F730)</f>
        <v>14.17901</v>
      </c>
      <c r="S730">
        <f>_xll.ciqfunctions.udf.CIQ(A730, "IQ_BETA_1YR_RSQ", F730)</f>
        <v>0.21503</v>
      </c>
      <c r="T730">
        <f>_xll.ciqfunctions.udf.CIQ(A730, "IQ_VALUE_TRADED", F730)</f>
        <v>33.387009999999997</v>
      </c>
    </row>
    <row r="731" spans="1:20" x14ac:dyDescent="0.3">
      <c r="A731" t="s">
        <v>2117</v>
      </c>
      <c r="B731" s="2">
        <v>1.61</v>
      </c>
      <c r="C731" t="s">
        <v>2118</v>
      </c>
      <c r="D731" t="s">
        <v>2119</v>
      </c>
      <c r="E731" t="s">
        <v>17</v>
      </c>
      <c r="F731" s="1">
        <v>45391</v>
      </c>
      <c r="G731" t="s">
        <v>2120</v>
      </c>
      <c r="H731">
        <v>65</v>
      </c>
      <c r="I731">
        <f>_xll.ciqfunctions.udf.CIQ(A731, "IQ_MARKETCAP", F731)</f>
        <v>106.06827</v>
      </c>
      <c r="J731">
        <f>_xll.ciqfunctions.udf.CIQ(A731, "IQ_PRICE_VOL_HIST_6MTH", F731)</f>
        <v>68.812700000000007</v>
      </c>
      <c r="K731">
        <f>_xll.ciqfunctions.udf.CIQ(A731, "IQ_LASTSALEPRICE", WORKDAY(F731,-1))</f>
        <v>1.54</v>
      </c>
      <c r="L731">
        <f>_xll.ciqfunctions.udf.CIQ(A731, "IQ_LASTSALEPRICE", F731)</f>
        <v>1.61</v>
      </c>
      <c r="M731">
        <f>_xll.ciqfunctions.udf.CIQ(A731, "IQ_LASTSALEPRICE", WORKDAY(F731,5))</f>
        <v>1.51</v>
      </c>
      <c r="N731">
        <f t="shared" si="22"/>
        <v>4.4451762570833796E-2</v>
      </c>
      <c r="O731">
        <f t="shared" si="23"/>
        <v>-1.9672765598704893E-2</v>
      </c>
      <c r="P731">
        <f>LN(_xll.ciqfunctions.udf.CIQ("XBI", "IQ_LASTSALEPRICE", WORKDAY(F731,-1))/_xll.ciqfunctions.udf.CIQ("XBI", "IQ_LASTSALEPRICE", WORKDAY(F731,1)))</f>
        <v>4.9903070015886852E-3</v>
      </c>
      <c r="Q731">
        <f>LN(_xll.ciqfunctions.udf.CIQ("XBI", "IQ_LASTSALEPRICE", WORKDAY(F731,-1))/_xll.ciqfunctions.udf.CIQ("XBI", "IQ_LASTSALEPRICE", WORKDAY(F731,5)))</f>
        <v>5.444216864373666E-2</v>
      </c>
      <c r="R731">
        <f>_xll.ciqfunctions.udf.CIQ(A731, "IQ_SHORT_INTEREST_PERCENT", F731)</f>
        <v>0.10352</v>
      </c>
      <c r="S731">
        <f>_xll.ciqfunctions.udf.CIQ(A731, "IQ_BETA_1YR_RSQ", F731)</f>
        <v>6.3380000000000006E-2</v>
      </c>
      <c r="T731">
        <f>_xll.ciqfunctions.udf.CIQ(A731, "IQ_VALUE_TRADED", F731)</f>
        <v>0.10657</v>
      </c>
    </row>
    <row r="732" spans="1:20" x14ac:dyDescent="0.3">
      <c r="A732" t="s">
        <v>967</v>
      </c>
      <c r="B732" s="2">
        <v>8.44</v>
      </c>
      <c r="C732" t="s">
        <v>2121</v>
      </c>
      <c r="D732" t="s">
        <v>2122</v>
      </c>
      <c r="E732" t="s">
        <v>76</v>
      </c>
      <c r="F732" s="1">
        <v>45391</v>
      </c>
      <c r="G732" t="s">
        <v>2123</v>
      </c>
      <c r="H732">
        <v>16</v>
      </c>
      <c r="I732">
        <f>_xll.ciqfunctions.udf.CIQ(A732, "IQ_MARKETCAP", F732)</f>
        <v>293.70943</v>
      </c>
      <c r="J732">
        <f>_xll.ciqfunctions.udf.CIQ(A732, "IQ_PRICE_VOL_HIST_6MTH", F732)</f>
        <v>209.36969999999999</v>
      </c>
      <c r="K732">
        <f>_xll.ciqfunctions.udf.CIQ(A732, "IQ_LASTSALEPRICE", WORKDAY(F732,-1))</f>
        <v>66.56</v>
      </c>
      <c r="L732">
        <f>_xll.ciqfunctions.udf.CIQ(A732, "IQ_LASTSALEPRICE", F732)</f>
        <v>67.52</v>
      </c>
      <c r="M732">
        <f>_xll.ciqfunctions.udf.CIQ(A732, "IQ_LASTSALEPRICE", WORKDAY(F732,5))</f>
        <v>65.040000000000006</v>
      </c>
      <c r="N732">
        <f t="shared" si="22"/>
        <v>1.4320053774748471E-2</v>
      </c>
      <c r="O732">
        <f t="shared" si="23"/>
        <v>-2.3101331273397974E-2</v>
      </c>
      <c r="P732">
        <f>LN(_xll.ciqfunctions.udf.CIQ("XBI", "IQ_LASTSALEPRICE", WORKDAY(F732,-1))/_xll.ciqfunctions.udf.CIQ("XBI", "IQ_LASTSALEPRICE", WORKDAY(F732,1)))</f>
        <v>4.9903070015886852E-3</v>
      </c>
      <c r="Q732">
        <f>LN(_xll.ciqfunctions.udf.CIQ("XBI", "IQ_LASTSALEPRICE", WORKDAY(F732,-1))/_xll.ciqfunctions.udf.CIQ("XBI", "IQ_LASTSALEPRICE", WORKDAY(F732,5)))</f>
        <v>5.444216864373666E-2</v>
      </c>
      <c r="R732">
        <f>_xll.ciqfunctions.udf.CIQ(A732, "IQ_SHORT_INTEREST_PERCENT", F732)</f>
        <v>8.5539900000000006</v>
      </c>
      <c r="S732">
        <f>_xll.ciqfunctions.udf.CIQ(A732, "IQ_BETA_1YR_RSQ", F732)</f>
        <v>7.8719999999999998E-2</v>
      </c>
      <c r="T732">
        <f>_xll.ciqfunctions.udf.CIQ(A732, "IQ_VALUE_TRADED", F732)</f>
        <v>13.09483</v>
      </c>
    </row>
    <row r="733" spans="1:20" x14ac:dyDescent="0.3">
      <c r="A733" t="s">
        <v>2124</v>
      </c>
      <c r="B733" s="2">
        <v>7.48</v>
      </c>
      <c r="C733" t="s">
        <v>2125</v>
      </c>
      <c r="D733" t="s">
        <v>253</v>
      </c>
      <c r="E733" t="s">
        <v>89</v>
      </c>
      <c r="F733" s="1">
        <v>45391</v>
      </c>
      <c r="G733" t="s">
        <v>2126</v>
      </c>
      <c r="H733">
        <v>56</v>
      </c>
      <c r="I733">
        <f>_xll.ciqfunctions.udf.CIQ(A733, "IQ_MARKETCAP", F733)</f>
        <v>318.39296000000002</v>
      </c>
      <c r="J733">
        <f>_xll.ciqfunctions.udf.CIQ(A733, "IQ_PRICE_VOL_HIST_6MTH", F733)</f>
        <v>124.8815</v>
      </c>
      <c r="K733">
        <f>_xll.ciqfunctions.udf.CIQ(A733, "IQ_LASTSALEPRICE", WORKDAY(F733,-1))</f>
        <v>7.17</v>
      </c>
      <c r="L733">
        <f>_xll.ciqfunctions.udf.CIQ(A733, "IQ_LASTSALEPRICE", F733)</f>
        <v>7.48</v>
      </c>
      <c r="M733">
        <f>_xll.ciqfunctions.udf.CIQ(A733, "IQ_LASTSALEPRICE", WORKDAY(F733,5))</f>
        <v>6.03</v>
      </c>
      <c r="N733">
        <f t="shared" si="22"/>
        <v>4.2327137374856938E-2</v>
      </c>
      <c r="O733">
        <f t="shared" si="23"/>
        <v>-0.17315864387243488</v>
      </c>
      <c r="P733">
        <f>LN(_xll.ciqfunctions.udf.CIQ("XBI", "IQ_LASTSALEPRICE", WORKDAY(F733,-1))/_xll.ciqfunctions.udf.CIQ("XBI", "IQ_LASTSALEPRICE", WORKDAY(F733,1)))</f>
        <v>4.9903070015886852E-3</v>
      </c>
      <c r="Q733">
        <f>LN(_xll.ciqfunctions.udf.CIQ("XBI", "IQ_LASTSALEPRICE", WORKDAY(F733,-1))/_xll.ciqfunctions.udf.CIQ("XBI", "IQ_LASTSALEPRICE", WORKDAY(F733,5)))</f>
        <v>5.444216864373666E-2</v>
      </c>
      <c r="R733">
        <f>_xll.ciqfunctions.udf.CIQ(A733, "IQ_SHORT_INTEREST_PERCENT", F733)</f>
        <v>2.8010299999999999</v>
      </c>
      <c r="S733">
        <f>_xll.ciqfunctions.udf.CIQ(A733, "IQ_BETA_1YR_RSQ", F733)</f>
        <v>4.7870000000000003E-2</v>
      </c>
      <c r="T733">
        <f>_xll.ciqfunctions.udf.CIQ(A733, "IQ_VALUE_TRADED", F733)</f>
        <v>0.38751000000000002</v>
      </c>
    </row>
    <row r="734" spans="1:20" x14ac:dyDescent="0.3">
      <c r="A734" t="s">
        <v>488</v>
      </c>
      <c r="B734" s="2">
        <v>754.94</v>
      </c>
      <c r="C734" t="s">
        <v>2125</v>
      </c>
      <c r="D734" t="s">
        <v>253</v>
      </c>
      <c r="E734" t="s">
        <v>89</v>
      </c>
      <c r="F734" s="1">
        <v>45391</v>
      </c>
      <c r="G734" t="s">
        <v>2126</v>
      </c>
      <c r="H734">
        <v>946</v>
      </c>
      <c r="I734">
        <f>_xll.ciqfunctions.udf.CIQ(A734, "IQ_MARKETCAP", F734)</f>
        <v>682096.12156</v>
      </c>
      <c r="J734">
        <f>_xll.ciqfunctions.udf.CIQ(A734, "IQ_PRICE_VOL_HIST_6MTH", F734)</f>
        <v>28.220199999999998</v>
      </c>
      <c r="K734">
        <f>_xll.ciqfunctions.udf.CIQ(A734, "IQ_LASTSALEPRICE", WORKDAY(F734,-1))</f>
        <v>777.29</v>
      </c>
      <c r="L734">
        <f>_xll.ciqfunctions.udf.CIQ(A734, "IQ_LASTSALEPRICE", F734)</f>
        <v>757.24</v>
      </c>
      <c r="M734">
        <f>_xll.ciqfunctions.udf.CIQ(A734, "IQ_LASTSALEPRICE", WORKDAY(F734,5))</f>
        <v>746.74</v>
      </c>
      <c r="N734">
        <f t="shared" si="22"/>
        <v>-2.6133266966038439E-2</v>
      </c>
      <c r="O734">
        <f t="shared" si="23"/>
        <v>-4.0096445463764625E-2</v>
      </c>
      <c r="P734">
        <f>LN(_xll.ciqfunctions.udf.CIQ("XBI", "IQ_LASTSALEPRICE", WORKDAY(F734,-1))/_xll.ciqfunctions.udf.CIQ("XBI", "IQ_LASTSALEPRICE", WORKDAY(F734,1)))</f>
        <v>4.9903070015886852E-3</v>
      </c>
      <c r="Q734">
        <f>LN(_xll.ciqfunctions.udf.CIQ("XBI", "IQ_LASTSALEPRICE", WORKDAY(F734,-1))/_xll.ciqfunctions.udf.CIQ("XBI", "IQ_LASTSALEPRICE", WORKDAY(F734,5)))</f>
        <v>5.444216864373666E-2</v>
      </c>
      <c r="R734">
        <f>_xll.ciqfunctions.udf.CIQ(A734, "IQ_SHORT_INTEREST_PERCENT", F734)</f>
        <v>0.60177999999999998</v>
      </c>
      <c r="S734">
        <f>_xll.ciqfunctions.udf.CIQ(A734, "IQ_BETA_1YR_RSQ", F734)</f>
        <v>5.8199999999999997E-3</v>
      </c>
      <c r="T734">
        <f>_xll.ciqfunctions.udf.CIQ(A734, "IQ_VALUE_TRADED", F734)</f>
        <v>1866.47317</v>
      </c>
    </row>
    <row r="735" spans="1:20" x14ac:dyDescent="0.3">
      <c r="A735" t="s">
        <v>2127</v>
      </c>
      <c r="B735" s="2">
        <v>1.0900000000000001</v>
      </c>
      <c r="C735" t="s">
        <v>2128</v>
      </c>
      <c r="D735" t="s">
        <v>243</v>
      </c>
      <c r="E735" t="s">
        <v>89</v>
      </c>
      <c r="F735" s="1">
        <v>45391</v>
      </c>
      <c r="G735" t="s">
        <v>2129</v>
      </c>
      <c r="H735">
        <v>4</v>
      </c>
      <c r="I735">
        <f>_xll.ciqfunctions.udf.CIQ(A735, "IQ_MARKETCAP", F735)</f>
        <v>47.183169999999997</v>
      </c>
      <c r="J735">
        <f>_xll.ciqfunctions.udf.CIQ(A735, "IQ_PRICE_VOL_HIST_6MTH", F735)</f>
        <v>132.28120000000001</v>
      </c>
      <c r="K735">
        <f>_xll.ciqfunctions.udf.CIQ(A735, "IQ_LASTSALEPRICE", WORKDAY(F735,-1))</f>
        <v>32.700029999999998</v>
      </c>
      <c r="L735">
        <f>_xll.ciqfunctions.udf.CIQ(A735, "IQ_LASTSALEPRICE", F735)</f>
        <v>32.700029999999998</v>
      </c>
      <c r="M735">
        <f>_xll.ciqfunctions.udf.CIQ(A735, "IQ_LASTSALEPRICE", WORKDAY(F735,5))</f>
        <v>29.409030000000001</v>
      </c>
      <c r="N735">
        <f t="shared" si="22"/>
        <v>0</v>
      </c>
      <c r="O735">
        <f t="shared" si="23"/>
        <v>-0.10607422529091191</v>
      </c>
      <c r="P735">
        <f>LN(_xll.ciqfunctions.udf.CIQ("XBI", "IQ_LASTSALEPRICE", WORKDAY(F735,-1))/_xll.ciqfunctions.udf.CIQ("XBI", "IQ_LASTSALEPRICE", WORKDAY(F735,1)))</f>
        <v>4.9903070015886852E-3</v>
      </c>
      <c r="Q735">
        <f>LN(_xll.ciqfunctions.udf.CIQ("XBI", "IQ_LASTSALEPRICE", WORKDAY(F735,-1))/_xll.ciqfunctions.udf.CIQ("XBI", "IQ_LASTSALEPRICE", WORKDAY(F735,5)))</f>
        <v>5.444216864373666E-2</v>
      </c>
      <c r="R735">
        <f>_xll.ciqfunctions.udf.CIQ(A735, "IQ_SHORT_INTEREST_PERCENT", F735)</f>
        <v>0.11924</v>
      </c>
      <c r="S735">
        <f>_xll.ciqfunctions.udf.CIQ(A735, "IQ_BETA_1YR_RSQ", F735)</f>
        <v>3.0699999999999998E-3</v>
      </c>
      <c r="T735">
        <f>_xll.ciqfunctions.udf.CIQ(A735, "IQ_VALUE_TRADED", F735)</f>
        <v>2.5004400000000002</v>
      </c>
    </row>
    <row r="736" spans="1:20" x14ac:dyDescent="0.3">
      <c r="A736" t="s">
        <v>2130</v>
      </c>
      <c r="B736" s="2">
        <v>3.87</v>
      </c>
      <c r="C736" t="s">
        <v>2131</v>
      </c>
      <c r="D736" t="s">
        <v>2132</v>
      </c>
      <c r="E736" t="s">
        <v>89</v>
      </c>
      <c r="F736" s="1">
        <v>45391</v>
      </c>
      <c r="G736" t="s">
        <v>2133</v>
      </c>
      <c r="H736">
        <v>4</v>
      </c>
      <c r="I736">
        <f>_xll.ciqfunctions.udf.CIQ(A736, "IQ_MARKETCAP", F736)</f>
        <v>85.883120000000005</v>
      </c>
      <c r="J736">
        <f>_xll.ciqfunctions.udf.CIQ(A736, "IQ_PRICE_VOL_HIST_6MTH", F736)</f>
        <v>560.27340000000004</v>
      </c>
      <c r="K736">
        <f>_xll.ciqfunctions.udf.CIQ(A736, "IQ_LASTSALEPRICE", WORKDAY(F736,-1))</f>
        <v>51.869979999999998</v>
      </c>
      <c r="L736">
        <f>_xll.ciqfunctions.udf.CIQ(A736, "IQ_LASTSALEPRICE", F736)</f>
        <v>50.309980000000003</v>
      </c>
      <c r="M736">
        <f>_xll.ciqfunctions.udf.CIQ(A736, "IQ_LASTSALEPRICE", WORKDAY(F736,5))</f>
        <v>43.549990000000001</v>
      </c>
      <c r="N736">
        <f t="shared" si="22"/>
        <v>-3.0536735816034555E-2</v>
      </c>
      <c r="O736">
        <f t="shared" si="23"/>
        <v>-0.17483072910654116</v>
      </c>
      <c r="P736">
        <f>LN(_xll.ciqfunctions.udf.CIQ("XBI", "IQ_LASTSALEPRICE", WORKDAY(F736,-1))/_xll.ciqfunctions.udf.CIQ("XBI", "IQ_LASTSALEPRICE", WORKDAY(F736,1)))</f>
        <v>4.9903070015886852E-3</v>
      </c>
      <c r="Q736">
        <f>LN(_xll.ciqfunctions.udf.CIQ("XBI", "IQ_LASTSALEPRICE", WORKDAY(F736,-1))/_xll.ciqfunctions.udf.CIQ("XBI", "IQ_LASTSALEPRICE", WORKDAY(F736,5)))</f>
        <v>5.444216864373666E-2</v>
      </c>
      <c r="R736">
        <f>_xll.ciqfunctions.udf.CIQ(A736, "IQ_SHORT_INTEREST_PERCENT", F736)</f>
        <v>4.3696000000000002</v>
      </c>
      <c r="S736">
        <f>_xll.ciqfunctions.udf.CIQ(A736, "IQ_BETA_1YR_RSQ", F736)</f>
        <v>1E-4</v>
      </c>
      <c r="T736">
        <f>_xll.ciqfunctions.udf.CIQ(A736, "IQ_VALUE_TRADED", F736)</f>
        <v>2.9459499999999998</v>
      </c>
    </row>
    <row r="737" spans="1:20" x14ac:dyDescent="0.3">
      <c r="A737" t="s">
        <v>433</v>
      </c>
      <c r="B737" s="2">
        <v>67.989999999999995</v>
      </c>
      <c r="C737" t="s">
        <v>2134</v>
      </c>
      <c r="D737" t="s">
        <v>2135</v>
      </c>
      <c r="E737" t="s">
        <v>76</v>
      </c>
      <c r="F737" s="1">
        <v>45391</v>
      </c>
      <c r="G737" t="s">
        <v>2136</v>
      </c>
      <c r="I737">
        <f>_xll.ciqfunctions.udf.CIQ(A737, "IQ_MARKETCAP", F737)</f>
        <v>165997.69552000001</v>
      </c>
      <c r="J737">
        <f>_xll.ciqfunctions.udf.CIQ(A737, "IQ_PRICE_VOL_HIST_6MTH", F737)</f>
        <v>23.859400000000001</v>
      </c>
      <c r="K737">
        <f>_xll.ciqfunctions.udf.CIQ(A737, "IQ_LASTSALEPRICE", WORKDAY(F737,-1))</f>
        <v>106.1</v>
      </c>
      <c r="L737">
        <f>_xll.ciqfunctions.udf.CIQ(A737, "IQ_LASTSALEPRICE", F737)</f>
        <v>107.08</v>
      </c>
      <c r="M737">
        <f>_xll.ciqfunctions.udf.CIQ(A737, "IQ_LASTSALEPRICE", WORKDAY(F737,5))</f>
        <v>108.78</v>
      </c>
      <c r="N737">
        <f t="shared" si="22"/>
        <v>9.1941730322142746E-3</v>
      </c>
      <c r="O737">
        <f t="shared" si="23"/>
        <v>2.4945448374877319E-2</v>
      </c>
      <c r="P737">
        <f>LN(_xll.ciqfunctions.udf.CIQ("XBI", "IQ_LASTSALEPRICE", WORKDAY(F737,-1))/_xll.ciqfunctions.udf.CIQ("XBI", "IQ_LASTSALEPRICE", WORKDAY(F737,1)))</f>
        <v>4.9903070015886852E-3</v>
      </c>
      <c r="Q737">
        <f>LN(_xll.ciqfunctions.udf.CIQ("XBI", "IQ_LASTSALEPRICE", WORKDAY(F737,-1))/_xll.ciqfunctions.udf.CIQ("XBI", "IQ_LASTSALEPRICE", WORKDAY(F737,5)))</f>
        <v>5.444216864373666E-2</v>
      </c>
      <c r="R737">
        <f>_xll.ciqfunctions.udf.CIQ(A737, "IQ_SHORT_INTEREST_PERCENT", F737)</f>
        <v>0</v>
      </c>
      <c r="S737">
        <f>_xll.ciqfunctions.udf.CIQ(A737, "IQ_BETA_1YR_RSQ", F737)</f>
        <v>0.22766</v>
      </c>
      <c r="T737">
        <f>_xll.ciqfunctions.udf.CIQ(A737, "IQ_VALUE_TRADED", F737)</f>
        <v>183.79007999999999</v>
      </c>
    </row>
    <row r="738" spans="1:20" x14ac:dyDescent="0.3">
      <c r="A738" t="s">
        <v>2137</v>
      </c>
      <c r="B738" s="2">
        <v>4.99</v>
      </c>
      <c r="C738" t="s">
        <v>2138</v>
      </c>
      <c r="D738" t="s">
        <v>2139</v>
      </c>
      <c r="E738" t="s">
        <v>89</v>
      </c>
      <c r="F738" s="1">
        <v>45391</v>
      </c>
      <c r="G738" t="s">
        <v>2140</v>
      </c>
      <c r="H738">
        <v>56</v>
      </c>
      <c r="I738">
        <f>_xll.ciqfunctions.udf.CIQ(A738, "IQ_MARKETCAP", F738)</f>
        <v>377.87074999999999</v>
      </c>
      <c r="J738">
        <f>_xll.ciqfunctions.udf.CIQ(A738, "IQ_PRICE_VOL_HIST_6MTH", F738)</f>
        <v>98.130200000000002</v>
      </c>
      <c r="K738">
        <f>_xll.ciqfunctions.udf.CIQ(A738, "IQ_LASTSALEPRICE", WORKDAY(F738,-1))</f>
        <v>4.7</v>
      </c>
      <c r="L738">
        <f>_xll.ciqfunctions.udf.CIQ(A738, "IQ_LASTSALEPRICE", F738)</f>
        <v>4.99</v>
      </c>
      <c r="M738">
        <f>_xll.ciqfunctions.udf.CIQ(A738, "IQ_LASTSALEPRICE", WORKDAY(F738,5))</f>
        <v>4.91</v>
      </c>
      <c r="N738">
        <f t="shared" si="22"/>
        <v>5.9873401047414322E-2</v>
      </c>
      <c r="O738">
        <f t="shared" si="23"/>
        <v>4.371143309041621E-2</v>
      </c>
      <c r="P738">
        <f>LN(_xll.ciqfunctions.udf.CIQ("XBI", "IQ_LASTSALEPRICE", WORKDAY(F738,-1))/_xll.ciqfunctions.udf.CIQ("XBI", "IQ_LASTSALEPRICE", WORKDAY(F738,1)))</f>
        <v>4.9903070015886852E-3</v>
      </c>
      <c r="Q738">
        <f>LN(_xll.ciqfunctions.udf.CIQ("XBI", "IQ_LASTSALEPRICE", WORKDAY(F738,-1))/_xll.ciqfunctions.udf.CIQ("XBI", "IQ_LASTSALEPRICE", WORKDAY(F738,5)))</f>
        <v>5.444216864373666E-2</v>
      </c>
      <c r="R738">
        <f>_xll.ciqfunctions.udf.CIQ(A738, "IQ_SHORT_INTEREST_PERCENT", F738)</f>
        <v>0.82120000000000004</v>
      </c>
      <c r="S738">
        <f>_xll.ciqfunctions.udf.CIQ(A738, "IQ_BETA_1YR_RSQ", F738)</f>
        <v>0.10664</v>
      </c>
      <c r="T738">
        <f>_xll.ciqfunctions.udf.CIQ(A738, "IQ_VALUE_TRADED", F738)</f>
        <v>0.32042999999999999</v>
      </c>
    </row>
    <row r="739" spans="1:20" x14ac:dyDescent="0.3">
      <c r="A739" t="s">
        <v>2137</v>
      </c>
      <c r="B739" s="2">
        <v>4.99</v>
      </c>
      <c r="C739" t="s">
        <v>2141</v>
      </c>
      <c r="D739" t="s">
        <v>2142</v>
      </c>
      <c r="E739" t="s">
        <v>89</v>
      </c>
      <c r="F739" s="1">
        <v>45391</v>
      </c>
      <c r="G739" t="s">
        <v>2143</v>
      </c>
      <c r="H739">
        <v>56</v>
      </c>
      <c r="I739">
        <f>_xll.ciqfunctions.udf.CIQ(A739, "IQ_MARKETCAP", F739)</f>
        <v>377.87074999999999</v>
      </c>
      <c r="J739">
        <f>_xll.ciqfunctions.udf.CIQ(A739, "IQ_PRICE_VOL_HIST_6MTH", F739)</f>
        <v>98.130200000000002</v>
      </c>
      <c r="K739">
        <f>_xll.ciqfunctions.udf.CIQ(A739, "IQ_LASTSALEPRICE", WORKDAY(F739,-1))</f>
        <v>4.7</v>
      </c>
      <c r="L739">
        <f>_xll.ciqfunctions.udf.CIQ(A739, "IQ_LASTSALEPRICE", F739)</f>
        <v>4.99</v>
      </c>
      <c r="M739">
        <f>_xll.ciqfunctions.udf.CIQ(A739, "IQ_LASTSALEPRICE", WORKDAY(F739,5))</f>
        <v>4.91</v>
      </c>
      <c r="N739">
        <f t="shared" si="22"/>
        <v>5.9873401047414322E-2</v>
      </c>
      <c r="O739">
        <f t="shared" si="23"/>
        <v>4.371143309041621E-2</v>
      </c>
      <c r="P739">
        <f>LN(_xll.ciqfunctions.udf.CIQ("XBI", "IQ_LASTSALEPRICE", WORKDAY(F739,-1))/_xll.ciqfunctions.udf.CIQ("XBI", "IQ_LASTSALEPRICE", WORKDAY(F739,1)))</f>
        <v>4.9903070015886852E-3</v>
      </c>
      <c r="Q739">
        <f>LN(_xll.ciqfunctions.udf.CIQ("XBI", "IQ_LASTSALEPRICE", WORKDAY(F739,-1))/_xll.ciqfunctions.udf.CIQ("XBI", "IQ_LASTSALEPRICE", WORKDAY(F739,5)))</f>
        <v>5.444216864373666E-2</v>
      </c>
      <c r="R739">
        <f>_xll.ciqfunctions.udf.CIQ(A739, "IQ_SHORT_INTEREST_PERCENT", F739)</f>
        <v>0.82120000000000004</v>
      </c>
      <c r="S739">
        <f>_xll.ciqfunctions.udf.CIQ(A739, "IQ_BETA_1YR_RSQ", F739)</f>
        <v>0.10664</v>
      </c>
      <c r="T739">
        <f>_xll.ciqfunctions.udf.CIQ(A739, "IQ_VALUE_TRADED", F739)</f>
        <v>0.32042999999999999</v>
      </c>
    </row>
    <row r="740" spans="1:20" x14ac:dyDescent="0.3">
      <c r="A740" t="s">
        <v>2137</v>
      </c>
      <c r="B740" s="2">
        <v>4.99</v>
      </c>
      <c r="C740" t="s">
        <v>2144</v>
      </c>
      <c r="D740" t="s">
        <v>2145</v>
      </c>
      <c r="E740" t="s">
        <v>89</v>
      </c>
      <c r="F740" s="1">
        <v>45391</v>
      </c>
      <c r="G740" t="s">
        <v>2146</v>
      </c>
      <c r="H740">
        <v>56</v>
      </c>
      <c r="I740">
        <f>_xll.ciqfunctions.udf.CIQ(A740, "IQ_MARKETCAP", F740)</f>
        <v>377.87074999999999</v>
      </c>
      <c r="J740">
        <f>_xll.ciqfunctions.udf.CIQ(A740, "IQ_PRICE_VOL_HIST_6MTH", F740)</f>
        <v>98.130200000000002</v>
      </c>
      <c r="K740">
        <f>_xll.ciqfunctions.udf.CIQ(A740, "IQ_LASTSALEPRICE", WORKDAY(F740,-1))</f>
        <v>4.7</v>
      </c>
      <c r="L740">
        <f>_xll.ciqfunctions.udf.CIQ(A740, "IQ_LASTSALEPRICE", F740)</f>
        <v>4.99</v>
      </c>
      <c r="M740">
        <f>_xll.ciqfunctions.udf.CIQ(A740, "IQ_LASTSALEPRICE", WORKDAY(F740,5))</f>
        <v>4.91</v>
      </c>
      <c r="N740">
        <f t="shared" si="22"/>
        <v>5.9873401047414322E-2</v>
      </c>
      <c r="O740">
        <f t="shared" si="23"/>
        <v>4.371143309041621E-2</v>
      </c>
      <c r="P740">
        <f>LN(_xll.ciqfunctions.udf.CIQ("XBI", "IQ_LASTSALEPRICE", WORKDAY(F740,-1))/_xll.ciqfunctions.udf.CIQ("XBI", "IQ_LASTSALEPRICE", WORKDAY(F740,1)))</f>
        <v>4.9903070015886852E-3</v>
      </c>
      <c r="Q740">
        <f>LN(_xll.ciqfunctions.udf.CIQ("XBI", "IQ_LASTSALEPRICE", WORKDAY(F740,-1))/_xll.ciqfunctions.udf.CIQ("XBI", "IQ_LASTSALEPRICE", WORKDAY(F740,5)))</f>
        <v>5.444216864373666E-2</v>
      </c>
      <c r="R740">
        <f>_xll.ciqfunctions.udf.CIQ(A740, "IQ_SHORT_INTEREST_PERCENT", F740)</f>
        <v>0.82120000000000004</v>
      </c>
      <c r="S740">
        <f>_xll.ciqfunctions.udf.CIQ(A740, "IQ_BETA_1YR_RSQ", F740)</f>
        <v>0.10664</v>
      </c>
      <c r="T740">
        <f>_xll.ciqfunctions.udf.CIQ(A740, "IQ_VALUE_TRADED", F740)</f>
        <v>0.32042999999999999</v>
      </c>
    </row>
    <row r="741" spans="1:20" x14ac:dyDescent="0.3">
      <c r="A741" t="s">
        <v>2147</v>
      </c>
      <c r="B741" s="2">
        <v>1.63</v>
      </c>
      <c r="C741" t="s">
        <v>2148</v>
      </c>
      <c r="D741" t="s">
        <v>2149</v>
      </c>
      <c r="E741" t="s">
        <v>36</v>
      </c>
      <c r="F741" s="1">
        <v>45391</v>
      </c>
      <c r="G741" t="s">
        <v>2150</v>
      </c>
      <c r="H741">
        <v>74</v>
      </c>
      <c r="I741">
        <f>_xll.ciqfunctions.udf.CIQ(A741, "IQ_MARKETCAP", F741)</f>
        <v>79.93289</v>
      </c>
      <c r="J741">
        <f>_xll.ciqfunctions.udf.CIQ(A741, "IQ_PRICE_VOL_HIST_6MTH", F741)</f>
        <v>78.856099999999998</v>
      </c>
      <c r="K741">
        <f>_xll.ciqfunctions.udf.CIQ(A741, "IQ_LASTSALEPRICE", WORKDAY(F741,-1))</f>
        <v>1.71</v>
      </c>
      <c r="L741">
        <f>_xll.ciqfunctions.udf.CIQ(A741, "IQ_LASTSALEPRICE", F741)</f>
        <v>1.63</v>
      </c>
      <c r="M741">
        <f>_xll.ciqfunctions.udf.CIQ(A741, "IQ_LASTSALEPRICE", WORKDAY(F741,5))</f>
        <v>1.47</v>
      </c>
      <c r="N741">
        <f t="shared" si="22"/>
        <v>-4.7913355695897504E-2</v>
      </c>
      <c r="O741">
        <f t="shared" si="23"/>
        <v>-0.15123096972392353</v>
      </c>
      <c r="P741">
        <f>LN(_xll.ciqfunctions.udf.CIQ("XBI", "IQ_LASTSALEPRICE", WORKDAY(F741,-1))/_xll.ciqfunctions.udf.CIQ("XBI", "IQ_LASTSALEPRICE", WORKDAY(F741,1)))</f>
        <v>4.9903070015886852E-3</v>
      </c>
      <c r="Q741">
        <f>LN(_xll.ciqfunctions.udf.CIQ("XBI", "IQ_LASTSALEPRICE", WORKDAY(F741,-1))/_xll.ciqfunctions.udf.CIQ("XBI", "IQ_LASTSALEPRICE", WORKDAY(F741,5)))</f>
        <v>5.444216864373666E-2</v>
      </c>
      <c r="R741">
        <f>_xll.ciqfunctions.udf.CIQ(A741, "IQ_SHORT_INTEREST_PERCENT", F741)</f>
        <v>2.85005</v>
      </c>
      <c r="S741">
        <f>_xll.ciqfunctions.udf.CIQ(A741, "IQ_BETA_1YR_RSQ", F741)</f>
        <v>9.8600000000000007E-3</v>
      </c>
      <c r="T741">
        <f>_xll.ciqfunctions.udf.CIQ(A741, "IQ_VALUE_TRADED", F741)</f>
        <v>0.31968999999999997</v>
      </c>
    </row>
    <row r="742" spans="1:20" x14ac:dyDescent="0.3">
      <c r="A742" t="s">
        <v>2151</v>
      </c>
      <c r="B742" s="2">
        <v>0.71</v>
      </c>
      <c r="C742" t="s">
        <v>2152</v>
      </c>
      <c r="D742" t="s">
        <v>2153</v>
      </c>
      <c r="E742" t="s">
        <v>46</v>
      </c>
      <c r="F742" s="1">
        <v>45391</v>
      </c>
      <c r="G742" t="s">
        <v>2154</v>
      </c>
      <c r="H742">
        <v>8</v>
      </c>
      <c r="I742">
        <f>_xll.ciqfunctions.udf.CIQ(A742, "IQ_MARKETCAP", F742)</f>
        <v>107.12611</v>
      </c>
      <c r="J742">
        <f>_xll.ciqfunctions.udf.CIQ(A742, "IQ_PRICE_VOL_HIST_6MTH", F742)</f>
        <v>135.35659999999999</v>
      </c>
      <c r="K742">
        <f>_xll.ciqfunctions.udf.CIQ(A742, "IQ_LASTSALEPRICE", WORKDAY(F742,-1))</f>
        <v>14.648</v>
      </c>
      <c r="L742">
        <f>_xll.ciqfunctions.udf.CIQ(A742, "IQ_LASTSALEPRICE", F742)</f>
        <v>14.188000000000001</v>
      </c>
      <c r="M742">
        <f>_xll.ciqfunctions.udf.CIQ(A742, "IQ_LASTSALEPRICE", WORKDAY(F742,5))</f>
        <v>12.722</v>
      </c>
      <c r="N742">
        <f t="shared" si="22"/>
        <v>-3.1907270460834178E-2</v>
      </c>
      <c r="O742">
        <f t="shared" si="23"/>
        <v>-0.14097102911559709</v>
      </c>
      <c r="P742">
        <f>LN(_xll.ciqfunctions.udf.CIQ("XBI", "IQ_LASTSALEPRICE", WORKDAY(F742,-1))/_xll.ciqfunctions.udf.CIQ("XBI", "IQ_LASTSALEPRICE", WORKDAY(F742,1)))</f>
        <v>4.9903070015886852E-3</v>
      </c>
      <c r="Q742">
        <f>LN(_xll.ciqfunctions.udf.CIQ("XBI", "IQ_LASTSALEPRICE", WORKDAY(F742,-1))/_xll.ciqfunctions.udf.CIQ("XBI", "IQ_LASTSALEPRICE", WORKDAY(F742,5)))</f>
        <v>5.444216864373666E-2</v>
      </c>
      <c r="R742">
        <f>_xll.ciqfunctions.udf.CIQ(A742, "IQ_SHORT_INTEREST_PERCENT", F742)</f>
        <v>12.45171</v>
      </c>
      <c r="S742">
        <f>_xll.ciqfunctions.udf.CIQ(A742, "IQ_BETA_1YR_RSQ", F742)</f>
        <v>3.0500000000000002E-3</v>
      </c>
      <c r="T742">
        <f>_xll.ciqfunctions.udf.CIQ(A742, "IQ_VALUE_TRADED", F742)</f>
        <v>4.9589499999999997</v>
      </c>
    </row>
    <row r="743" spans="1:20" x14ac:dyDescent="0.3">
      <c r="A743" t="s">
        <v>2155</v>
      </c>
      <c r="B743" s="2">
        <v>0.4</v>
      </c>
      <c r="C743" t="s">
        <v>2156</v>
      </c>
      <c r="D743" t="s">
        <v>2157</v>
      </c>
      <c r="E743" t="s">
        <v>22</v>
      </c>
      <c r="F743" s="1">
        <v>45391</v>
      </c>
      <c r="G743" t="s">
        <v>2158</v>
      </c>
      <c r="H743">
        <v>1</v>
      </c>
      <c r="I743">
        <f>_xll.ciqfunctions.udf.CIQ(A743, "IQ_MARKETCAP", F743)</f>
        <v>2.516</v>
      </c>
      <c r="J743">
        <f>_xll.ciqfunctions.udf.CIQ(A743, "IQ_PRICE_VOL_HIST_6MTH", F743)</f>
        <v>64.7714</v>
      </c>
      <c r="K743">
        <f>_xll.ciqfunctions.udf.CIQ(A743, "IQ_LASTSALEPRICE", WORKDAY(F743,-1))</f>
        <v>19.074999999999999</v>
      </c>
      <c r="L743">
        <f>_xll.ciqfunctions.udf.CIQ(A743, "IQ_LASTSALEPRICE", F743)</f>
        <v>19.945</v>
      </c>
      <c r="M743">
        <f>_xll.ciqfunctions.udf.CIQ(A743, "IQ_LASTSALEPRICE", WORKDAY(F743,5))</f>
        <v>14.99</v>
      </c>
      <c r="N743">
        <f t="shared" si="22"/>
        <v>4.4599908186849231E-2</v>
      </c>
      <c r="O743">
        <f t="shared" si="23"/>
        <v>-0.24099526505601426</v>
      </c>
      <c r="P743">
        <f>LN(_xll.ciqfunctions.udf.CIQ("XBI", "IQ_LASTSALEPRICE", WORKDAY(F743,-1))/_xll.ciqfunctions.udf.CIQ("XBI", "IQ_LASTSALEPRICE", WORKDAY(F743,1)))</f>
        <v>4.9903070015886852E-3</v>
      </c>
      <c r="Q743">
        <f>LN(_xll.ciqfunctions.udf.CIQ("XBI", "IQ_LASTSALEPRICE", WORKDAY(F743,-1))/_xll.ciqfunctions.udf.CIQ("XBI", "IQ_LASTSALEPRICE", WORKDAY(F743,5)))</f>
        <v>5.444216864373666E-2</v>
      </c>
      <c r="R743">
        <f>_xll.ciqfunctions.udf.CIQ(A743, "IQ_SHORT_INTEREST_PERCENT", F743)</f>
        <v>1.26728</v>
      </c>
      <c r="S743">
        <f>_xll.ciqfunctions.udf.CIQ(A743, "IQ_BETA_1YR_RSQ", F743)</f>
        <v>7.3400000000000002E-3</v>
      </c>
      <c r="T743">
        <f>_xll.ciqfunctions.udf.CIQ(A743, "IQ_VALUE_TRADED", F743)</f>
        <v>3.3450000000000001E-2</v>
      </c>
    </row>
    <row r="744" spans="1:20" x14ac:dyDescent="0.3">
      <c r="A744" t="s">
        <v>719</v>
      </c>
      <c r="B744" s="2">
        <v>2.85</v>
      </c>
      <c r="C744" t="s">
        <v>2159</v>
      </c>
      <c r="D744" t="s">
        <v>2034</v>
      </c>
      <c r="E744" t="s">
        <v>76</v>
      </c>
      <c r="F744" s="1">
        <v>45391</v>
      </c>
      <c r="G744" t="s">
        <v>2160</v>
      </c>
      <c r="H744">
        <v>1</v>
      </c>
      <c r="I744">
        <f>_xll.ciqfunctions.udf.CIQ(A744, "IQ_MARKETCAP", F744)</f>
        <v>62.008580000000002</v>
      </c>
      <c r="J744">
        <f>_xll.ciqfunctions.udf.CIQ(A744, "IQ_PRICE_VOL_HIST_6MTH", F744)</f>
        <v>87.334199999999996</v>
      </c>
      <c r="K744">
        <f>_xll.ciqfunctions.udf.CIQ(A744, "IQ_LASTSALEPRICE", WORKDAY(F744,-1))</f>
        <v>439.49977999999999</v>
      </c>
      <c r="L744">
        <f>_xll.ciqfunctions.udf.CIQ(A744, "IQ_LASTSALEPRICE", F744)</f>
        <v>427.51479</v>
      </c>
      <c r="M744">
        <f>_xll.ciqfunctions.udf.CIQ(A744, "IQ_LASTSALEPRICE", WORKDAY(F744,5))</f>
        <v>341.99982999999997</v>
      </c>
      <c r="N744">
        <f t="shared" si="22"/>
        <v>-2.7648332286679983E-2</v>
      </c>
      <c r="O744">
        <f t="shared" si="23"/>
        <v>-0.25082697656982006</v>
      </c>
      <c r="P744">
        <f>LN(_xll.ciqfunctions.udf.CIQ("XBI", "IQ_LASTSALEPRICE", WORKDAY(F744,-1))/_xll.ciqfunctions.udf.CIQ("XBI", "IQ_LASTSALEPRICE", WORKDAY(F744,1)))</f>
        <v>4.9903070015886852E-3</v>
      </c>
      <c r="Q744">
        <f>LN(_xll.ciqfunctions.udf.CIQ("XBI", "IQ_LASTSALEPRICE", WORKDAY(F744,-1))/_xll.ciqfunctions.udf.CIQ("XBI", "IQ_LASTSALEPRICE", WORKDAY(F744,5)))</f>
        <v>5.444216864373666E-2</v>
      </c>
      <c r="R744">
        <f>_xll.ciqfunctions.udf.CIQ(A744, "IQ_SHORT_INTEREST_PERCENT", F744)</f>
        <v>0</v>
      </c>
      <c r="S744">
        <f>_xll.ciqfunctions.udf.CIQ(A744, "IQ_BETA_1YR_RSQ", F744)</f>
        <v>0</v>
      </c>
      <c r="T744">
        <f>_xll.ciqfunctions.udf.CIQ(A744, "IQ_VALUE_TRADED", F744)</f>
        <v>9.4479999999999995E-2</v>
      </c>
    </row>
    <row r="745" spans="1:20" x14ac:dyDescent="0.3">
      <c r="A745" t="s">
        <v>719</v>
      </c>
      <c r="B745" s="2">
        <v>2.85</v>
      </c>
      <c r="C745" t="s">
        <v>720</v>
      </c>
      <c r="D745" t="s">
        <v>721</v>
      </c>
      <c r="E745" t="s">
        <v>76</v>
      </c>
      <c r="F745" s="1">
        <v>45391</v>
      </c>
      <c r="G745" t="s">
        <v>2161</v>
      </c>
      <c r="H745">
        <v>1</v>
      </c>
      <c r="I745">
        <f>_xll.ciqfunctions.udf.CIQ(A745, "IQ_MARKETCAP", F745)</f>
        <v>62.008580000000002</v>
      </c>
      <c r="J745">
        <f>_xll.ciqfunctions.udf.CIQ(A745, "IQ_PRICE_VOL_HIST_6MTH", F745)</f>
        <v>87.334199999999996</v>
      </c>
      <c r="K745">
        <f>_xll.ciqfunctions.udf.CIQ(A745, "IQ_LASTSALEPRICE", WORKDAY(F745,-1))</f>
        <v>439.49977999999999</v>
      </c>
      <c r="L745">
        <f>_xll.ciqfunctions.udf.CIQ(A745, "IQ_LASTSALEPRICE", F745)</f>
        <v>427.51479</v>
      </c>
      <c r="M745">
        <f>_xll.ciqfunctions.udf.CIQ(A745, "IQ_LASTSALEPRICE", WORKDAY(F745,5))</f>
        <v>341.99982999999997</v>
      </c>
      <c r="N745">
        <f t="shared" si="22"/>
        <v>-2.7648332286679983E-2</v>
      </c>
      <c r="O745">
        <f t="shared" si="23"/>
        <v>-0.25082697656982006</v>
      </c>
      <c r="P745">
        <f>LN(_xll.ciqfunctions.udf.CIQ("XBI", "IQ_LASTSALEPRICE", WORKDAY(F745,-1))/_xll.ciqfunctions.udf.CIQ("XBI", "IQ_LASTSALEPRICE", WORKDAY(F745,1)))</f>
        <v>4.9903070015886852E-3</v>
      </c>
      <c r="Q745">
        <f>LN(_xll.ciqfunctions.udf.CIQ("XBI", "IQ_LASTSALEPRICE", WORKDAY(F745,-1))/_xll.ciqfunctions.udf.CIQ("XBI", "IQ_LASTSALEPRICE", WORKDAY(F745,5)))</f>
        <v>5.444216864373666E-2</v>
      </c>
      <c r="R745">
        <f>_xll.ciqfunctions.udf.CIQ(A745, "IQ_SHORT_INTEREST_PERCENT", F745)</f>
        <v>0</v>
      </c>
      <c r="S745">
        <f>_xll.ciqfunctions.udf.CIQ(A745, "IQ_BETA_1YR_RSQ", F745)</f>
        <v>0</v>
      </c>
      <c r="T745">
        <f>_xll.ciqfunctions.udf.CIQ(A745, "IQ_VALUE_TRADED", F745)</f>
        <v>9.4479999999999995E-2</v>
      </c>
    </row>
    <row r="746" spans="1:20" x14ac:dyDescent="0.3">
      <c r="A746" t="s">
        <v>2162</v>
      </c>
      <c r="B746" s="2">
        <v>2.6</v>
      </c>
      <c r="C746" t="s">
        <v>2163</v>
      </c>
      <c r="D746" t="s">
        <v>2164</v>
      </c>
      <c r="E746" t="s">
        <v>89</v>
      </c>
      <c r="F746" s="1">
        <v>45391</v>
      </c>
      <c r="G746" t="s">
        <v>2165</v>
      </c>
      <c r="H746">
        <v>92</v>
      </c>
      <c r="I746">
        <f>_xll.ciqfunctions.udf.CIQ(A746, "IQ_MARKETCAP", F746)</f>
        <v>185.93656999999999</v>
      </c>
      <c r="J746">
        <f>_xll.ciqfunctions.udf.CIQ(A746, "IQ_PRICE_VOL_HIST_6MTH", F746)</f>
        <v>79.648300000000006</v>
      </c>
      <c r="K746">
        <f>_xll.ciqfunctions.udf.CIQ(A746, "IQ_LASTSALEPRICE", WORKDAY(F746,-1))</f>
        <v>2.6</v>
      </c>
      <c r="L746">
        <f>_xll.ciqfunctions.udf.CIQ(A746, "IQ_LASTSALEPRICE", F746)</f>
        <v>2.6</v>
      </c>
      <c r="M746">
        <f>_xll.ciqfunctions.udf.CIQ(A746, "IQ_LASTSALEPRICE", WORKDAY(F746,5))</f>
        <v>2.59</v>
      </c>
      <c r="N746">
        <f t="shared" si="22"/>
        <v>0</v>
      </c>
      <c r="O746">
        <f t="shared" si="23"/>
        <v>-3.8535693159900777E-3</v>
      </c>
      <c r="P746">
        <f>LN(_xll.ciqfunctions.udf.CIQ("XBI", "IQ_LASTSALEPRICE", WORKDAY(F746,-1))/_xll.ciqfunctions.udf.CIQ("XBI", "IQ_LASTSALEPRICE", WORKDAY(F746,1)))</f>
        <v>4.9903070015886852E-3</v>
      </c>
      <c r="Q746">
        <f>LN(_xll.ciqfunctions.udf.CIQ("XBI", "IQ_LASTSALEPRICE", WORKDAY(F746,-1))/_xll.ciqfunctions.udf.CIQ("XBI", "IQ_LASTSALEPRICE", WORKDAY(F746,5)))</f>
        <v>5.444216864373666E-2</v>
      </c>
      <c r="R746">
        <f>_xll.ciqfunctions.udf.CIQ(A746, "IQ_SHORT_INTEREST_PERCENT", F746)</f>
        <v>0</v>
      </c>
      <c r="S746">
        <f>_xll.ciqfunctions.udf.CIQ(A746, "IQ_BETA_1YR_RSQ", F746)</f>
        <v>0</v>
      </c>
      <c r="T746">
        <f>_xll.ciqfunctions.udf.CIQ(A746, "IQ_VALUE_TRADED", F746)</f>
        <v>4.6019999999999998E-2</v>
      </c>
    </row>
    <row r="747" spans="1:20" x14ac:dyDescent="0.3">
      <c r="A747" t="s">
        <v>2047</v>
      </c>
      <c r="B747" s="2">
        <v>12.34</v>
      </c>
      <c r="C747" t="s">
        <v>2166</v>
      </c>
      <c r="D747" t="s">
        <v>2167</v>
      </c>
      <c r="E747" t="s">
        <v>22</v>
      </c>
      <c r="F747" s="1">
        <v>45391</v>
      </c>
      <c r="G747" t="s">
        <v>2168</v>
      </c>
      <c r="H747">
        <v>53</v>
      </c>
      <c r="I747">
        <f>_xll.ciqfunctions.udf.CIQ(A747, "IQ_MARKETCAP", F747)</f>
        <v>618.87669000000005</v>
      </c>
      <c r="J747">
        <f>_xll.ciqfunctions.udf.CIQ(A747, "IQ_PRICE_VOL_HIST_6MTH", F747)</f>
        <v>92.381200000000007</v>
      </c>
      <c r="K747">
        <f>_xll.ciqfunctions.udf.CIQ(A747, "IQ_LASTSALEPRICE", WORKDAY(F747,-1))</f>
        <v>12.14</v>
      </c>
      <c r="L747">
        <f>_xll.ciqfunctions.udf.CIQ(A747, "IQ_LASTSALEPRICE", F747)</f>
        <v>12.34</v>
      </c>
      <c r="M747">
        <f>_xll.ciqfunctions.udf.CIQ(A747, "IQ_LASTSALEPRICE", WORKDAY(F747,5))</f>
        <v>14.49</v>
      </c>
      <c r="N747">
        <f t="shared" si="22"/>
        <v>1.6340232845889494E-2</v>
      </c>
      <c r="O747">
        <f t="shared" si="23"/>
        <v>0.17695297070123872</v>
      </c>
      <c r="P747">
        <f>LN(_xll.ciqfunctions.udf.CIQ("XBI", "IQ_LASTSALEPRICE", WORKDAY(F747,-1))/_xll.ciqfunctions.udf.CIQ("XBI", "IQ_LASTSALEPRICE", WORKDAY(F747,1)))</f>
        <v>4.9903070015886852E-3</v>
      </c>
      <c r="Q747">
        <f>LN(_xll.ciqfunctions.udf.CIQ("XBI", "IQ_LASTSALEPRICE", WORKDAY(F747,-1))/_xll.ciqfunctions.udf.CIQ("XBI", "IQ_LASTSALEPRICE", WORKDAY(F747,5)))</f>
        <v>5.444216864373666E-2</v>
      </c>
      <c r="R747">
        <f>_xll.ciqfunctions.udf.CIQ(A747, "IQ_SHORT_INTEREST_PERCENT", F747)</f>
        <v>6.2230100000000004</v>
      </c>
      <c r="S747">
        <f>_xll.ciqfunctions.udf.CIQ(A747, "IQ_BETA_1YR_RSQ", F747)</f>
        <v>0.10736999999999999</v>
      </c>
      <c r="T747">
        <f>_xll.ciqfunctions.udf.CIQ(A747, "IQ_VALUE_TRADED", F747)</f>
        <v>5.4245999999999999</v>
      </c>
    </row>
    <row r="748" spans="1:20" x14ac:dyDescent="0.3">
      <c r="A748" t="s">
        <v>1877</v>
      </c>
      <c r="B748" s="2">
        <v>3.07</v>
      </c>
      <c r="C748" t="s">
        <v>2169</v>
      </c>
      <c r="D748" t="s">
        <v>1812</v>
      </c>
      <c r="E748" t="s">
        <v>89</v>
      </c>
      <c r="F748" s="1">
        <v>45391</v>
      </c>
      <c r="G748" t="s">
        <v>2170</v>
      </c>
      <c r="I748">
        <f>_xll.ciqfunctions.udf.CIQ(A748, "IQ_MARKETCAP", F748)</f>
        <v>5.8649300000000002</v>
      </c>
      <c r="J748">
        <f>_xll.ciqfunctions.udf.CIQ(A748, "IQ_PRICE_VOL_HIST_6MTH", F748)</f>
        <v>125.5804</v>
      </c>
      <c r="K748">
        <f>_xll.ciqfunctions.udf.CIQ(A748, "IQ_LASTSALEPRICE", WORKDAY(F748,-1))</f>
        <v>148</v>
      </c>
      <c r="L748">
        <f>_xll.ciqfunctions.udf.CIQ(A748, "IQ_LASTSALEPRICE", F748)</f>
        <v>153.5</v>
      </c>
      <c r="M748">
        <f>_xll.ciqfunctions.udf.CIQ(A748, "IQ_LASTSALEPRICE", WORKDAY(F748,5))</f>
        <v>115</v>
      </c>
      <c r="N748">
        <f t="shared" si="22"/>
        <v>3.6488293263136684E-2</v>
      </c>
      <c r="O748">
        <f t="shared" si="23"/>
        <v>-0.25228014540086507</v>
      </c>
      <c r="P748">
        <f>LN(_xll.ciqfunctions.udf.CIQ("XBI", "IQ_LASTSALEPRICE", WORKDAY(F748,-1))/_xll.ciqfunctions.udf.CIQ("XBI", "IQ_LASTSALEPRICE", WORKDAY(F748,1)))</f>
        <v>4.9903070015886852E-3</v>
      </c>
      <c r="Q748">
        <f>LN(_xll.ciqfunctions.udf.CIQ("XBI", "IQ_LASTSALEPRICE", WORKDAY(F748,-1))/_xll.ciqfunctions.udf.CIQ("XBI", "IQ_LASTSALEPRICE", WORKDAY(F748,5)))</f>
        <v>5.444216864373666E-2</v>
      </c>
      <c r="R748">
        <f>_xll.ciqfunctions.udf.CIQ(A748, "IQ_SHORT_INTEREST_PERCENT", F748)</f>
        <v>3.66133</v>
      </c>
      <c r="S748">
        <f>_xll.ciqfunctions.udf.CIQ(A748, "IQ_BETA_1YR_RSQ", F748)</f>
        <v>0.16200999999999999</v>
      </c>
      <c r="T748">
        <f>_xll.ciqfunctions.udf.CIQ(A748, "IQ_VALUE_TRADED", F748)</f>
        <v>0.38957999999999998</v>
      </c>
    </row>
    <row r="749" spans="1:20" x14ac:dyDescent="0.3">
      <c r="A749" t="s">
        <v>2171</v>
      </c>
      <c r="B749" s="2">
        <v>2.36</v>
      </c>
      <c r="C749" t="s">
        <v>2172</v>
      </c>
      <c r="D749" t="s">
        <v>104</v>
      </c>
      <c r="E749" t="s">
        <v>89</v>
      </c>
      <c r="F749" s="1">
        <v>45391</v>
      </c>
      <c r="G749" t="s">
        <v>2173</v>
      </c>
      <c r="H749">
        <v>93</v>
      </c>
      <c r="I749">
        <f>_xll.ciqfunctions.udf.CIQ(A749, "IQ_MARKETCAP", F749)</f>
        <v>211.29125999999999</v>
      </c>
      <c r="J749">
        <f>_xll.ciqfunctions.udf.CIQ(A749, "IQ_PRICE_VOL_HIST_6MTH", F749)</f>
        <v>161.63509999999999</v>
      </c>
      <c r="K749">
        <f>_xll.ciqfunctions.udf.CIQ(A749, "IQ_LASTSALEPRICE", WORKDAY(F749,-1))</f>
        <v>2.33</v>
      </c>
      <c r="L749">
        <f>_xll.ciqfunctions.udf.CIQ(A749, "IQ_LASTSALEPRICE", F749)</f>
        <v>2.36</v>
      </c>
      <c r="M749">
        <f>_xll.ciqfunctions.udf.CIQ(A749, "IQ_LASTSALEPRICE", WORKDAY(F749,5))</f>
        <v>2.0299999999999998</v>
      </c>
      <c r="N749">
        <f t="shared" si="22"/>
        <v>1.2793351459909322E-2</v>
      </c>
      <c r="O749">
        <f t="shared" si="23"/>
        <v>-0.13783247452391342</v>
      </c>
      <c r="P749">
        <f>LN(_xll.ciqfunctions.udf.CIQ("XBI", "IQ_LASTSALEPRICE", WORKDAY(F749,-1))/_xll.ciqfunctions.udf.CIQ("XBI", "IQ_LASTSALEPRICE", WORKDAY(F749,1)))</f>
        <v>4.9903070015886852E-3</v>
      </c>
      <c r="Q749">
        <f>LN(_xll.ciqfunctions.udf.CIQ("XBI", "IQ_LASTSALEPRICE", WORKDAY(F749,-1))/_xll.ciqfunctions.udf.CIQ("XBI", "IQ_LASTSALEPRICE", WORKDAY(F749,5)))</f>
        <v>5.444216864373666E-2</v>
      </c>
      <c r="R749">
        <f>_xll.ciqfunctions.udf.CIQ(A749, "IQ_SHORT_INTEREST_PERCENT", F749)</f>
        <v>2.3365</v>
      </c>
      <c r="S749">
        <f>_xll.ciqfunctions.udf.CIQ(A749, "IQ_BETA_1YR_RSQ", F749)</f>
        <v>2.7949999999999999E-2</v>
      </c>
      <c r="T749">
        <f>_xll.ciqfunctions.udf.CIQ(A749, "IQ_VALUE_TRADED", F749)</f>
        <v>0.35893999999999998</v>
      </c>
    </row>
    <row r="750" spans="1:20" x14ac:dyDescent="0.3">
      <c r="A750" t="s">
        <v>478</v>
      </c>
      <c r="B750" s="2">
        <v>69.12</v>
      </c>
      <c r="C750" t="s">
        <v>2172</v>
      </c>
      <c r="D750" t="s">
        <v>104</v>
      </c>
      <c r="E750" t="s">
        <v>89</v>
      </c>
      <c r="F750" s="1">
        <v>45391</v>
      </c>
      <c r="G750" t="s">
        <v>2173</v>
      </c>
      <c r="I750">
        <f>_xll.ciqfunctions.udf.CIQ(A750, "IQ_MARKETCAP", F750)</f>
        <v>87080.700700000001</v>
      </c>
      <c r="J750">
        <f>_xll.ciqfunctions.udf.CIQ(A750, "IQ_PRICE_VOL_HIST_6MTH", F750)</f>
        <v>25.070499999999999</v>
      </c>
      <c r="K750">
        <f>_xll.ciqfunctions.udf.CIQ(A750, "IQ_LASTSALEPRICE", WORKDAY(F750,-1))</f>
        <v>69.42</v>
      </c>
      <c r="L750">
        <f>_xll.ciqfunctions.udf.CIQ(A750, "IQ_LASTSALEPRICE", F750)</f>
        <v>69.94</v>
      </c>
      <c r="M750">
        <f>_xll.ciqfunctions.udf.CIQ(A750, "IQ_LASTSALEPRICE", WORKDAY(F750,5))</f>
        <v>67.31</v>
      </c>
      <c r="N750">
        <f t="shared" si="22"/>
        <v>7.4627212015895943E-3</v>
      </c>
      <c r="O750">
        <f t="shared" si="23"/>
        <v>-3.0866196411018492E-2</v>
      </c>
      <c r="P750">
        <f>LN(_xll.ciqfunctions.udf.CIQ("XBI", "IQ_LASTSALEPRICE", WORKDAY(F750,-1))/_xll.ciqfunctions.udf.CIQ("XBI", "IQ_LASTSALEPRICE", WORKDAY(F750,1)))</f>
        <v>4.9903070015886852E-3</v>
      </c>
      <c r="Q750">
        <f>LN(_xll.ciqfunctions.udf.CIQ("XBI", "IQ_LASTSALEPRICE", WORKDAY(F750,-1))/_xll.ciqfunctions.udf.CIQ("XBI", "IQ_LASTSALEPRICE", WORKDAY(F750,5)))</f>
        <v>5.444216864373666E-2</v>
      </c>
      <c r="R750">
        <f>_xll.ciqfunctions.udf.CIQ(A750, "IQ_SHORT_INTEREST_PERCENT", F750)</f>
        <v>1.8129599999999999</v>
      </c>
      <c r="S750">
        <f>_xll.ciqfunctions.udf.CIQ(A750, "IQ_BETA_1YR_RSQ", F750)</f>
        <v>5.6259999999999998E-2</v>
      </c>
      <c r="T750">
        <f>_xll.ciqfunctions.udf.CIQ(A750, "IQ_VALUE_TRADED", F750)</f>
        <v>414.61858999999998</v>
      </c>
    </row>
    <row r="751" spans="1:20" x14ac:dyDescent="0.3">
      <c r="A751" t="s">
        <v>2174</v>
      </c>
      <c r="B751" s="2">
        <v>1.41</v>
      </c>
      <c r="C751" t="s">
        <v>2175</v>
      </c>
      <c r="D751" t="s">
        <v>2176</v>
      </c>
      <c r="E751" t="s">
        <v>89</v>
      </c>
      <c r="F751" s="1">
        <v>45391</v>
      </c>
      <c r="G751" t="s">
        <v>2177</v>
      </c>
      <c r="H751">
        <v>9</v>
      </c>
      <c r="I751">
        <f>_xll.ciqfunctions.udf.CIQ(A751, "IQ_MARKETCAP", F751)</f>
        <v>0</v>
      </c>
      <c r="J751">
        <f>_xll.ciqfunctions.udf.CIQ(A751, "IQ_PRICE_VOL_HIST_6MTH", F751)</f>
        <v>11.5755</v>
      </c>
      <c r="K751">
        <f>_xll.ciqfunctions.udf.CIQ(A751, "IQ_LASTSALEPRICE", WORKDAY(F751,-1))</f>
        <v>10.66325</v>
      </c>
      <c r="L751">
        <f>_xll.ciqfunctions.udf.CIQ(A751, "IQ_LASTSALEPRICE", F751)</f>
        <v>10.66555</v>
      </c>
      <c r="M751">
        <f>_xll.ciqfunctions.udf.CIQ(A751, "IQ_LASTSALEPRICE", WORKDAY(F751,5))</f>
        <v>10.955299999999999</v>
      </c>
      <c r="N751">
        <f t="shared" si="22"/>
        <v>2.1567083088736531E-4</v>
      </c>
      <c r="O751">
        <f t="shared" si="23"/>
        <v>2.7020107107682895E-2</v>
      </c>
      <c r="P751">
        <f>LN(_xll.ciqfunctions.udf.CIQ("XBI", "IQ_LASTSALEPRICE", WORKDAY(F751,-1))/_xll.ciqfunctions.udf.CIQ("XBI", "IQ_LASTSALEPRICE", WORKDAY(F751,1)))</f>
        <v>4.9903070015886852E-3</v>
      </c>
      <c r="Q751">
        <f>LN(_xll.ciqfunctions.udf.CIQ("XBI", "IQ_LASTSALEPRICE", WORKDAY(F751,-1))/_xll.ciqfunctions.udf.CIQ("XBI", "IQ_LASTSALEPRICE", WORKDAY(F751,5)))</f>
        <v>5.444216864373666E-2</v>
      </c>
      <c r="R751">
        <f>_xll.ciqfunctions.udf.CIQ(A751, "IQ_SHORT_INTEREST_PERCENT", F751)</f>
        <v>0</v>
      </c>
      <c r="S751">
        <f>_xll.ciqfunctions.udf.CIQ(A751, "IQ_BETA_1YR_RSQ", F751)</f>
        <v>0</v>
      </c>
      <c r="T751">
        <f>_xll.ciqfunctions.udf.CIQ(A751, "IQ_VALUE_TRADED", F751)</f>
        <v>0</v>
      </c>
    </row>
    <row r="752" spans="1:20" x14ac:dyDescent="0.3">
      <c r="A752" t="s">
        <v>401</v>
      </c>
      <c r="B752" s="2">
        <v>26.03</v>
      </c>
      <c r="C752" t="s">
        <v>2178</v>
      </c>
      <c r="D752" t="s">
        <v>2179</v>
      </c>
      <c r="E752" t="s">
        <v>36</v>
      </c>
      <c r="F752" s="1">
        <v>45391</v>
      </c>
      <c r="G752" t="s">
        <v>2180</v>
      </c>
      <c r="I752">
        <f>_xll.ciqfunctions.udf.CIQ(A752, "IQ_MARKETCAP", F752)</f>
        <v>151642.85576999999</v>
      </c>
      <c r="J752">
        <f>_xll.ciqfunctions.udf.CIQ(A752, "IQ_PRICE_VOL_HIST_6MTH", F752)</f>
        <v>26.7971</v>
      </c>
      <c r="K752">
        <f>_xll.ciqfunctions.udf.CIQ(A752, "IQ_LASTSALEPRICE", WORKDAY(F752,-1))</f>
        <v>26.58</v>
      </c>
      <c r="L752">
        <f>_xll.ciqfunctions.udf.CIQ(A752, "IQ_LASTSALEPRICE", F752)</f>
        <v>26.78</v>
      </c>
      <c r="M752">
        <f>_xll.ciqfunctions.udf.CIQ(A752, "IQ_LASTSALEPRICE", WORKDAY(F752,5))</f>
        <v>25.69</v>
      </c>
      <c r="N752">
        <f t="shared" si="22"/>
        <v>7.4962869779272865E-3</v>
      </c>
      <c r="O752">
        <f t="shared" si="23"/>
        <v>-3.405724216330689E-2</v>
      </c>
      <c r="P752">
        <f>LN(_xll.ciqfunctions.udf.CIQ("XBI", "IQ_LASTSALEPRICE", WORKDAY(F752,-1))/_xll.ciqfunctions.udf.CIQ("XBI", "IQ_LASTSALEPRICE", WORKDAY(F752,1)))</f>
        <v>4.9903070015886852E-3</v>
      </c>
      <c r="Q752">
        <f>LN(_xll.ciqfunctions.udf.CIQ("XBI", "IQ_LASTSALEPRICE", WORKDAY(F752,-1))/_xll.ciqfunctions.udf.CIQ("XBI", "IQ_LASTSALEPRICE", WORKDAY(F752,5)))</f>
        <v>5.444216864373666E-2</v>
      </c>
      <c r="R752">
        <f>_xll.ciqfunctions.udf.CIQ(A752, "IQ_SHORT_INTEREST_PERCENT", F752)</f>
        <v>1.14785</v>
      </c>
      <c r="S752">
        <f>_xll.ciqfunctions.udf.CIQ(A752, "IQ_BETA_1YR_RSQ", F752)</f>
        <v>3.3669999999999999E-2</v>
      </c>
      <c r="T752">
        <f>_xll.ciqfunctions.udf.CIQ(A752, "IQ_VALUE_TRADED", F752)</f>
        <v>1210.2857899999999</v>
      </c>
    </row>
    <row r="753" spans="1:20" x14ac:dyDescent="0.3">
      <c r="A753" t="s">
        <v>361</v>
      </c>
      <c r="B753" s="2">
        <v>154.02000000000001</v>
      </c>
      <c r="C753" t="s">
        <v>2181</v>
      </c>
      <c r="D753" t="s">
        <v>2182</v>
      </c>
      <c r="E753" t="s">
        <v>76</v>
      </c>
      <c r="F753" s="1">
        <v>45391</v>
      </c>
      <c r="G753" t="s">
        <v>2183</v>
      </c>
      <c r="H753">
        <v>106</v>
      </c>
      <c r="I753">
        <f>_xll.ciqfunctions.udf.CIQ(A753, "IQ_MARKETCAP", F753)</f>
        <v>16093.59878</v>
      </c>
      <c r="J753">
        <f>_xll.ciqfunctions.udf.CIQ(A753, "IQ_PRICE_VOL_HIST_6MTH", F753)</f>
        <v>0</v>
      </c>
      <c r="K753">
        <f>_xll.ciqfunctions.udf.CIQ(A753, "IQ_LASTSALEPRICE", WORKDAY(F753,-1))</f>
        <v>0</v>
      </c>
      <c r="L753">
        <f>_xll.ciqfunctions.udf.CIQ(A753, "IQ_LASTSALEPRICE", F753)</f>
        <v>0</v>
      </c>
      <c r="M753">
        <f>_xll.ciqfunctions.udf.CIQ(A753, "IQ_LASTSALEPRICE", WORKDAY(F753,5))</f>
        <v>0</v>
      </c>
      <c r="N753" t="e">
        <f t="shared" si="22"/>
        <v>#DIV/0!</v>
      </c>
      <c r="O753" t="e">
        <f t="shared" si="23"/>
        <v>#DIV/0!</v>
      </c>
      <c r="P753">
        <f>LN(_xll.ciqfunctions.udf.CIQ("XBI", "IQ_LASTSALEPRICE", WORKDAY(F753,-1))/_xll.ciqfunctions.udf.CIQ("XBI", "IQ_LASTSALEPRICE", WORKDAY(F753,1)))</f>
        <v>4.9903070015886852E-3</v>
      </c>
      <c r="Q753">
        <f>LN(_xll.ciqfunctions.udf.CIQ("XBI", "IQ_LASTSALEPRICE", WORKDAY(F753,-1))/_xll.ciqfunctions.udf.CIQ("XBI", "IQ_LASTSALEPRICE", WORKDAY(F753,5)))</f>
        <v>5.444216864373666E-2</v>
      </c>
      <c r="R753">
        <f>_xll.ciqfunctions.udf.CIQ(A753, "IQ_SHORT_INTEREST_PERCENT", F753)</f>
        <v>0</v>
      </c>
      <c r="S753">
        <f>_xll.ciqfunctions.udf.CIQ(A753, "IQ_BETA_1YR_RSQ", F753)</f>
        <v>0</v>
      </c>
      <c r="T753">
        <f>_xll.ciqfunctions.udf.CIQ(A753, "IQ_VALUE_TRADED", F753)</f>
        <v>0</v>
      </c>
    </row>
    <row r="754" spans="1:20" x14ac:dyDescent="0.3">
      <c r="A754" t="s">
        <v>365</v>
      </c>
      <c r="B754" t="s">
        <v>43</v>
      </c>
      <c r="C754" t="s">
        <v>2181</v>
      </c>
      <c r="D754" t="s">
        <v>2182</v>
      </c>
      <c r="E754" t="s">
        <v>76</v>
      </c>
      <c r="F754" s="1">
        <v>45391</v>
      </c>
      <c r="G754" t="s">
        <v>2183</v>
      </c>
      <c r="H754">
        <v>110</v>
      </c>
      <c r="I754">
        <f>_xll.ciqfunctions.udf.CIQ(A754, "IQ_MARKETCAP", F754)</f>
        <v>16093.59878</v>
      </c>
      <c r="J754">
        <f>_xll.ciqfunctions.udf.CIQ(A754, "IQ_PRICE_VOL_HIST_6MTH", F754)</f>
        <v>49.464300000000001</v>
      </c>
      <c r="K754">
        <f>_xll.ciqfunctions.udf.CIQ(A754, "IQ_LASTSALEPRICE", WORKDAY(F754,-1))</f>
        <v>149.75</v>
      </c>
      <c r="L754">
        <f>_xll.ciqfunctions.udf.CIQ(A754, "IQ_LASTSALEPRICE", F754)</f>
        <v>154.02000000000001</v>
      </c>
      <c r="M754">
        <f>_xll.ciqfunctions.udf.CIQ(A754, "IQ_LASTSALEPRICE", WORKDAY(F754,5))</f>
        <v>134.05000000000001</v>
      </c>
      <c r="N754">
        <f t="shared" si="22"/>
        <v>2.8115227115545469E-2</v>
      </c>
      <c r="O754">
        <f t="shared" si="23"/>
        <v>-0.11075437231359031</v>
      </c>
      <c r="P754">
        <f>LN(_xll.ciqfunctions.udf.CIQ("XBI", "IQ_LASTSALEPRICE", WORKDAY(F754,-1))/_xll.ciqfunctions.udf.CIQ("XBI", "IQ_LASTSALEPRICE", WORKDAY(F754,1)))</f>
        <v>4.9903070015886852E-3</v>
      </c>
      <c r="Q754">
        <f>LN(_xll.ciqfunctions.udf.CIQ("XBI", "IQ_LASTSALEPRICE", WORKDAY(F754,-1))/_xll.ciqfunctions.udf.CIQ("XBI", "IQ_LASTSALEPRICE", WORKDAY(F754,5)))</f>
        <v>5.444216864373666E-2</v>
      </c>
      <c r="R754">
        <f>_xll.ciqfunctions.udf.CIQ(A754, "IQ_SHORT_INTEREST_PERCENT", F754)</f>
        <v>1.6534599999999999</v>
      </c>
      <c r="S754">
        <f>_xll.ciqfunctions.udf.CIQ(A754, "IQ_BETA_1YR_RSQ", F754)</f>
        <v>0.10578</v>
      </c>
      <c r="T754">
        <f>_xll.ciqfunctions.udf.CIQ(A754, "IQ_VALUE_TRADED", F754)</f>
        <v>17.743259999999999</v>
      </c>
    </row>
    <row r="755" spans="1:20" x14ac:dyDescent="0.3">
      <c r="A755" t="s">
        <v>361</v>
      </c>
      <c r="B755" s="2">
        <v>154.02000000000001</v>
      </c>
      <c r="C755" t="s">
        <v>2184</v>
      </c>
      <c r="D755" t="s">
        <v>104</v>
      </c>
      <c r="E755" t="s">
        <v>97</v>
      </c>
      <c r="F755" s="1">
        <v>45391</v>
      </c>
      <c r="G755" t="s">
        <v>2185</v>
      </c>
      <c r="H755">
        <v>106</v>
      </c>
      <c r="I755">
        <f>_xll.ciqfunctions.udf.CIQ(A755, "IQ_MARKETCAP", F755)</f>
        <v>16093.59878</v>
      </c>
      <c r="J755">
        <f>_xll.ciqfunctions.udf.CIQ(A755, "IQ_PRICE_VOL_HIST_6MTH", F755)</f>
        <v>0</v>
      </c>
      <c r="K755">
        <f>_xll.ciqfunctions.udf.CIQ(A755, "IQ_LASTSALEPRICE", WORKDAY(F755,-1))</f>
        <v>0</v>
      </c>
      <c r="L755">
        <f>_xll.ciqfunctions.udf.CIQ(A755, "IQ_LASTSALEPRICE", F755)</f>
        <v>0</v>
      </c>
      <c r="M755">
        <f>_xll.ciqfunctions.udf.CIQ(A755, "IQ_LASTSALEPRICE", WORKDAY(F755,5))</f>
        <v>0</v>
      </c>
      <c r="N755" t="e">
        <f t="shared" si="22"/>
        <v>#DIV/0!</v>
      </c>
      <c r="O755" t="e">
        <f t="shared" si="23"/>
        <v>#DIV/0!</v>
      </c>
      <c r="P755">
        <f>LN(_xll.ciqfunctions.udf.CIQ("XBI", "IQ_LASTSALEPRICE", WORKDAY(F755,-1))/_xll.ciqfunctions.udf.CIQ("XBI", "IQ_LASTSALEPRICE", WORKDAY(F755,1)))</f>
        <v>4.9903070015886852E-3</v>
      </c>
      <c r="Q755">
        <f>LN(_xll.ciqfunctions.udf.CIQ("XBI", "IQ_LASTSALEPRICE", WORKDAY(F755,-1))/_xll.ciqfunctions.udf.CIQ("XBI", "IQ_LASTSALEPRICE", WORKDAY(F755,5)))</f>
        <v>5.444216864373666E-2</v>
      </c>
      <c r="R755">
        <f>_xll.ciqfunctions.udf.CIQ(A755, "IQ_SHORT_INTEREST_PERCENT", F755)</f>
        <v>0</v>
      </c>
      <c r="S755">
        <f>_xll.ciqfunctions.udf.CIQ(A755, "IQ_BETA_1YR_RSQ", F755)</f>
        <v>0</v>
      </c>
      <c r="T755">
        <f>_xll.ciqfunctions.udf.CIQ(A755, "IQ_VALUE_TRADED", F755)</f>
        <v>0</v>
      </c>
    </row>
    <row r="756" spans="1:20" x14ac:dyDescent="0.3">
      <c r="A756" t="s">
        <v>365</v>
      </c>
      <c r="B756" t="s">
        <v>43</v>
      </c>
      <c r="C756" t="s">
        <v>2184</v>
      </c>
      <c r="D756" t="s">
        <v>104</v>
      </c>
      <c r="E756" t="s">
        <v>97</v>
      </c>
      <c r="F756" s="1">
        <v>45391</v>
      </c>
      <c r="G756" t="s">
        <v>2185</v>
      </c>
      <c r="H756">
        <v>110</v>
      </c>
      <c r="I756">
        <f>_xll.ciqfunctions.udf.CIQ(A756, "IQ_MARKETCAP", F756)</f>
        <v>16093.59878</v>
      </c>
      <c r="J756">
        <f>_xll.ciqfunctions.udf.CIQ(A756, "IQ_PRICE_VOL_HIST_6MTH", F756)</f>
        <v>49.464300000000001</v>
      </c>
      <c r="K756">
        <f>_xll.ciqfunctions.udf.CIQ(A756, "IQ_LASTSALEPRICE", WORKDAY(F756,-1))</f>
        <v>149.75</v>
      </c>
      <c r="L756">
        <f>_xll.ciqfunctions.udf.CIQ(A756, "IQ_LASTSALEPRICE", F756)</f>
        <v>154.02000000000001</v>
      </c>
      <c r="M756">
        <f>_xll.ciqfunctions.udf.CIQ(A756, "IQ_LASTSALEPRICE", WORKDAY(F756,5))</f>
        <v>134.05000000000001</v>
      </c>
      <c r="N756">
        <f t="shared" si="22"/>
        <v>2.8115227115545469E-2</v>
      </c>
      <c r="O756">
        <f t="shared" si="23"/>
        <v>-0.11075437231359031</v>
      </c>
      <c r="P756">
        <f>LN(_xll.ciqfunctions.udf.CIQ("XBI", "IQ_LASTSALEPRICE", WORKDAY(F756,-1))/_xll.ciqfunctions.udf.CIQ("XBI", "IQ_LASTSALEPRICE", WORKDAY(F756,1)))</f>
        <v>4.9903070015886852E-3</v>
      </c>
      <c r="Q756">
        <f>LN(_xll.ciqfunctions.udf.CIQ("XBI", "IQ_LASTSALEPRICE", WORKDAY(F756,-1))/_xll.ciqfunctions.udf.CIQ("XBI", "IQ_LASTSALEPRICE", WORKDAY(F756,5)))</f>
        <v>5.444216864373666E-2</v>
      </c>
      <c r="R756">
        <f>_xll.ciqfunctions.udf.CIQ(A756, "IQ_SHORT_INTEREST_PERCENT", F756)</f>
        <v>1.6534599999999999</v>
      </c>
      <c r="S756">
        <f>_xll.ciqfunctions.udf.CIQ(A756, "IQ_BETA_1YR_RSQ", F756)</f>
        <v>0.10578</v>
      </c>
      <c r="T756">
        <f>_xll.ciqfunctions.udf.CIQ(A756, "IQ_VALUE_TRADED", F756)</f>
        <v>17.743259999999999</v>
      </c>
    </row>
    <row r="757" spans="1:20" x14ac:dyDescent="0.3">
      <c r="A757" t="s">
        <v>2074</v>
      </c>
      <c r="B757" s="2">
        <v>7.97</v>
      </c>
      <c r="C757" t="s">
        <v>2186</v>
      </c>
      <c r="D757" t="s">
        <v>2187</v>
      </c>
      <c r="E757" t="s">
        <v>22</v>
      </c>
      <c r="F757" s="1">
        <v>45391</v>
      </c>
      <c r="G757" t="s">
        <v>2188</v>
      </c>
      <c r="H757">
        <v>71</v>
      </c>
      <c r="I757">
        <f>_xll.ciqfunctions.udf.CIQ(A757, "IQ_MARKETCAP", F757)</f>
        <v>546.74733000000003</v>
      </c>
      <c r="J757">
        <f>_xll.ciqfunctions.udf.CIQ(A757, "IQ_PRICE_VOL_HIST_6MTH", F757)</f>
        <v>188.6694</v>
      </c>
      <c r="K757">
        <f>_xll.ciqfunctions.udf.CIQ(A757, "IQ_LASTSALEPRICE", WORKDAY(F757,-1))</f>
        <v>7.66</v>
      </c>
      <c r="L757">
        <f>_xll.ciqfunctions.udf.CIQ(A757, "IQ_LASTSALEPRICE", F757)</f>
        <v>7.97</v>
      </c>
      <c r="M757">
        <f>_xll.ciqfunctions.udf.CIQ(A757, "IQ_LASTSALEPRICE", WORKDAY(F757,5))</f>
        <v>6.83</v>
      </c>
      <c r="N757">
        <f t="shared" si="22"/>
        <v>3.9672509049623668E-2</v>
      </c>
      <c r="O757">
        <f t="shared" si="23"/>
        <v>-0.11468731016980128</v>
      </c>
      <c r="P757">
        <f>LN(_xll.ciqfunctions.udf.CIQ("XBI", "IQ_LASTSALEPRICE", WORKDAY(F757,-1))/_xll.ciqfunctions.udf.CIQ("XBI", "IQ_LASTSALEPRICE", WORKDAY(F757,1)))</f>
        <v>4.9903070015886852E-3</v>
      </c>
      <c r="Q757">
        <f>LN(_xll.ciqfunctions.udf.CIQ("XBI", "IQ_LASTSALEPRICE", WORKDAY(F757,-1))/_xll.ciqfunctions.udf.CIQ("XBI", "IQ_LASTSALEPRICE", WORKDAY(F757,5)))</f>
        <v>5.444216864373666E-2</v>
      </c>
      <c r="R757">
        <f>_xll.ciqfunctions.udf.CIQ(A757, "IQ_SHORT_INTEREST_PERCENT", F757)</f>
        <v>13.33713</v>
      </c>
      <c r="S757">
        <f>_xll.ciqfunctions.udf.CIQ(A757, "IQ_BETA_1YR_RSQ", F757)</f>
        <v>5.6370000000000003E-2</v>
      </c>
      <c r="T757">
        <f>_xll.ciqfunctions.udf.CIQ(A757, "IQ_VALUE_TRADED", F757)</f>
        <v>9.2456600000000009</v>
      </c>
    </row>
    <row r="758" spans="1:20" x14ac:dyDescent="0.3">
      <c r="A758" t="s">
        <v>2189</v>
      </c>
      <c r="B758" s="2">
        <v>23.07</v>
      </c>
      <c r="C758" t="s">
        <v>2190</v>
      </c>
      <c r="D758" t="s">
        <v>2191</v>
      </c>
      <c r="E758" t="s">
        <v>89</v>
      </c>
      <c r="F758" s="1">
        <v>45391</v>
      </c>
      <c r="G758" t="s">
        <v>2192</v>
      </c>
      <c r="H758">
        <v>69</v>
      </c>
      <c r="I758">
        <f>_xll.ciqfunctions.udf.CIQ(A758, "IQ_MARKETCAP", F758)</f>
        <v>982.46329000000003</v>
      </c>
      <c r="J758">
        <f>_xll.ciqfunctions.udf.CIQ(A758, "IQ_PRICE_VOL_HIST_6MTH", F758)</f>
        <v>65.909800000000004</v>
      </c>
      <c r="K758">
        <f>_xll.ciqfunctions.udf.CIQ(A758, "IQ_LASTSALEPRICE", WORKDAY(F758,-1))</f>
        <v>22.96</v>
      </c>
      <c r="L758">
        <f>_xll.ciqfunctions.udf.CIQ(A758, "IQ_LASTSALEPRICE", F758)</f>
        <v>23.07</v>
      </c>
      <c r="M758">
        <f>_xll.ciqfunctions.udf.CIQ(A758, "IQ_LASTSALEPRICE", WORKDAY(F758,5))</f>
        <v>21.93</v>
      </c>
      <c r="N758">
        <f t="shared" si="22"/>
        <v>4.7795007342966173E-3</v>
      </c>
      <c r="O758">
        <f t="shared" si="23"/>
        <v>-4.5898009021568952E-2</v>
      </c>
      <c r="P758">
        <f>LN(_xll.ciqfunctions.udf.CIQ("XBI", "IQ_LASTSALEPRICE", WORKDAY(F758,-1))/_xll.ciqfunctions.udf.CIQ("XBI", "IQ_LASTSALEPRICE", WORKDAY(F758,1)))</f>
        <v>4.9903070015886852E-3</v>
      </c>
      <c r="Q758">
        <f>LN(_xll.ciqfunctions.udf.CIQ("XBI", "IQ_LASTSALEPRICE", WORKDAY(F758,-1))/_xll.ciqfunctions.udf.CIQ("XBI", "IQ_LASTSALEPRICE", WORKDAY(F758,5)))</f>
        <v>5.444216864373666E-2</v>
      </c>
      <c r="R758">
        <f>_xll.ciqfunctions.udf.CIQ(A758, "IQ_SHORT_INTEREST_PERCENT", F758)</f>
        <v>5.9703499999999998</v>
      </c>
      <c r="S758">
        <f>_xll.ciqfunctions.udf.CIQ(A758, "IQ_BETA_1YR_RSQ", F758)</f>
        <v>0.13263</v>
      </c>
      <c r="T758">
        <f>_xll.ciqfunctions.udf.CIQ(A758, "IQ_VALUE_TRADED", F758)</f>
        <v>7.3764900000000004</v>
      </c>
    </row>
    <row r="759" spans="1:20" x14ac:dyDescent="0.3">
      <c r="A759" t="s">
        <v>1396</v>
      </c>
      <c r="B759" s="2">
        <v>6.04</v>
      </c>
      <c r="C759" t="s">
        <v>2193</v>
      </c>
      <c r="D759" t="s">
        <v>265</v>
      </c>
      <c r="E759" t="s">
        <v>17</v>
      </c>
      <c r="F759" s="1">
        <v>45391</v>
      </c>
      <c r="G759" t="s">
        <v>2194</v>
      </c>
      <c r="H759">
        <v>5</v>
      </c>
      <c r="I759">
        <f>_xll.ciqfunctions.udf.CIQ(A759, "IQ_MARKETCAP", F759)</f>
        <v>32.79524</v>
      </c>
      <c r="J759">
        <f>_xll.ciqfunctions.udf.CIQ(A759, "IQ_PRICE_VOL_HIST_6MTH", F759)</f>
        <v>101.16759999999999</v>
      </c>
      <c r="K759">
        <f>_xll.ciqfunctions.udf.CIQ(A759, "IQ_LASTSALEPRICE", WORKDAY(F759,-1))</f>
        <v>6.2</v>
      </c>
      <c r="L759">
        <f>_xll.ciqfunctions.udf.CIQ(A759, "IQ_LASTSALEPRICE", F759)</f>
        <v>6.0393999999999997</v>
      </c>
      <c r="M759">
        <f>_xll.ciqfunctions.udf.CIQ(A759, "IQ_LASTSALEPRICE", WORKDAY(F759,5))</f>
        <v>5.85</v>
      </c>
      <c r="N759">
        <f t="shared" si="22"/>
        <v>-2.6244622786987609E-2</v>
      </c>
      <c r="O759">
        <f t="shared" si="23"/>
        <v>-5.8107630807280812E-2</v>
      </c>
      <c r="P759">
        <f>LN(_xll.ciqfunctions.udf.CIQ("XBI", "IQ_LASTSALEPRICE", WORKDAY(F759,-1))/_xll.ciqfunctions.udf.CIQ("XBI", "IQ_LASTSALEPRICE", WORKDAY(F759,1)))</f>
        <v>4.9903070015886852E-3</v>
      </c>
      <c r="Q759">
        <f>LN(_xll.ciqfunctions.udf.CIQ("XBI", "IQ_LASTSALEPRICE", WORKDAY(F759,-1))/_xll.ciqfunctions.udf.CIQ("XBI", "IQ_LASTSALEPRICE", WORKDAY(F759,5)))</f>
        <v>5.444216864373666E-2</v>
      </c>
      <c r="R759">
        <f>_xll.ciqfunctions.udf.CIQ(A759, "IQ_SHORT_INTEREST_PERCENT", F759)</f>
        <v>1.9488700000000001</v>
      </c>
      <c r="S759">
        <f>_xll.ciqfunctions.udf.CIQ(A759, "IQ_BETA_1YR_RSQ", F759)</f>
        <v>6.9629999999999997E-2</v>
      </c>
      <c r="T759">
        <f>_xll.ciqfunctions.udf.CIQ(A759, "IQ_VALUE_TRADED", F759)</f>
        <v>4.3630000000000002E-2</v>
      </c>
    </row>
    <row r="760" spans="1:20" x14ac:dyDescent="0.3">
      <c r="A760" t="s">
        <v>2195</v>
      </c>
      <c r="B760" s="2">
        <v>0.9</v>
      </c>
      <c r="C760" t="s">
        <v>2196</v>
      </c>
      <c r="D760" t="s">
        <v>2197</v>
      </c>
      <c r="E760" t="s">
        <v>36</v>
      </c>
      <c r="F760" s="1">
        <v>45392</v>
      </c>
      <c r="G760" t="s">
        <v>2198</v>
      </c>
      <c r="H760">
        <v>93</v>
      </c>
      <c r="I760">
        <f>_xll.ciqfunctions.udf.CIQ(A760, "IQ_MARKETCAP", F760)</f>
        <v>169.49516</v>
      </c>
      <c r="J760">
        <f>_xll.ciqfunctions.udf.CIQ(A760, "IQ_PRICE_VOL_HIST_6MTH", F760)</f>
        <v>0</v>
      </c>
      <c r="K760">
        <f>_xll.ciqfunctions.udf.CIQ(A760, "IQ_LASTSALEPRICE", WORKDAY(F760,-1))</f>
        <v>0</v>
      </c>
      <c r="L760">
        <f>_xll.ciqfunctions.udf.CIQ(A760, "IQ_LASTSALEPRICE", F760)</f>
        <v>0</v>
      </c>
      <c r="M760">
        <f>_xll.ciqfunctions.udf.CIQ(A760, "IQ_LASTSALEPRICE", WORKDAY(F760,5))</f>
        <v>0</v>
      </c>
      <c r="N760" t="e">
        <f t="shared" si="22"/>
        <v>#DIV/0!</v>
      </c>
      <c r="O760" t="e">
        <f t="shared" si="23"/>
        <v>#DIV/0!</v>
      </c>
      <c r="P760">
        <f>LN(_xll.ciqfunctions.udf.CIQ("XBI", "IQ_LASTSALEPRICE", WORKDAY(F760,-1))/_xll.ciqfunctions.udf.CIQ("XBI", "IQ_LASTSALEPRICE", WORKDAY(F760,1)))</f>
        <v>3.9361520314744871E-3</v>
      </c>
      <c r="Q760">
        <f>LN(_xll.ciqfunctions.udf.CIQ("XBI", "IQ_LASTSALEPRICE", WORKDAY(F760,-1))/_xll.ciqfunctions.udf.CIQ("XBI", "IQ_LASTSALEPRICE", WORKDAY(F760,5)))</f>
        <v>7.9342749006150404E-2</v>
      </c>
      <c r="R760">
        <f>_xll.ciqfunctions.udf.CIQ(A760, "IQ_SHORT_INTEREST_PERCENT", F760)</f>
        <v>0</v>
      </c>
      <c r="S760">
        <f>_xll.ciqfunctions.udf.CIQ(A760, "IQ_BETA_1YR_RSQ", F760)</f>
        <v>0</v>
      </c>
      <c r="T760">
        <f>_xll.ciqfunctions.udf.CIQ(A760, "IQ_VALUE_TRADED", F760)</f>
        <v>0</v>
      </c>
    </row>
    <row r="761" spans="1:20" x14ac:dyDescent="0.3">
      <c r="A761" t="s">
        <v>1185</v>
      </c>
      <c r="B761" t="s">
        <v>43</v>
      </c>
      <c r="C761" t="s">
        <v>2199</v>
      </c>
      <c r="D761" t="s">
        <v>2200</v>
      </c>
      <c r="E761" t="s">
        <v>89</v>
      </c>
      <c r="F761" s="1">
        <v>45392</v>
      </c>
      <c r="G761" t="s">
        <v>2201</v>
      </c>
      <c r="H761">
        <v>47</v>
      </c>
      <c r="I761">
        <f>_xll.ciqfunctions.udf.CIQ(A761, "IQ_MARKETCAP", F761)</f>
        <v>49.108409999999999</v>
      </c>
      <c r="J761">
        <f>_xll.ciqfunctions.udf.CIQ(A761, "IQ_PRICE_VOL_HIST_6MTH", F761)</f>
        <v>137.47999999999999</v>
      </c>
      <c r="K761">
        <f>_xll.ciqfunctions.udf.CIQ(A761, "IQ_LASTSALEPRICE", WORKDAY(F761,-1))</f>
        <v>2.1</v>
      </c>
      <c r="L761">
        <f>_xll.ciqfunctions.udf.CIQ(A761, "IQ_LASTSALEPRICE", F761)</f>
        <v>2</v>
      </c>
      <c r="M761">
        <f>_xll.ciqfunctions.udf.CIQ(A761, "IQ_LASTSALEPRICE", WORKDAY(F761,5))</f>
        <v>1.82</v>
      </c>
      <c r="N761">
        <f t="shared" si="22"/>
        <v>-4.8790164169432056E-2</v>
      </c>
      <c r="O761">
        <f t="shared" si="23"/>
        <v>-0.1431008436406733</v>
      </c>
      <c r="P761">
        <f>LN(_xll.ciqfunctions.udf.CIQ("XBI", "IQ_LASTSALEPRICE", WORKDAY(F761,-1))/_xll.ciqfunctions.udf.CIQ("XBI", "IQ_LASTSALEPRICE", WORKDAY(F761,1)))</f>
        <v>3.9361520314744871E-3</v>
      </c>
      <c r="Q761">
        <f>LN(_xll.ciqfunctions.udf.CIQ("XBI", "IQ_LASTSALEPRICE", WORKDAY(F761,-1))/_xll.ciqfunctions.udf.CIQ("XBI", "IQ_LASTSALEPRICE", WORKDAY(F761,5)))</f>
        <v>7.9342749006150404E-2</v>
      </c>
      <c r="R761">
        <f>_xll.ciqfunctions.udf.CIQ(A761, "IQ_SHORT_INTEREST_PERCENT", F761)</f>
        <v>3.8407499999999999</v>
      </c>
      <c r="S761">
        <f>_xll.ciqfunctions.udf.CIQ(A761, "IQ_BETA_1YR_RSQ", F761)</f>
        <v>0</v>
      </c>
      <c r="T761">
        <f>_xll.ciqfunctions.udf.CIQ(A761, "IQ_VALUE_TRADED", F761)</f>
        <v>0.76471</v>
      </c>
    </row>
    <row r="762" spans="1:20" x14ac:dyDescent="0.3">
      <c r="A762" t="s">
        <v>789</v>
      </c>
      <c r="B762" s="2">
        <v>2.63</v>
      </c>
      <c r="C762" t="s">
        <v>2202</v>
      </c>
      <c r="D762" t="s">
        <v>2203</v>
      </c>
      <c r="E762" t="s">
        <v>36</v>
      </c>
      <c r="F762" s="1">
        <v>45392</v>
      </c>
      <c r="G762" t="s">
        <v>2204</v>
      </c>
      <c r="H762">
        <v>14</v>
      </c>
      <c r="I762">
        <f>_xll.ciqfunctions.udf.CIQ(A762, "IQ_MARKETCAP", F762)</f>
        <v>80.416610000000006</v>
      </c>
      <c r="J762">
        <f>_xll.ciqfunctions.udf.CIQ(A762, "IQ_PRICE_VOL_HIST_6MTH", F762)</f>
        <v>134.86009999999999</v>
      </c>
      <c r="K762">
        <f>_xll.ciqfunctions.udf.CIQ(A762, "IQ_LASTSALEPRICE", WORKDAY(F762,-1))</f>
        <v>41.12</v>
      </c>
      <c r="L762">
        <f>_xll.ciqfunctions.udf.CIQ(A762, "IQ_LASTSALEPRICE", F762)</f>
        <v>42.08</v>
      </c>
      <c r="M762">
        <f>_xll.ciqfunctions.udf.CIQ(A762, "IQ_LASTSALEPRICE", WORKDAY(F762,5))</f>
        <v>41.44</v>
      </c>
      <c r="N762">
        <f t="shared" si="22"/>
        <v>2.3077947282544673E-2</v>
      </c>
      <c r="O762">
        <f t="shared" si="23"/>
        <v>7.7519768043179237E-3</v>
      </c>
      <c r="P762">
        <f>LN(_xll.ciqfunctions.udf.CIQ("XBI", "IQ_LASTSALEPRICE", WORKDAY(F762,-1))/_xll.ciqfunctions.udf.CIQ("XBI", "IQ_LASTSALEPRICE", WORKDAY(F762,1)))</f>
        <v>3.9361520314744871E-3</v>
      </c>
      <c r="Q762">
        <f>LN(_xll.ciqfunctions.udf.CIQ("XBI", "IQ_LASTSALEPRICE", WORKDAY(F762,-1))/_xll.ciqfunctions.udf.CIQ("XBI", "IQ_LASTSALEPRICE", WORKDAY(F762,5)))</f>
        <v>7.9342749006150404E-2</v>
      </c>
      <c r="R762">
        <f>_xll.ciqfunctions.udf.CIQ(A762, "IQ_SHORT_INTEREST_PERCENT", F762)</f>
        <v>8.1472099999999994</v>
      </c>
      <c r="S762">
        <f>_xll.ciqfunctions.udf.CIQ(A762, "IQ_BETA_1YR_RSQ", F762)</f>
        <v>8.8100000000000001E-3</v>
      </c>
      <c r="T762">
        <f>_xll.ciqfunctions.udf.CIQ(A762, "IQ_VALUE_TRADED", F762)</f>
        <v>1.02688</v>
      </c>
    </row>
    <row r="763" spans="1:20" x14ac:dyDescent="0.3">
      <c r="A763" t="s">
        <v>2205</v>
      </c>
      <c r="B763" s="2">
        <v>11.3</v>
      </c>
      <c r="C763" t="s">
        <v>2206</v>
      </c>
      <c r="D763" t="s">
        <v>2207</v>
      </c>
      <c r="E763" t="s">
        <v>89</v>
      </c>
      <c r="F763" s="1">
        <v>45392</v>
      </c>
      <c r="G763" t="s">
        <v>2208</v>
      </c>
      <c r="H763">
        <v>61</v>
      </c>
      <c r="I763">
        <f>_xll.ciqfunctions.udf.CIQ(A763, "IQ_MARKETCAP", F763)</f>
        <v>285.83909</v>
      </c>
      <c r="J763">
        <f>_xll.ciqfunctions.udf.CIQ(A763, "IQ_PRICE_VOL_HIST_6MTH", F763)</f>
        <v>65.595100000000002</v>
      </c>
      <c r="K763">
        <f>_xll.ciqfunctions.udf.CIQ(A763, "IQ_LASTSALEPRICE", WORKDAY(F763,-1))</f>
        <v>11.74</v>
      </c>
      <c r="L763">
        <f>_xll.ciqfunctions.udf.CIQ(A763, "IQ_LASTSALEPRICE", F763)</f>
        <v>11.3</v>
      </c>
      <c r="M763">
        <f>_xll.ciqfunctions.udf.CIQ(A763, "IQ_LASTSALEPRICE", WORKDAY(F763,5))</f>
        <v>10.84</v>
      </c>
      <c r="N763">
        <f t="shared" si="22"/>
        <v>-3.8199088681655419E-2</v>
      </c>
      <c r="O763">
        <f t="shared" si="23"/>
        <v>-7.9758818388450309E-2</v>
      </c>
      <c r="P763">
        <f>LN(_xll.ciqfunctions.udf.CIQ("XBI", "IQ_LASTSALEPRICE", WORKDAY(F763,-1))/_xll.ciqfunctions.udf.CIQ("XBI", "IQ_LASTSALEPRICE", WORKDAY(F763,1)))</f>
        <v>3.9361520314744871E-3</v>
      </c>
      <c r="Q763">
        <f>LN(_xll.ciqfunctions.udf.CIQ("XBI", "IQ_LASTSALEPRICE", WORKDAY(F763,-1))/_xll.ciqfunctions.udf.CIQ("XBI", "IQ_LASTSALEPRICE", WORKDAY(F763,5)))</f>
        <v>7.9342749006150404E-2</v>
      </c>
      <c r="R763">
        <f>_xll.ciqfunctions.udf.CIQ(A763, "IQ_SHORT_INTEREST_PERCENT", F763)</f>
        <v>2.5082499999999999</v>
      </c>
      <c r="S763">
        <f>_xll.ciqfunctions.udf.CIQ(A763, "IQ_BETA_1YR_RSQ", F763)</f>
        <v>1.8939999999999999E-2</v>
      </c>
      <c r="T763">
        <f>_xll.ciqfunctions.udf.CIQ(A763, "IQ_VALUE_TRADED", F763)</f>
        <v>1.0400499999999999</v>
      </c>
    </row>
    <row r="764" spans="1:20" x14ac:dyDescent="0.3">
      <c r="A764" t="s">
        <v>2209</v>
      </c>
      <c r="B764" s="2">
        <v>3.82</v>
      </c>
      <c r="C764" t="s">
        <v>2210</v>
      </c>
      <c r="D764" t="s">
        <v>2211</v>
      </c>
      <c r="E764" t="s">
        <v>27</v>
      </c>
      <c r="F764" s="1">
        <v>45392</v>
      </c>
      <c r="G764" t="s">
        <v>2212</v>
      </c>
      <c r="H764">
        <v>64</v>
      </c>
      <c r="I764">
        <f>_xll.ciqfunctions.udf.CIQ(A764, "IQ_MARKETCAP", F764)</f>
        <v>236.47202999999999</v>
      </c>
      <c r="J764">
        <f>_xll.ciqfunctions.udf.CIQ(A764, "IQ_PRICE_VOL_HIST_6MTH", F764)</f>
        <v>65.149199999999993</v>
      </c>
      <c r="K764">
        <f>_xll.ciqfunctions.udf.CIQ(A764, "IQ_LASTSALEPRICE", WORKDAY(F764,-1))</f>
        <v>3.94</v>
      </c>
      <c r="L764">
        <f>_xll.ciqfunctions.udf.CIQ(A764, "IQ_LASTSALEPRICE", F764)</f>
        <v>3.82</v>
      </c>
      <c r="M764">
        <f>_xll.ciqfunctions.udf.CIQ(A764, "IQ_LASTSALEPRICE", WORKDAY(F764,5))</f>
        <v>3.38</v>
      </c>
      <c r="N764">
        <f t="shared" si="22"/>
        <v>-3.0930300691358614E-2</v>
      </c>
      <c r="O764">
        <f t="shared" si="23"/>
        <v>-0.15330501381491501</v>
      </c>
      <c r="P764">
        <f>LN(_xll.ciqfunctions.udf.CIQ("XBI", "IQ_LASTSALEPRICE", WORKDAY(F764,-1))/_xll.ciqfunctions.udf.CIQ("XBI", "IQ_LASTSALEPRICE", WORKDAY(F764,1)))</f>
        <v>3.9361520314744871E-3</v>
      </c>
      <c r="Q764">
        <f>LN(_xll.ciqfunctions.udf.CIQ("XBI", "IQ_LASTSALEPRICE", WORKDAY(F764,-1))/_xll.ciqfunctions.udf.CIQ("XBI", "IQ_LASTSALEPRICE", WORKDAY(F764,5)))</f>
        <v>7.9342749006150404E-2</v>
      </c>
      <c r="R764">
        <f>_xll.ciqfunctions.udf.CIQ(A764, "IQ_SHORT_INTEREST_PERCENT", F764)</f>
        <v>3.62737</v>
      </c>
      <c r="S764">
        <f>_xll.ciqfunctions.udf.CIQ(A764, "IQ_BETA_1YR_RSQ", F764)</f>
        <v>6.4099999999999999E-3</v>
      </c>
      <c r="T764">
        <f>_xll.ciqfunctions.udf.CIQ(A764, "IQ_VALUE_TRADED", F764)</f>
        <v>2.47281</v>
      </c>
    </row>
    <row r="765" spans="1:20" x14ac:dyDescent="0.3">
      <c r="A765" t="s">
        <v>2213</v>
      </c>
      <c r="B765" s="2">
        <v>26.14</v>
      </c>
      <c r="C765" t="s">
        <v>2214</v>
      </c>
      <c r="D765" t="s">
        <v>1663</v>
      </c>
      <c r="E765" t="s">
        <v>22</v>
      </c>
      <c r="F765" s="1">
        <v>45392</v>
      </c>
      <c r="G765" t="s">
        <v>2215</v>
      </c>
      <c r="H765">
        <v>165</v>
      </c>
      <c r="I765">
        <f>_xll.ciqfunctions.udf.CIQ(A765, "IQ_MARKETCAP", F765)</f>
        <v>4422.4745400000002</v>
      </c>
      <c r="J765">
        <f>_xll.ciqfunctions.udf.CIQ(A765, "IQ_PRICE_VOL_HIST_6MTH", F765)</f>
        <v>42.760300000000001</v>
      </c>
      <c r="K765">
        <f>_xll.ciqfunctions.udf.CIQ(A765, "IQ_LASTSALEPRICE", WORKDAY(F765,-1))</f>
        <v>26.73</v>
      </c>
      <c r="L765">
        <f>_xll.ciqfunctions.udf.CIQ(A765, "IQ_LASTSALEPRICE", F765)</f>
        <v>26.14</v>
      </c>
      <c r="M765">
        <f>_xll.ciqfunctions.udf.CIQ(A765, "IQ_LASTSALEPRICE", WORKDAY(F765,5))</f>
        <v>24.01</v>
      </c>
      <c r="N765">
        <f t="shared" si="22"/>
        <v>-2.2319821954751753E-2</v>
      </c>
      <c r="O765">
        <f t="shared" si="23"/>
        <v>-0.10731611991766576</v>
      </c>
      <c r="P765">
        <f>LN(_xll.ciqfunctions.udf.CIQ("XBI", "IQ_LASTSALEPRICE", WORKDAY(F765,-1))/_xll.ciqfunctions.udf.CIQ("XBI", "IQ_LASTSALEPRICE", WORKDAY(F765,1)))</f>
        <v>3.9361520314744871E-3</v>
      </c>
      <c r="Q765">
        <f>LN(_xll.ciqfunctions.udf.CIQ("XBI", "IQ_LASTSALEPRICE", WORKDAY(F765,-1))/_xll.ciqfunctions.udf.CIQ("XBI", "IQ_LASTSALEPRICE", WORKDAY(F765,5)))</f>
        <v>7.9342749006150404E-2</v>
      </c>
      <c r="R765">
        <f>_xll.ciqfunctions.udf.CIQ(A765, "IQ_SHORT_INTEREST_PERCENT", F765)</f>
        <v>8.4735399999999998</v>
      </c>
      <c r="S765">
        <f>_xll.ciqfunctions.udf.CIQ(A765, "IQ_BETA_1YR_RSQ", F765)</f>
        <v>1.3100000000000001E-2</v>
      </c>
      <c r="T765">
        <f>_xll.ciqfunctions.udf.CIQ(A765, "IQ_VALUE_TRADED", F765)</f>
        <v>53.07385</v>
      </c>
    </row>
    <row r="766" spans="1:20" x14ac:dyDescent="0.3">
      <c r="A766" t="s">
        <v>2216</v>
      </c>
      <c r="B766" s="2">
        <v>10.39</v>
      </c>
      <c r="C766" t="s">
        <v>2217</v>
      </c>
      <c r="D766" t="s">
        <v>2218</v>
      </c>
      <c r="E766" t="s">
        <v>89</v>
      </c>
      <c r="F766" s="1">
        <v>45392</v>
      </c>
      <c r="G766" t="s">
        <v>2219</v>
      </c>
      <c r="H766">
        <v>31</v>
      </c>
      <c r="I766">
        <f>_xll.ciqfunctions.udf.CIQ(A766, "IQ_MARKETCAP", F766)</f>
        <v>235.19792000000001</v>
      </c>
      <c r="J766">
        <f>_xll.ciqfunctions.udf.CIQ(A766, "IQ_PRICE_VOL_HIST_6MTH", F766)</f>
        <v>123.5201</v>
      </c>
      <c r="K766">
        <f>_xll.ciqfunctions.udf.CIQ(A766, "IQ_LASTSALEPRICE", WORKDAY(F766,-1))</f>
        <v>9.6199999999999992</v>
      </c>
      <c r="L766">
        <f>_xll.ciqfunctions.udf.CIQ(A766, "IQ_LASTSALEPRICE", F766)</f>
        <v>10.39</v>
      </c>
      <c r="M766">
        <f>_xll.ciqfunctions.udf.CIQ(A766, "IQ_LASTSALEPRICE", WORKDAY(F766,5))</f>
        <v>10.34</v>
      </c>
      <c r="N766">
        <f t="shared" si="22"/>
        <v>7.6999540433520988E-2</v>
      </c>
      <c r="O766">
        <f t="shared" si="23"/>
        <v>7.2175604402667959E-2</v>
      </c>
      <c r="P766">
        <f>LN(_xll.ciqfunctions.udf.CIQ("XBI", "IQ_LASTSALEPRICE", WORKDAY(F766,-1))/_xll.ciqfunctions.udf.CIQ("XBI", "IQ_LASTSALEPRICE", WORKDAY(F766,1)))</f>
        <v>3.9361520314744871E-3</v>
      </c>
      <c r="Q766">
        <f>LN(_xll.ciqfunctions.udf.CIQ("XBI", "IQ_LASTSALEPRICE", WORKDAY(F766,-1))/_xll.ciqfunctions.udf.CIQ("XBI", "IQ_LASTSALEPRICE", WORKDAY(F766,5)))</f>
        <v>7.9342749006150404E-2</v>
      </c>
      <c r="R766">
        <f>_xll.ciqfunctions.udf.CIQ(A766, "IQ_SHORT_INTEREST_PERCENT", F766)</f>
        <v>2.35439</v>
      </c>
      <c r="S766">
        <f>_xll.ciqfunctions.udf.CIQ(A766, "IQ_BETA_1YR_RSQ", F766)</f>
        <v>2.0490000000000001E-2</v>
      </c>
      <c r="T766">
        <f>_xll.ciqfunctions.udf.CIQ(A766, "IQ_VALUE_TRADED", F766)</f>
        <v>10.912459999999999</v>
      </c>
    </row>
    <row r="767" spans="1:20" x14ac:dyDescent="0.3">
      <c r="A767" t="s">
        <v>449</v>
      </c>
      <c r="B767" s="2">
        <v>0.56000000000000005</v>
      </c>
      <c r="C767" t="s">
        <v>2220</v>
      </c>
      <c r="D767" t="s">
        <v>1410</v>
      </c>
      <c r="E767" t="s">
        <v>76</v>
      </c>
      <c r="F767" s="1">
        <v>45392</v>
      </c>
      <c r="G767" t="s">
        <v>2221</v>
      </c>
      <c r="H767">
        <v>2</v>
      </c>
      <c r="I767">
        <f>_xll.ciqfunctions.udf.CIQ(A767, "IQ_MARKETCAP", F767)</f>
        <v>76.217129999999997</v>
      </c>
      <c r="J767">
        <f>_xll.ciqfunctions.udf.CIQ(A767, "IQ_PRICE_VOL_HIST_6MTH", F767)</f>
        <v>63.346699999999998</v>
      </c>
      <c r="K767">
        <f>_xll.ciqfunctions.udf.CIQ(A767, "IQ_LASTSALEPRICE", WORKDAY(F767,-1))</f>
        <v>0.37</v>
      </c>
      <c r="L767">
        <f>_xll.ciqfunctions.udf.CIQ(A767, "IQ_LASTSALEPRICE", F767)</f>
        <v>0.36499999999999999</v>
      </c>
      <c r="M767">
        <f>_xll.ciqfunctions.udf.CIQ(A767, "IQ_LASTSALEPRICE", WORKDAY(F767,5))</f>
        <v>0.35499999999999998</v>
      </c>
      <c r="N767">
        <f t="shared" si="22"/>
        <v>-1.3605652055778598E-2</v>
      </c>
      <c r="O767">
        <f t="shared" si="23"/>
        <v>-4.1385216162854364E-2</v>
      </c>
      <c r="P767">
        <f>LN(_xll.ciqfunctions.udf.CIQ("XBI", "IQ_LASTSALEPRICE", WORKDAY(F767,-1))/_xll.ciqfunctions.udf.CIQ("XBI", "IQ_LASTSALEPRICE", WORKDAY(F767,1)))</f>
        <v>3.9361520314744871E-3</v>
      </c>
      <c r="Q767">
        <f>LN(_xll.ciqfunctions.udf.CIQ("XBI", "IQ_LASTSALEPRICE", WORKDAY(F767,-1))/_xll.ciqfunctions.udf.CIQ("XBI", "IQ_LASTSALEPRICE", WORKDAY(F767,5)))</f>
        <v>7.9342749006150404E-2</v>
      </c>
      <c r="R767">
        <f>_xll.ciqfunctions.udf.CIQ(A767, "IQ_SHORT_INTEREST_PERCENT", F767)</f>
        <v>0</v>
      </c>
      <c r="S767">
        <f>_xll.ciqfunctions.udf.CIQ(A767, "IQ_BETA_1YR_RSQ", F767)</f>
        <v>1.95E-2</v>
      </c>
      <c r="T767">
        <f>_xll.ciqfunctions.udf.CIQ(A767, "IQ_VALUE_TRADED", F767)</f>
        <v>4.2810000000000001E-2</v>
      </c>
    </row>
    <row r="768" spans="1:20" x14ac:dyDescent="0.3">
      <c r="A768" t="s">
        <v>719</v>
      </c>
      <c r="B768" s="2">
        <v>2.73</v>
      </c>
      <c r="C768" t="s">
        <v>2222</v>
      </c>
      <c r="D768" t="s">
        <v>2135</v>
      </c>
      <c r="E768" t="s">
        <v>89</v>
      </c>
      <c r="F768" s="1">
        <v>45392</v>
      </c>
      <c r="G768" t="s">
        <v>2223</v>
      </c>
      <c r="H768">
        <v>1</v>
      </c>
      <c r="I768">
        <f>_xll.ciqfunctions.udf.CIQ(A768, "IQ_MARKETCAP", F768)</f>
        <v>59.131889999999999</v>
      </c>
      <c r="J768">
        <f>_xll.ciqfunctions.udf.CIQ(A768, "IQ_PRICE_VOL_HIST_6MTH", F768)</f>
        <v>87.493899999999996</v>
      </c>
      <c r="K768">
        <f>_xll.ciqfunctions.udf.CIQ(A768, "IQ_LASTSALEPRICE", WORKDAY(F768,-1))</f>
        <v>427.51479</v>
      </c>
      <c r="L768">
        <f>_xll.ciqfunctions.udf.CIQ(A768, "IQ_LASTSALEPRICE", F768)</f>
        <v>409.49979999999999</v>
      </c>
      <c r="M768">
        <f>_xll.ciqfunctions.udf.CIQ(A768, "IQ_LASTSALEPRICE", WORKDAY(F768,5))</f>
        <v>323.99984000000001</v>
      </c>
      <c r="N768">
        <f t="shared" si="22"/>
        <v>-4.3052469377081751E-2</v>
      </c>
      <c r="O768">
        <f t="shared" si="23"/>
        <v>-0.27724586230455117</v>
      </c>
      <c r="P768">
        <f>LN(_xll.ciqfunctions.udf.CIQ("XBI", "IQ_LASTSALEPRICE", WORKDAY(F768,-1))/_xll.ciqfunctions.udf.CIQ("XBI", "IQ_LASTSALEPRICE", WORKDAY(F768,1)))</f>
        <v>3.9361520314744871E-3</v>
      </c>
      <c r="Q768">
        <f>LN(_xll.ciqfunctions.udf.CIQ("XBI", "IQ_LASTSALEPRICE", WORKDAY(F768,-1))/_xll.ciqfunctions.udf.CIQ("XBI", "IQ_LASTSALEPRICE", WORKDAY(F768,5)))</f>
        <v>7.9342749006150404E-2</v>
      </c>
      <c r="R768">
        <f>_xll.ciqfunctions.udf.CIQ(A768, "IQ_SHORT_INTEREST_PERCENT", F768)</f>
        <v>0</v>
      </c>
      <c r="S768">
        <f>_xll.ciqfunctions.udf.CIQ(A768, "IQ_BETA_1YR_RSQ", F768)</f>
        <v>0</v>
      </c>
      <c r="T768">
        <f>_xll.ciqfunctions.udf.CIQ(A768, "IQ_VALUE_TRADED", F768)</f>
        <v>0.23505000000000001</v>
      </c>
    </row>
    <row r="769" spans="1:20" x14ac:dyDescent="0.3">
      <c r="A769" t="s">
        <v>753</v>
      </c>
      <c r="B769" s="2">
        <v>2.46</v>
      </c>
      <c r="C769" t="s">
        <v>754</v>
      </c>
      <c r="D769" t="s">
        <v>755</v>
      </c>
      <c r="E769" t="s">
        <v>76</v>
      </c>
      <c r="F769" s="1">
        <v>45392</v>
      </c>
      <c r="G769" t="s">
        <v>2224</v>
      </c>
      <c r="H769">
        <v>89</v>
      </c>
      <c r="I769">
        <f>_xll.ciqfunctions.udf.CIQ(A769, "IQ_MARKETCAP", F769)</f>
        <v>166.74405999999999</v>
      </c>
      <c r="J769">
        <f>_xll.ciqfunctions.udf.CIQ(A769, "IQ_PRICE_VOL_HIST_6MTH", F769)</f>
        <v>258.4846</v>
      </c>
      <c r="K769">
        <f>_xll.ciqfunctions.udf.CIQ(A769, "IQ_LASTSALEPRICE", WORKDAY(F769,-1))</f>
        <v>2.67</v>
      </c>
      <c r="L769">
        <f>_xll.ciqfunctions.udf.CIQ(A769, "IQ_LASTSALEPRICE", F769)</f>
        <v>2.46</v>
      </c>
      <c r="M769">
        <f>_xll.ciqfunctions.udf.CIQ(A769, "IQ_LASTSALEPRICE", WORKDAY(F769,5))</f>
        <v>2</v>
      </c>
      <c r="N769">
        <f t="shared" si="22"/>
        <v>-8.1917122467886697E-2</v>
      </c>
      <c r="O769">
        <f t="shared" si="23"/>
        <v>-0.28893129185221278</v>
      </c>
      <c r="P769">
        <f>LN(_xll.ciqfunctions.udf.CIQ("XBI", "IQ_LASTSALEPRICE", WORKDAY(F769,-1))/_xll.ciqfunctions.udf.CIQ("XBI", "IQ_LASTSALEPRICE", WORKDAY(F769,1)))</f>
        <v>3.9361520314744871E-3</v>
      </c>
      <c r="Q769">
        <f>LN(_xll.ciqfunctions.udf.CIQ("XBI", "IQ_LASTSALEPRICE", WORKDAY(F769,-1))/_xll.ciqfunctions.udf.CIQ("XBI", "IQ_LASTSALEPRICE", WORKDAY(F769,5)))</f>
        <v>7.9342749006150404E-2</v>
      </c>
      <c r="R769">
        <f>_xll.ciqfunctions.udf.CIQ(A769, "IQ_SHORT_INTEREST_PERCENT", F769)</f>
        <v>8.8624299999999998</v>
      </c>
      <c r="S769">
        <f>_xll.ciqfunctions.udf.CIQ(A769, "IQ_BETA_1YR_RSQ", F769)</f>
        <v>2.9149999999999999E-2</v>
      </c>
      <c r="T769">
        <f>_xll.ciqfunctions.udf.CIQ(A769, "IQ_VALUE_TRADED", F769)</f>
        <v>7.7987299999999999</v>
      </c>
    </row>
    <row r="770" spans="1:20" x14ac:dyDescent="0.3">
      <c r="A770" t="s">
        <v>385</v>
      </c>
      <c r="B770" s="2">
        <v>936.2</v>
      </c>
      <c r="C770" t="s">
        <v>2225</v>
      </c>
      <c r="D770" t="s">
        <v>253</v>
      </c>
      <c r="E770" t="s">
        <v>22</v>
      </c>
      <c r="F770" s="1">
        <v>45392</v>
      </c>
      <c r="G770" t="s">
        <v>2226</v>
      </c>
      <c r="H770">
        <v>105</v>
      </c>
      <c r="I770">
        <f>_xll.ciqfunctions.udf.CIQ(A770, "IQ_MARKETCAP", F770)</f>
        <v>100605.82704</v>
      </c>
      <c r="J770">
        <f>_xll.ciqfunctions.udf.CIQ(A770, "IQ_PRICE_VOL_HIST_6MTH", F770)</f>
        <v>16.888100000000001</v>
      </c>
      <c r="K770">
        <f>_xll.ciqfunctions.udf.CIQ(A770, "IQ_LASTSALEPRICE", WORKDAY(F770,-1))</f>
        <v>943.89</v>
      </c>
      <c r="L770">
        <f>_xll.ciqfunctions.udf.CIQ(A770, "IQ_LASTSALEPRICE", F770)</f>
        <v>936.2</v>
      </c>
      <c r="M770">
        <f>_xll.ciqfunctions.udf.CIQ(A770, "IQ_LASTSALEPRICE", WORKDAY(F770,5))</f>
        <v>901.19</v>
      </c>
      <c r="N770">
        <f t="shared" si="22"/>
        <v>-8.1805050661870275E-3</v>
      </c>
      <c r="O770">
        <f t="shared" si="23"/>
        <v>-4.6293521751655499E-2</v>
      </c>
      <c r="P770">
        <f>LN(_xll.ciqfunctions.udf.CIQ("XBI", "IQ_LASTSALEPRICE", WORKDAY(F770,-1))/_xll.ciqfunctions.udf.CIQ("XBI", "IQ_LASTSALEPRICE", WORKDAY(F770,1)))</f>
        <v>3.9361520314744871E-3</v>
      </c>
      <c r="Q770">
        <f>LN(_xll.ciqfunctions.udf.CIQ("XBI", "IQ_LASTSALEPRICE", WORKDAY(F770,-1))/_xll.ciqfunctions.udf.CIQ("XBI", "IQ_LASTSALEPRICE", WORKDAY(F770,5)))</f>
        <v>7.9342749006150404E-2</v>
      </c>
      <c r="R770">
        <f>_xll.ciqfunctions.udf.CIQ(A770, "IQ_SHORT_INTEREST_PERCENT", F770)</f>
        <v>1.3227100000000001</v>
      </c>
      <c r="S770">
        <f>_xll.ciqfunctions.udf.CIQ(A770, "IQ_BETA_1YR_RSQ", F770)</f>
        <v>0.11602</v>
      </c>
      <c r="T770">
        <f>_xll.ciqfunctions.udf.CIQ(A770, "IQ_VALUE_TRADED", F770)</f>
        <v>364.89798999999999</v>
      </c>
    </row>
    <row r="771" spans="1:20" x14ac:dyDescent="0.3">
      <c r="A771" t="s">
        <v>1997</v>
      </c>
      <c r="B771" s="2">
        <v>88.65</v>
      </c>
      <c r="C771" t="s">
        <v>2225</v>
      </c>
      <c r="D771" t="s">
        <v>253</v>
      </c>
      <c r="E771" t="s">
        <v>22</v>
      </c>
      <c r="F771" s="1">
        <v>45392</v>
      </c>
      <c r="G771" t="s">
        <v>2226</v>
      </c>
      <c r="H771">
        <v>239</v>
      </c>
      <c r="I771">
        <f>_xll.ciqfunctions.udf.CIQ(A771, "IQ_MARKETCAP", F771)</f>
        <v>21363.80774</v>
      </c>
      <c r="J771">
        <f>_xll.ciqfunctions.udf.CIQ(A771, "IQ_PRICE_VOL_HIST_6MTH", F771)</f>
        <v>34.029299999999999</v>
      </c>
      <c r="K771">
        <f>_xll.ciqfunctions.udf.CIQ(A771, "IQ_LASTSALEPRICE", WORKDAY(F771,-1))</f>
        <v>90.05</v>
      </c>
      <c r="L771">
        <f>_xll.ciqfunctions.udf.CIQ(A771, "IQ_LASTSALEPRICE", F771)</f>
        <v>88.65</v>
      </c>
      <c r="M771">
        <f>_xll.ciqfunctions.udf.CIQ(A771, "IQ_LASTSALEPRICE", WORKDAY(F771,5))</f>
        <v>86.4</v>
      </c>
      <c r="N771">
        <f t="shared" ref="N771:N834" si="24">LN(L771/K771)</f>
        <v>-1.5669039101748061E-2</v>
      </c>
      <c r="O771">
        <f t="shared" ref="O771:O834" si="25">LN(M771/K771)</f>
        <v>-4.1377395811954994E-2</v>
      </c>
      <c r="P771">
        <f>LN(_xll.ciqfunctions.udf.CIQ("XBI", "IQ_LASTSALEPRICE", WORKDAY(F771,-1))/_xll.ciqfunctions.udf.CIQ("XBI", "IQ_LASTSALEPRICE", WORKDAY(F771,1)))</f>
        <v>3.9361520314744871E-3</v>
      </c>
      <c r="Q771">
        <f>LN(_xll.ciqfunctions.udf.CIQ("XBI", "IQ_LASTSALEPRICE", WORKDAY(F771,-1))/_xll.ciqfunctions.udf.CIQ("XBI", "IQ_LASTSALEPRICE", WORKDAY(F771,5)))</f>
        <v>7.9342749006150404E-2</v>
      </c>
      <c r="R771">
        <f>_xll.ciqfunctions.udf.CIQ(A771, "IQ_SHORT_INTEREST_PERCENT", F771)</f>
        <v>1.27674</v>
      </c>
      <c r="S771">
        <f>_xll.ciqfunctions.udf.CIQ(A771, "IQ_BETA_1YR_RSQ", F771)</f>
        <v>0.10852000000000001</v>
      </c>
      <c r="T771">
        <f>_xll.ciqfunctions.udf.CIQ(A771, "IQ_VALUE_TRADED", F771)</f>
        <v>38.069589999999998</v>
      </c>
    </row>
    <row r="772" spans="1:20" x14ac:dyDescent="0.3">
      <c r="A772" t="s">
        <v>1341</v>
      </c>
      <c r="B772" s="2">
        <v>2.4</v>
      </c>
      <c r="C772" t="s">
        <v>1342</v>
      </c>
      <c r="D772" t="s">
        <v>104</v>
      </c>
      <c r="E772" t="s">
        <v>22</v>
      </c>
      <c r="F772" s="1">
        <v>45392</v>
      </c>
      <c r="G772" t="s">
        <v>2227</v>
      </c>
      <c r="H772">
        <v>3</v>
      </c>
      <c r="I772">
        <f>_xll.ciqfunctions.udf.CIQ(A772, "IQ_MARKETCAP", F772)</f>
        <v>1.2787200000000001</v>
      </c>
      <c r="J772">
        <f>_xll.ciqfunctions.udf.CIQ(A772, "IQ_PRICE_VOL_HIST_6MTH", F772)</f>
        <v>118.6123</v>
      </c>
      <c r="K772">
        <f>_xll.ciqfunctions.udf.CIQ(A772, "IQ_LASTSALEPRICE", WORKDAY(F772,-1))</f>
        <v>2412.4024100000001</v>
      </c>
      <c r="L772">
        <f>_xll.ciqfunctions.udf.CIQ(A772, "IQ_LASTSALEPRICE", F772)</f>
        <v>1776.0017800000001</v>
      </c>
      <c r="M772">
        <f>_xll.ciqfunctions.udf.CIQ(A772, "IQ_LASTSALEPRICE", WORKDAY(F772,5))</f>
        <v>527.25053000000003</v>
      </c>
      <c r="N772">
        <f t="shared" si="24"/>
        <v>-0.30625845477760738</v>
      </c>
      <c r="O772">
        <f t="shared" si="25"/>
        <v>-1.5207025560073519</v>
      </c>
      <c r="P772">
        <f>LN(_xll.ciqfunctions.udf.CIQ("XBI", "IQ_LASTSALEPRICE", WORKDAY(F772,-1))/_xll.ciqfunctions.udf.CIQ("XBI", "IQ_LASTSALEPRICE", WORKDAY(F772,1)))</f>
        <v>3.9361520314744871E-3</v>
      </c>
      <c r="Q772">
        <f>LN(_xll.ciqfunctions.udf.CIQ("XBI", "IQ_LASTSALEPRICE", WORKDAY(F772,-1))/_xll.ciqfunctions.udf.CIQ("XBI", "IQ_LASTSALEPRICE", WORKDAY(F772,5)))</f>
        <v>7.9342749006150404E-2</v>
      </c>
      <c r="R772">
        <f>_xll.ciqfunctions.udf.CIQ(A772, "IQ_SHORT_INTEREST_PERCENT", F772)</f>
        <v>6.4294200000000004</v>
      </c>
      <c r="S772">
        <f>_xll.ciqfunctions.udf.CIQ(A772, "IQ_BETA_1YR_RSQ", F772)</f>
        <v>3.7010000000000001E-2</v>
      </c>
      <c r="T772">
        <f>_xll.ciqfunctions.udf.CIQ(A772, "IQ_VALUE_TRADED", F772)</f>
        <v>1.7511399999999999</v>
      </c>
    </row>
    <row r="773" spans="1:20" x14ac:dyDescent="0.3">
      <c r="A773" t="s">
        <v>1341</v>
      </c>
      <c r="B773" s="2">
        <v>2.4</v>
      </c>
      <c r="C773" t="s">
        <v>2228</v>
      </c>
      <c r="D773" t="s">
        <v>104</v>
      </c>
      <c r="E773" t="s">
        <v>89</v>
      </c>
      <c r="F773" s="1">
        <v>45392</v>
      </c>
      <c r="G773" t="s">
        <v>2229</v>
      </c>
      <c r="H773">
        <v>3</v>
      </c>
      <c r="I773">
        <f>_xll.ciqfunctions.udf.CIQ(A773, "IQ_MARKETCAP", F773)</f>
        <v>1.2787200000000001</v>
      </c>
      <c r="J773">
        <f>_xll.ciqfunctions.udf.CIQ(A773, "IQ_PRICE_VOL_HIST_6MTH", F773)</f>
        <v>118.6123</v>
      </c>
      <c r="K773">
        <f>_xll.ciqfunctions.udf.CIQ(A773, "IQ_LASTSALEPRICE", WORKDAY(F773,-1))</f>
        <v>2412.4024100000001</v>
      </c>
      <c r="L773">
        <f>_xll.ciqfunctions.udf.CIQ(A773, "IQ_LASTSALEPRICE", F773)</f>
        <v>1776.0017800000001</v>
      </c>
      <c r="M773">
        <f>_xll.ciqfunctions.udf.CIQ(A773, "IQ_LASTSALEPRICE", WORKDAY(F773,5))</f>
        <v>527.25053000000003</v>
      </c>
      <c r="N773">
        <f t="shared" si="24"/>
        <v>-0.30625845477760738</v>
      </c>
      <c r="O773">
        <f t="shared" si="25"/>
        <v>-1.5207025560073519</v>
      </c>
      <c r="P773">
        <f>LN(_xll.ciqfunctions.udf.CIQ("XBI", "IQ_LASTSALEPRICE", WORKDAY(F773,-1))/_xll.ciqfunctions.udf.CIQ("XBI", "IQ_LASTSALEPRICE", WORKDAY(F773,1)))</f>
        <v>3.9361520314744871E-3</v>
      </c>
      <c r="Q773">
        <f>LN(_xll.ciqfunctions.udf.CIQ("XBI", "IQ_LASTSALEPRICE", WORKDAY(F773,-1))/_xll.ciqfunctions.udf.CIQ("XBI", "IQ_LASTSALEPRICE", WORKDAY(F773,5)))</f>
        <v>7.9342749006150404E-2</v>
      </c>
      <c r="R773">
        <f>_xll.ciqfunctions.udf.CIQ(A773, "IQ_SHORT_INTEREST_PERCENT", F773)</f>
        <v>6.4294200000000004</v>
      </c>
      <c r="S773">
        <f>_xll.ciqfunctions.udf.CIQ(A773, "IQ_BETA_1YR_RSQ", F773)</f>
        <v>3.7010000000000001E-2</v>
      </c>
      <c r="T773">
        <f>_xll.ciqfunctions.udf.CIQ(A773, "IQ_VALUE_TRADED", F773)</f>
        <v>1.7511399999999999</v>
      </c>
    </row>
    <row r="774" spans="1:20" x14ac:dyDescent="0.3">
      <c r="A774" t="s">
        <v>1944</v>
      </c>
      <c r="B774" s="2">
        <v>4.3499999999999996</v>
      </c>
      <c r="C774" t="s">
        <v>2230</v>
      </c>
      <c r="D774" t="s">
        <v>1680</v>
      </c>
      <c r="E774" t="s">
        <v>89</v>
      </c>
      <c r="F774" s="1">
        <v>45392</v>
      </c>
      <c r="G774" t="s">
        <v>2231</v>
      </c>
      <c r="H774">
        <v>93</v>
      </c>
      <c r="I774">
        <f>_xll.ciqfunctions.udf.CIQ(A774, "IQ_MARKETCAP", F774)</f>
        <v>392.86808000000002</v>
      </c>
      <c r="J774">
        <f>_xll.ciqfunctions.udf.CIQ(A774, "IQ_PRICE_VOL_HIST_6MTH", F774)</f>
        <v>92.117099999999994</v>
      </c>
      <c r="K774">
        <f>_xll.ciqfunctions.udf.CIQ(A774, "IQ_LASTSALEPRICE", WORKDAY(F774,-1))</f>
        <v>4.46</v>
      </c>
      <c r="L774">
        <f>_xll.ciqfunctions.udf.CIQ(A774, "IQ_LASTSALEPRICE", F774)</f>
        <v>4.3499999999999996</v>
      </c>
      <c r="M774">
        <f>_xll.ciqfunctions.udf.CIQ(A774, "IQ_LASTSALEPRICE", WORKDAY(F774,5))</f>
        <v>3.91</v>
      </c>
      <c r="N774">
        <f t="shared" si="24"/>
        <v>-2.4972920931380049E-2</v>
      </c>
      <c r="O774">
        <f t="shared" si="25"/>
        <v>-0.13161139203469821</v>
      </c>
      <c r="P774">
        <f>LN(_xll.ciqfunctions.udf.CIQ("XBI", "IQ_LASTSALEPRICE", WORKDAY(F774,-1))/_xll.ciqfunctions.udf.CIQ("XBI", "IQ_LASTSALEPRICE", WORKDAY(F774,1)))</f>
        <v>3.9361520314744871E-3</v>
      </c>
      <c r="Q774">
        <f>LN(_xll.ciqfunctions.udf.CIQ("XBI", "IQ_LASTSALEPRICE", WORKDAY(F774,-1))/_xll.ciqfunctions.udf.CIQ("XBI", "IQ_LASTSALEPRICE", WORKDAY(F774,5)))</f>
        <v>7.9342749006150404E-2</v>
      </c>
      <c r="R774">
        <f>_xll.ciqfunctions.udf.CIQ(A774, "IQ_SHORT_INTEREST_PERCENT", F774)</f>
        <v>11.295769999999999</v>
      </c>
      <c r="S774">
        <f>_xll.ciqfunctions.udf.CIQ(A774, "IQ_BETA_1YR_RSQ", F774)</f>
        <v>4.9590000000000002E-2</v>
      </c>
      <c r="T774">
        <f>_xll.ciqfunctions.udf.CIQ(A774, "IQ_VALUE_TRADED", F774)</f>
        <v>9.2885799999999996</v>
      </c>
    </row>
    <row r="775" spans="1:20" x14ac:dyDescent="0.3">
      <c r="A775" t="s">
        <v>356</v>
      </c>
      <c r="B775" s="2">
        <v>397.58</v>
      </c>
      <c r="C775" t="s">
        <v>2232</v>
      </c>
      <c r="D775" t="s">
        <v>2233</v>
      </c>
      <c r="E775" t="s">
        <v>76</v>
      </c>
      <c r="F775" s="1">
        <v>45392</v>
      </c>
      <c r="G775" t="s">
        <v>2234</v>
      </c>
      <c r="H775">
        <v>256</v>
      </c>
      <c r="I775">
        <f>_xll.ciqfunctions.udf.CIQ(A775, "IQ_MARKETCAP", F775)</f>
        <v>102758.26559</v>
      </c>
      <c r="J775">
        <f>_xll.ciqfunctions.udf.CIQ(A775, "IQ_PRICE_VOL_HIST_6MTH", F775)</f>
        <v>27.108599999999999</v>
      </c>
      <c r="K775">
        <f>_xll.ciqfunctions.udf.CIQ(A775, "IQ_LASTSALEPRICE", WORKDAY(F775,-1))</f>
        <v>404.48</v>
      </c>
      <c r="L775">
        <f>_xll.ciqfunctions.udf.CIQ(A775, "IQ_LASTSALEPRICE", F775)</f>
        <v>397.58</v>
      </c>
      <c r="M775">
        <f>_xll.ciqfunctions.udf.CIQ(A775, "IQ_LASTSALEPRICE", WORKDAY(F775,5))</f>
        <v>393.1</v>
      </c>
      <c r="N775">
        <f t="shared" si="24"/>
        <v>-1.7206119812062704E-2</v>
      </c>
      <c r="O775">
        <f t="shared" si="25"/>
        <v>-2.8538259090623276E-2</v>
      </c>
      <c r="P775">
        <f>LN(_xll.ciqfunctions.udf.CIQ("XBI", "IQ_LASTSALEPRICE", WORKDAY(F775,-1))/_xll.ciqfunctions.udf.CIQ("XBI", "IQ_LASTSALEPRICE", WORKDAY(F775,1)))</f>
        <v>3.9361520314744871E-3</v>
      </c>
      <c r="Q775">
        <f>LN(_xll.ciqfunctions.udf.CIQ("XBI", "IQ_LASTSALEPRICE", WORKDAY(F775,-1))/_xll.ciqfunctions.udf.CIQ("XBI", "IQ_LASTSALEPRICE", WORKDAY(F775,5)))</f>
        <v>7.9342749006150404E-2</v>
      </c>
      <c r="R775">
        <f>_xll.ciqfunctions.udf.CIQ(A775, "IQ_SHORT_INTEREST_PERCENT", F775)</f>
        <v>1.53816</v>
      </c>
      <c r="S775">
        <f>_xll.ciqfunctions.udf.CIQ(A775, "IQ_BETA_1YR_RSQ", F775)</f>
        <v>0.19209000000000001</v>
      </c>
      <c r="T775">
        <f>_xll.ciqfunctions.udf.CIQ(A775, "IQ_VALUE_TRADED", F775)</f>
        <v>408.18743000000001</v>
      </c>
    </row>
    <row r="776" spans="1:20" x14ac:dyDescent="0.3">
      <c r="A776" t="s">
        <v>1629</v>
      </c>
      <c r="B776" s="2">
        <v>47.04</v>
      </c>
      <c r="C776" t="s">
        <v>2232</v>
      </c>
      <c r="D776" t="s">
        <v>2233</v>
      </c>
      <c r="E776" t="s">
        <v>76</v>
      </c>
      <c r="F776" s="1">
        <v>45392</v>
      </c>
      <c r="G776" t="s">
        <v>2234</v>
      </c>
      <c r="H776">
        <v>68</v>
      </c>
      <c r="I776">
        <f>_xll.ciqfunctions.udf.CIQ(A776, "IQ_MARKETCAP", F776)</f>
        <v>67.501729999999995</v>
      </c>
      <c r="J776">
        <f>_xll.ciqfunctions.udf.CIQ(A776, "IQ_PRICE_VOL_HIST_6MTH", F776)</f>
        <v>23.002400000000002</v>
      </c>
      <c r="K776">
        <f>_xll.ciqfunctions.udf.CIQ(A776, "IQ_LASTSALEPRICE", WORKDAY(F776,-1))</f>
        <v>7.7</v>
      </c>
      <c r="L776">
        <f>_xll.ciqfunctions.udf.CIQ(A776, "IQ_LASTSALEPRICE", F776)</f>
        <v>7.75</v>
      </c>
      <c r="M776">
        <f>_xll.ciqfunctions.udf.CIQ(A776, "IQ_LASTSALEPRICE", WORKDAY(F776,5))</f>
        <v>7.5</v>
      </c>
      <c r="N776">
        <f t="shared" si="24"/>
        <v>6.4725145056175196E-3</v>
      </c>
      <c r="O776">
        <f t="shared" si="25"/>
        <v>-2.6317308317373417E-2</v>
      </c>
      <c r="P776">
        <f>LN(_xll.ciqfunctions.udf.CIQ("XBI", "IQ_LASTSALEPRICE", WORKDAY(F776,-1))/_xll.ciqfunctions.udf.CIQ("XBI", "IQ_LASTSALEPRICE", WORKDAY(F776,1)))</f>
        <v>3.9361520314744871E-3</v>
      </c>
      <c r="Q776">
        <f>LN(_xll.ciqfunctions.udf.CIQ("XBI", "IQ_LASTSALEPRICE", WORKDAY(F776,-1))/_xll.ciqfunctions.udf.CIQ("XBI", "IQ_LASTSALEPRICE", WORKDAY(F776,5)))</f>
        <v>7.9342749006150404E-2</v>
      </c>
      <c r="R776">
        <f>_xll.ciqfunctions.udf.CIQ(A776, "IQ_SHORT_INTEREST_PERCENT", F776)</f>
        <v>0</v>
      </c>
      <c r="S776">
        <f>_xll.ciqfunctions.udf.CIQ(A776, "IQ_BETA_1YR_RSQ", F776)</f>
        <v>2.5530000000000001E-2</v>
      </c>
      <c r="T776">
        <f>_xll.ciqfunctions.udf.CIQ(A776, "IQ_VALUE_TRADED", F776)</f>
        <v>3.9719999999999998E-2</v>
      </c>
    </row>
    <row r="777" spans="1:20" x14ac:dyDescent="0.3">
      <c r="A777" t="s">
        <v>833</v>
      </c>
      <c r="B777" s="2">
        <v>175.7</v>
      </c>
      <c r="C777" t="s">
        <v>834</v>
      </c>
      <c r="D777" t="s">
        <v>243</v>
      </c>
      <c r="E777" t="s">
        <v>89</v>
      </c>
      <c r="F777" s="1">
        <v>45392</v>
      </c>
      <c r="G777" t="s">
        <v>2235</v>
      </c>
      <c r="H777">
        <v>28</v>
      </c>
      <c r="I777">
        <f>_xll.ciqfunctions.udf.CIQ(A777, "IQ_MARKETCAP", F777)</f>
        <v>5010.0059099999999</v>
      </c>
      <c r="J777">
        <f>_xll.ciqfunctions.udf.CIQ(A777, "IQ_PRICE_VOL_HIST_6MTH", F777)</f>
        <v>70.314800000000005</v>
      </c>
      <c r="K777">
        <f>_xll.ciqfunctions.udf.CIQ(A777, "IQ_LASTSALEPRICE", WORKDAY(F777,-1))</f>
        <v>179.77</v>
      </c>
      <c r="L777">
        <f>_xll.ciqfunctions.udf.CIQ(A777, "IQ_LASTSALEPRICE", F777)</f>
        <v>175.7</v>
      </c>
      <c r="M777">
        <f>_xll.ciqfunctions.udf.CIQ(A777, "IQ_LASTSALEPRICE", WORKDAY(F777,5))</f>
        <v>169.64</v>
      </c>
      <c r="N777">
        <f t="shared" si="24"/>
        <v>-2.2900260865273272E-2</v>
      </c>
      <c r="O777">
        <f t="shared" si="25"/>
        <v>-5.7999711451934804E-2</v>
      </c>
      <c r="P777">
        <f>LN(_xll.ciqfunctions.udf.CIQ("XBI", "IQ_LASTSALEPRICE", WORKDAY(F777,-1))/_xll.ciqfunctions.udf.CIQ("XBI", "IQ_LASTSALEPRICE", WORKDAY(F777,1)))</f>
        <v>3.9361520314744871E-3</v>
      </c>
      <c r="Q777">
        <f>LN(_xll.ciqfunctions.udf.CIQ("XBI", "IQ_LASTSALEPRICE", WORKDAY(F777,-1))/_xll.ciqfunctions.udf.CIQ("XBI", "IQ_LASTSALEPRICE", WORKDAY(F777,5)))</f>
        <v>7.9342749006150404E-2</v>
      </c>
      <c r="R777">
        <f>_xll.ciqfunctions.udf.CIQ(A777, "IQ_SHORT_INTEREST_PERCENT", F777)</f>
        <v>7.6247600000000002</v>
      </c>
      <c r="S777">
        <f>_xll.ciqfunctions.udf.CIQ(A777, "IQ_BETA_1YR_RSQ", F777)</f>
        <v>1.4449999999999999E-2</v>
      </c>
      <c r="T777">
        <f>_xll.ciqfunctions.udf.CIQ(A777, "IQ_VALUE_TRADED", F777)</f>
        <v>43.046320000000001</v>
      </c>
    </row>
    <row r="778" spans="1:20" x14ac:dyDescent="0.3">
      <c r="A778" t="s">
        <v>1796</v>
      </c>
      <c r="B778" s="2">
        <v>6.41</v>
      </c>
      <c r="C778" t="s">
        <v>2236</v>
      </c>
      <c r="D778" t="s">
        <v>2237</v>
      </c>
      <c r="E778" t="s">
        <v>76</v>
      </c>
      <c r="F778" s="1">
        <v>45393</v>
      </c>
      <c r="G778" t="s">
        <v>2238</v>
      </c>
      <c r="H778">
        <v>5</v>
      </c>
      <c r="I778">
        <f>_xll.ciqfunctions.udf.CIQ(A778, "IQ_MARKETCAP", F778)</f>
        <v>34.074469999999998</v>
      </c>
      <c r="J778">
        <f>_xll.ciqfunctions.udf.CIQ(A778, "IQ_PRICE_VOL_HIST_6MTH", F778)</f>
        <v>75.880399999999995</v>
      </c>
      <c r="K778">
        <f>_xll.ciqfunctions.udf.CIQ(A778, "IQ_LASTSALEPRICE", WORKDAY(F778,-1))</f>
        <v>6.51</v>
      </c>
      <c r="L778">
        <f>_xll.ciqfunctions.udf.CIQ(A778, "IQ_LASTSALEPRICE", F778)</f>
        <v>6.41</v>
      </c>
      <c r="M778">
        <f>_xll.ciqfunctions.udf.CIQ(A778, "IQ_LASTSALEPRICE", WORKDAY(F778,5))</f>
        <v>5.44</v>
      </c>
      <c r="N778">
        <f t="shared" si="24"/>
        <v>-1.5480185287899172E-2</v>
      </c>
      <c r="O778">
        <f t="shared" si="25"/>
        <v>-0.17956039535262652</v>
      </c>
      <c r="P778">
        <f>LN(_xll.ciqfunctions.udf.CIQ("XBI", "IQ_LASTSALEPRICE", WORKDAY(F778,-1))/_xll.ciqfunctions.udf.CIQ("XBI", "IQ_LASTSALEPRICE", WORKDAY(F778,1)))</f>
        <v>2.0214051552662746E-2</v>
      </c>
      <c r="Q778">
        <f>LN(_xll.ciqfunctions.udf.CIQ("XBI", "IQ_LASTSALEPRICE", WORKDAY(F778,-1))/_xll.ciqfunctions.udf.CIQ("XBI", "IQ_LASTSALEPRICE", WORKDAY(F778,5)))</f>
        <v>7.4646878187542162E-2</v>
      </c>
      <c r="R778">
        <f>_xll.ciqfunctions.udf.CIQ(A778, "IQ_SHORT_INTEREST_PERCENT", F778)</f>
        <v>2.0483899999999999</v>
      </c>
      <c r="S778">
        <f>_xll.ciqfunctions.udf.CIQ(A778, "IQ_BETA_1YR_RSQ", F778)</f>
        <v>6.6489999999999994E-2</v>
      </c>
      <c r="T778">
        <f>_xll.ciqfunctions.udf.CIQ(A778, "IQ_VALUE_TRADED", F778)</f>
        <v>14.132770000000001</v>
      </c>
    </row>
    <row r="779" spans="1:20" x14ac:dyDescent="0.3">
      <c r="A779" t="s">
        <v>1459</v>
      </c>
      <c r="B779" s="2">
        <v>27.93</v>
      </c>
      <c r="C779" t="s">
        <v>1460</v>
      </c>
      <c r="D779" t="s">
        <v>2239</v>
      </c>
      <c r="E779" t="s">
        <v>17</v>
      </c>
      <c r="F779" s="1">
        <v>45393</v>
      </c>
      <c r="G779" t="s">
        <v>2240</v>
      </c>
      <c r="H779">
        <v>24</v>
      </c>
      <c r="I779">
        <f>_xll.ciqfunctions.udf.CIQ(A779, "IQ_MARKETCAP", F779)</f>
        <v>586.35374999999999</v>
      </c>
      <c r="J779">
        <f>_xll.ciqfunctions.udf.CIQ(A779, "IQ_PRICE_VOL_HIST_6MTH", F779)</f>
        <v>50.3245</v>
      </c>
      <c r="K779">
        <f>_xll.ciqfunctions.udf.CIQ(A779, "IQ_LASTSALEPRICE", WORKDAY(F779,-1))</f>
        <v>2.1749999999999998</v>
      </c>
      <c r="L779">
        <f>_xll.ciqfunctions.udf.CIQ(A779, "IQ_LASTSALEPRICE", F779)</f>
        <v>2.17</v>
      </c>
      <c r="M779">
        <f>_xll.ciqfunctions.udf.CIQ(A779, "IQ_LASTSALEPRICE", WORKDAY(F779,5))</f>
        <v>2.0750000000000002</v>
      </c>
      <c r="N779">
        <f t="shared" si="24"/>
        <v>-2.301496988279163E-3</v>
      </c>
      <c r="O779">
        <f t="shared" si="25"/>
        <v>-4.706751085798562E-2</v>
      </c>
      <c r="P779">
        <f>LN(_xll.ciqfunctions.udf.CIQ("XBI", "IQ_LASTSALEPRICE", WORKDAY(F779,-1))/_xll.ciqfunctions.udf.CIQ("XBI", "IQ_LASTSALEPRICE", WORKDAY(F779,1)))</f>
        <v>2.0214051552662746E-2</v>
      </c>
      <c r="Q779">
        <f>LN(_xll.ciqfunctions.udf.CIQ("XBI", "IQ_LASTSALEPRICE", WORKDAY(F779,-1))/_xll.ciqfunctions.udf.CIQ("XBI", "IQ_LASTSALEPRICE", WORKDAY(F779,5)))</f>
        <v>7.4646878187542162E-2</v>
      </c>
      <c r="R779">
        <f>_xll.ciqfunctions.udf.CIQ(A779, "IQ_SHORT_INTEREST_PERCENT", F779)</f>
        <v>0</v>
      </c>
      <c r="S779">
        <f>_xll.ciqfunctions.udf.CIQ(A779, "IQ_BETA_1YR_RSQ", F779)</f>
        <v>9.0690000000000007E-2</v>
      </c>
      <c r="T779">
        <f>_xll.ciqfunctions.udf.CIQ(A779, "IQ_VALUE_TRADED", F779)</f>
        <v>1.33893</v>
      </c>
    </row>
    <row r="780" spans="1:20" x14ac:dyDescent="0.3">
      <c r="A780" t="s">
        <v>2241</v>
      </c>
      <c r="B780" t="s">
        <v>43</v>
      </c>
      <c r="C780" t="s">
        <v>2242</v>
      </c>
      <c r="D780" t="s">
        <v>2243</v>
      </c>
      <c r="E780" t="s">
        <v>76</v>
      </c>
      <c r="F780" s="1">
        <v>45393</v>
      </c>
      <c r="G780" t="s">
        <v>2244</v>
      </c>
      <c r="H780">
        <v>67</v>
      </c>
      <c r="I780">
        <f>_xll.ciqfunctions.udf.CIQ(A780, "IQ_MARKETCAP", F780)</f>
        <v>128.43817000000001</v>
      </c>
      <c r="J780">
        <f>_xll.ciqfunctions.udf.CIQ(A780, "IQ_PRICE_VOL_HIST_6MTH", F780)</f>
        <v>89.699600000000004</v>
      </c>
      <c r="K780">
        <f>_xll.ciqfunctions.udf.CIQ(A780, "IQ_LASTSALEPRICE", WORKDAY(F780,-1))</f>
        <v>2.67</v>
      </c>
      <c r="L780">
        <f>_xll.ciqfunctions.udf.CIQ(A780, "IQ_LASTSALEPRICE", F780)</f>
        <v>4.58</v>
      </c>
      <c r="M780">
        <f>_xll.ciqfunctions.udf.CIQ(A780, "IQ_LASTSALEPRICE", WORKDAY(F780,5))</f>
        <v>4.18</v>
      </c>
      <c r="N780">
        <f t="shared" si="24"/>
        <v>0.53962052571393537</v>
      </c>
      <c r="O780">
        <f t="shared" si="25"/>
        <v>0.44823277412450668</v>
      </c>
      <c r="P780">
        <f>LN(_xll.ciqfunctions.udf.CIQ("XBI", "IQ_LASTSALEPRICE", WORKDAY(F780,-1))/_xll.ciqfunctions.udf.CIQ("XBI", "IQ_LASTSALEPRICE", WORKDAY(F780,1)))</f>
        <v>2.0214051552662746E-2</v>
      </c>
      <c r="Q780">
        <f>LN(_xll.ciqfunctions.udf.CIQ("XBI", "IQ_LASTSALEPRICE", WORKDAY(F780,-1))/_xll.ciqfunctions.udf.CIQ("XBI", "IQ_LASTSALEPRICE", WORKDAY(F780,5)))</f>
        <v>7.4646878187542162E-2</v>
      </c>
      <c r="R780">
        <f>_xll.ciqfunctions.udf.CIQ(A780, "IQ_SHORT_INTEREST_PERCENT", F780)</f>
        <v>4.7129999999999998E-2</v>
      </c>
      <c r="S780">
        <f>_xll.ciqfunctions.udf.CIQ(A780, "IQ_BETA_1YR_RSQ", F780)</f>
        <v>2.0000000000000002E-5</v>
      </c>
      <c r="T780">
        <f>_xll.ciqfunctions.udf.CIQ(A780, "IQ_VALUE_TRADED", F780)</f>
        <v>179.10551000000001</v>
      </c>
    </row>
    <row r="781" spans="1:20" x14ac:dyDescent="0.3">
      <c r="A781" t="s">
        <v>2241</v>
      </c>
      <c r="B781" t="s">
        <v>43</v>
      </c>
      <c r="C781" t="s">
        <v>2242</v>
      </c>
      <c r="D781" t="s">
        <v>2245</v>
      </c>
      <c r="E781" t="s">
        <v>76</v>
      </c>
      <c r="F781" s="1">
        <v>45393</v>
      </c>
      <c r="G781" t="s">
        <v>2244</v>
      </c>
      <c r="H781">
        <v>67</v>
      </c>
      <c r="I781">
        <f>_xll.ciqfunctions.udf.CIQ(A781, "IQ_MARKETCAP", F781)</f>
        <v>128.43817000000001</v>
      </c>
      <c r="J781">
        <f>_xll.ciqfunctions.udf.CIQ(A781, "IQ_PRICE_VOL_HIST_6MTH", F781)</f>
        <v>89.699600000000004</v>
      </c>
      <c r="K781">
        <f>_xll.ciqfunctions.udf.CIQ(A781, "IQ_LASTSALEPRICE", WORKDAY(F781,-1))</f>
        <v>2.67</v>
      </c>
      <c r="L781">
        <f>_xll.ciqfunctions.udf.CIQ(A781, "IQ_LASTSALEPRICE", F781)</f>
        <v>4.58</v>
      </c>
      <c r="M781">
        <f>_xll.ciqfunctions.udf.CIQ(A781, "IQ_LASTSALEPRICE", WORKDAY(F781,5))</f>
        <v>4.18</v>
      </c>
      <c r="N781">
        <f t="shared" si="24"/>
        <v>0.53962052571393537</v>
      </c>
      <c r="O781">
        <f t="shared" si="25"/>
        <v>0.44823277412450668</v>
      </c>
      <c r="P781">
        <f>LN(_xll.ciqfunctions.udf.CIQ("XBI", "IQ_LASTSALEPRICE", WORKDAY(F781,-1))/_xll.ciqfunctions.udf.CIQ("XBI", "IQ_LASTSALEPRICE", WORKDAY(F781,1)))</f>
        <v>2.0214051552662746E-2</v>
      </c>
      <c r="Q781">
        <f>LN(_xll.ciqfunctions.udf.CIQ("XBI", "IQ_LASTSALEPRICE", WORKDAY(F781,-1))/_xll.ciqfunctions.udf.CIQ("XBI", "IQ_LASTSALEPRICE", WORKDAY(F781,5)))</f>
        <v>7.4646878187542162E-2</v>
      </c>
      <c r="R781">
        <f>_xll.ciqfunctions.udf.CIQ(A781, "IQ_SHORT_INTEREST_PERCENT", F781)</f>
        <v>4.7129999999999998E-2</v>
      </c>
      <c r="S781">
        <f>_xll.ciqfunctions.udf.CIQ(A781, "IQ_BETA_1YR_RSQ", F781)</f>
        <v>2.0000000000000002E-5</v>
      </c>
      <c r="T781">
        <f>_xll.ciqfunctions.udf.CIQ(A781, "IQ_VALUE_TRADED", F781)</f>
        <v>179.10551000000001</v>
      </c>
    </row>
    <row r="782" spans="1:20" x14ac:dyDescent="0.3">
      <c r="A782" t="s">
        <v>2241</v>
      </c>
      <c r="B782" t="s">
        <v>43</v>
      </c>
      <c r="C782" t="s">
        <v>2242</v>
      </c>
      <c r="D782" t="s">
        <v>2246</v>
      </c>
      <c r="E782" t="s">
        <v>22</v>
      </c>
      <c r="F782" s="1">
        <v>45393</v>
      </c>
      <c r="G782" t="s">
        <v>2247</v>
      </c>
      <c r="H782">
        <v>67</v>
      </c>
      <c r="I782">
        <f>_xll.ciqfunctions.udf.CIQ(A782, "IQ_MARKETCAP", F782)</f>
        <v>128.43817000000001</v>
      </c>
      <c r="J782">
        <f>_xll.ciqfunctions.udf.CIQ(A782, "IQ_PRICE_VOL_HIST_6MTH", F782)</f>
        <v>89.699600000000004</v>
      </c>
      <c r="K782">
        <f>_xll.ciqfunctions.udf.CIQ(A782, "IQ_LASTSALEPRICE", WORKDAY(F782,-1))</f>
        <v>2.67</v>
      </c>
      <c r="L782">
        <f>_xll.ciqfunctions.udf.CIQ(A782, "IQ_LASTSALEPRICE", F782)</f>
        <v>4.58</v>
      </c>
      <c r="M782">
        <f>_xll.ciqfunctions.udf.CIQ(A782, "IQ_LASTSALEPRICE", WORKDAY(F782,5))</f>
        <v>4.18</v>
      </c>
      <c r="N782">
        <f t="shared" si="24"/>
        <v>0.53962052571393537</v>
      </c>
      <c r="O782">
        <f t="shared" si="25"/>
        <v>0.44823277412450668</v>
      </c>
      <c r="P782">
        <f>LN(_xll.ciqfunctions.udf.CIQ("XBI", "IQ_LASTSALEPRICE", WORKDAY(F782,-1))/_xll.ciqfunctions.udf.CIQ("XBI", "IQ_LASTSALEPRICE", WORKDAY(F782,1)))</f>
        <v>2.0214051552662746E-2</v>
      </c>
      <c r="Q782">
        <f>LN(_xll.ciqfunctions.udf.CIQ("XBI", "IQ_LASTSALEPRICE", WORKDAY(F782,-1))/_xll.ciqfunctions.udf.CIQ("XBI", "IQ_LASTSALEPRICE", WORKDAY(F782,5)))</f>
        <v>7.4646878187542162E-2</v>
      </c>
      <c r="R782">
        <f>_xll.ciqfunctions.udf.CIQ(A782, "IQ_SHORT_INTEREST_PERCENT", F782)</f>
        <v>4.7129999999999998E-2</v>
      </c>
      <c r="S782">
        <f>_xll.ciqfunctions.udf.CIQ(A782, "IQ_BETA_1YR_RSQ", F782)</f>
        <v>2.0000000000000002E-5</v>
      </c>
      <c r="T782">
        <f>_xll.ciqfunctions.udf.CIQ(A782, "IQ_VALUE_TRADED", F782)</f>
        <v>179.10551000000001</v>
      </c>
    </row>
    <row r="783" spans="1:20" x14ac:dyDescent="0.3">
      <c r="A783" t="s">
        <v>2248</v>
      </c>
      <c r="B783" s="2">
        <v>11.63</v>
      </c>
      <c r="C783" t="s">
        <v>2249</v>
      </c>
      <c r="D783" t="s">
        <v>2250</v>
      </c>
      <c r="E783" t="s">
        <v>17</v>
      </c>
      <c r="F783" s="1">
        <v>45393</v>
      </c>
      <c r="G783" t="s">
        <v>2251</v>
      </c>
      <c r="H783">
        <v>22</v>
      </c>
      <c r="I783">
        <f>_xll.ciqfunctions.udf.CIQ(A783, "IQ_MARKETCAP", F783)</f>
        <v>258.60975999999999</v>
      </c>
      <c r="J783">
        <f>_xll.ciqfunctions.udf.CIQ(A783, "IQ_PRICE_VOL_HIST_6MTH", F783)</f>
        <v>0</v>
      </c>
      <c r="K783">
        <f>_xll.ciqfunctions.udf.CIQ(A783, "IQ_LASTSALEPRICE", WORKDAY(F783,-1))</f>
        <v>11.87</v>
      </c>
      <c r="L783">
        <f>_xll.ciqfunctions.udf.CIQ(A783, "IQ_LASTSALEPRICE", F783)</f>
        <v>11.63</v>
      </c>
      <c r="M783">
        <f>_xll.ciqfunctions.udf.CIQ(A783, "IQ_LASTSALEPRICE", WORKDAY(F783,5))</f>
        <v>11.3</v>
      </c>
      <c r="N783">
        <f t="shared" si="24"/>
        <v>-2.0426242091003508E-2</v>
      </c>
      <c r="O783">
        <f t="shared" si="25"/>
        <v>-4.9211482903281686E-2</v>
      </c>
      <c r="P783">
        <f>LN(_xll.ciqfunctions.udf.CIQ("XBI", "IQ_LASTSALEPRICE", WORKDAY(F783,-1))/_xll.ciqfunctions.udf.CIQ("XBI", "IQ_LASTSALEPRICE", WORKDAY(F783,1)))</f>
        <v>2.0214051552662746E-2</v>
      </c>
      <c r="Q783">
        <f>LN(_xll.ciqfunctions.udf.CIQ("XBI", "IQ_LASTSALEPRICE", WORKDAY(F783,-1))/_xll.ciqfunctions.udf.CIQ("XBI", "IQ_LASTSALEPRICE", WORKDAY(F783,5)))</f>
        <v>7.4646878187542162E-2</v>
      </c>
      <c r="R783">
        <f>_xll.ciqfunctions.udf.CIQ(A783, "IQ_SHORT_INTEREST_PERCENT", F783)</f>
        <v>0</v>
      </c>
      <c r="S783">
        <f>_xll.ciqfunctions.udf.CIQ(A783, "IQ_BETA_1YR_RSQ", F783)</f>
        <v>0</v>
      </c>
      <c r="T783">
        <f>_xll.ciqfunctions.udf.CIQ(A783, "IQ_VALUE_TRADED", F783)</f>
        <v>1.8194399999999999</v>
      </c>
    </row>
    <row r="784" spans="1:20" x14ac:dyDescent="0.3">
      <c r="A784" t="s">
        <v>433</v>
      </c>
      <c r="B784" s="2">
        <v>69.02</v>
      </c>
      <c r="C784" t="s">
        <v>2252</v>
      </c>
      <c r="D784" t="s">
        <v>2253</v>
      </c>
      <c r="E784" t="s">
        <v>160</v>
      </c>
      <c r="F784" s="1">
        <v>45393</v>
      </c>
      <c r="G784" t="s">
        <v>2254</v>
      </c>
      <c r="I784">
        <f>_xll.ciqfunctions.udf.CIQ(A784, "IQ_MARKETCAP", F784)</f>
        <v>169936.33142999999</v>
      </c>
      <c r="J784">
        <f>_xll.ciqfunctions.udf.CIQ(A784, "IQ_PRICE_VOL_HIST_6MTH", F784)</f>
        <v>23.9938</v>
      </c>
      <c r="K784">
        <f>_xll.ciqfunctions.udf.CIQ(A784, "IQ_LASTSALEPRICE", WORKDAY(F784,-1))</f>
        <v>107.32</v>
      </c>
      <c r="L784">
        <f>_xll.ciqfunctions.udf.CIQ(A784, "IQ_LASTSALEPRICE", F784)</f>
        <v>109.62</v>
      </c>
      <c r="M784">
        <f>_xll.ciqfunctions.udf.CIQ(A784, "IQ_LASTSALEPRICE", WORKDAY(F784,5))</f>
        <v>109.14</v>
      </c>
      <c r="N784">
        <f t="shared" si="24"/>
        <v>2.120481406054707E-2</v>
      </c>
      <c r="O784">
        <f t="shared" si="25"/>
        <v>1.681643620066256E-2</v>
      </c>
      <c r="P784">
        <f>LN(_xll.ciqfunctions.udf.CIQ("XBI", "IQ_LASTSALEPRICE", WORKDAY(F784,-1))/_xll.ciqfunctions.udf.CIQ("XBI", "IQ_LASTSALEPRICE", WORKDAY(F784,1)))</f>
        <v>2.0214051552662746E-2</v>
      </c>
      <c r="Q784">
        <f>LN(_xll.ciqfunctions.udf.CIQ("XBI", "IQ_LASTSALEPRICE", WORKDAY(F784,-1))/_xll.ciqfunctions.udf.CIQ("XBI", "IQ_LASTSALEPRICE", WORKDAY(F784,5)))</f>
        <v>7.4646878187542162E-2</v>
      </c>
      <c r="R784">
        <f>_xll.ciqfunctions.udf.CIQ(A784, "IQ_SHORT_INTEREST_PERCENT", F784)</f>
        <v>0</v>
      </c>
      <c r="S784">
        <f>_xll.ciqfunctions.udf.CIQ(A784, "IQ_BETA_1YR_RSQ", F784)</f>
        <v>0.22766</v>
      </c>
      <c r="T784">
        <f>_xll.ciqfunctions.udf.CIQ(A784, "IQ_VALUE_TRADED", F784)</f>
        <v>295.81241999999997</v>
      </c>
    </row>
    <row r="785" spans="1:20" x14ac:dyDescent="0.3">
      <c r="A785" t="s">
        <v>699</v>
      </c>
      <c r="B785" s="2">
        <v>42.87</v>
      </c>
      <c r="C785" t="s">
        <v>2255</v>
      </c>
      <c r="D785" t="s">
        <v>2256</v>
      </c>
      <c r="E785" t="s">
        <v>17</v>
      </c>
      <c r="F785" s="1">
        <v>45397</v>
      </c>
      <c r="G785" t="s">
        <v>2257</v>
      </c>
      <c r="H785">
        <v>96</v>
      </c>
      <c r="I785">
        <f>_xll.ciqfunctions.udf.CIQ(A785, "IQ_MARKETCAP", F785)</f>
        <v>3529.7309</v>
      </c>
      <c r="J785">
        <f>_xll.ciqfunctions.udf.CIQ(A785, "IQ_PRICE_VOL_HIST_6MTH", F785)</f>
        <v>51.646299999999997</v>
      </c>
      <c r="K785">
        <f>_xll.ciqfunctions.udf.CIQ(A785, "IQ_LASTSALEPRICE", WORKDAY(F785,-1))</f>
        <v>47</v>
      </c>
      <c r="L785">
        <f>_xll.ciqfunctions.udf.CIQ(A785, "IQ_LASTSALEPRICE", F785)</f>
        <v>42.87</v>
      </c>
      <c r="M785">
        <f>_xll.ciqfunctions.udf.CIQ(A785, "IQ_LASTSALEPRICE", WORKDAY(F785,5))</f>
        <v>43.69</v>
      </c>
      <c r="N785">
        <f t="shared" si="24"/>
        <v>-9.1975321100172883E-2</v>
      </c>
      <c r="O785">
        <f t="shared" si="25"/>
        <v>-7.3028358746714109E-2</v>
      </c>
      <c r="P785">
        <f>LN(_xll.ciqfunctions.udf.CIQ("XBI", "IQ_LASTSALEPRICE", WORKDAY(F785,-1))/_xll.ciqfunctions.udf.CIQ("XBI", "IQ_LASTSALEPRICE", WORKDAY(F785,1)))</f>
        <v>2.923781008948512E-2</v>
      </c>
      <c r="Q785">
        <f>LN(_xll.ciqfunctions.udf.CIQ("XBI", "IQ_LASTSALEPRICE", WORKDAY(F785,-1))/_xll.ciqfunctions.udf.CIQ("XBI", "IQ_LASTSALEPRICE", WORKDAY(F785,5)))</f>
        <v>5.1203738138703554E-2</v>
      </c>
      <c r="R785">
        <f>_xll.ciqfunctions.udf.CIQ(A785, "IQ_SHORT_INTEREST_PERCENT", F785)</f>
        <v>4.7590899999999996</v>
      </c>
      <c r="S785">
        <f>_xll.ciqfunctions.udf.CIQ(A785, "IQ_BETA_1YR_RSQ", F785)</f>
        <v>0.10488</v>
      </c>
      <c r="T785">
        <f>_xll.ciqfunctions.udf.CIQ(A785, "IQ_VALUE_TRADED", F785)</f>
        <v>74.049139999999994</v>
      </c>
    </row>
    <row r="786" spans="1:20" x14ac:dyDescent="0.3">
      <c r="A786" t="s">
        <v>162</v>
      </c>
      <c r="B786" s="2">
        <v>79.77</v>
      </c>
      <c r="C786" t="s">
        <v>2258</v>
      </c>
      <c r="D786" t="s">
        <v>2259</v>
      </c>
      <c r="E786" t="s">
        <v>36</v>
      </c>
      <c r="F786" s="1">
        <v>45397</v>
      </c>
      <c r="G786" t="s">
        <v>2260</v>
      </c>
      <c r="H786">
        <v>19</v>
      </c>
      <c r="I786">
        <f>_xll.ciqfunctions.udf.CIQ(A786, "IQ_MARKETCAP", F786)</f>
        <v>1412.3507400000001</v>
      </c>
      <c r="J786">
        <f>_xll.ciqfunctions.udf.CIQ(A786, "IQ_PRICE_VOL_HIST_6MTH", F786)</f>
        <v>41.776899999999998</v>
      </c>
      <c r="K786">
        <f>_xll.ciqfunctions.udf.CIQ(A786, "IQ_LASTSALEPRICE", WORKDAY(F786,-1))</f>
        <v>81.36</v>
      </c>
      <c r="L786">
        <f>_xll.ciqfunctions.udf.CIQ(A786, "IQ_LASTSALEPRICE", F786)</f>
        <v>79.77</v>
      </c>
      <c r="M786">
        <f>_xll.ciqfunctions.udf.CIQ(A786, "IQ_LASTSALEPRICE", WORKDAY(F786,5))</f>
        <v>68.53</v>
      </c>
      <c r="N786">
        <f t="shared" si="24"/>
        <v>-1.9736257817266414E-2</v>
      </c>
      <c r="O786">
        <f t="shared" si="25"/>
        <v>-0.1716121461425722</v>
      </c>
      <c r="P786">
        <f>LN(_xll.ciqfunctions.udf.CIQ("XBI", "IQ_LASTSALEPRICE", WORKDAY(F786,-1))/_xll.ciqfunctions.udf.CIQ("XBI", "IQ_LASTSALEPRICE", WORKDAY(F786,1)))</f>
        <v>2.923781008948512E-2</v>
      </c>
      <c r="Q786">
        <f>LN(_xll.ciqfunctions.udf.CIQ("XBI", "IQ_LASTSALEPRICE", WORKDAY(F786,-1))/_xll.ciqfunctions.udf.CIQ("XBI", "IQ_LASTSALEPRICE", WORKDAY(F786,5)))</f>
        <v>5.1203738138703554E-2</v>
      </c>
      <c r="R786">
        <f>_xll.ciqfunctions.udf.CIQ(A786, "IQ_SHORT_INTEREST_PERCENT", F786)</f>
        <v>3.7959499999999999</v>
      </c>
      <c r="S786">
        <f>_xll.ciqfunctions.udf.CIQ(A786, "IQ_BETA_1YR_RSQ", F786)</f>
        <v>0.26730999999999999</v>
      </c>
      <c r="T786">
        <f>_xll.ciqfunctions.udf.CIQ(A786, "IQ_VALUE_TRADED", F786)</f>
        <v>14.0108</v>
      </c>
    </row>
    <row r="787" spans="1:20" x14ac:dyDescent="0.3">
      <c r="A787" t="s">
        <v>2261</v>
      </c>
      <c r="B787" s="2">
        <v>1.3</v>
      </c>
      <c r="C787" t="s">
        <v>2258</v>
      </c>
      <c r="D787" t="s">
        <v>2259</v>
      </c>
      <c r="E787" t="s">
        <v>36</v>
      </c>
      <c r="F787" s="1">
        <v>45397</v>
      </c>
      <c r="G787" t="s">
        <v>2260</v>
      </c>
      <c r="H787">
        <v>55</v>
      </c>
      <c r="I787">
        <f>_xll.ciqfunctions.udf.CIQ(A787, "IQ_MARKETCAP", F787)</f>
        <v>3971.1632800000002</v>
      </c>
      <c r="J787">
        <f>_xll.ciqfunctions.udf.CIQ(A787, "IQ_PRICE_VOL_HIST_6MTH", F787)</f>
        <v>41.634500000000003</v>
      </c>
      <c r="K787">
        <f>_xll.ciqfunctions.udf.CIQ(A787, "IQ_LASTSALEPRICE", WORKDAY(F787,-1))</f>
        <v>53.5</v>
      </c>
      <c r="L787">
        <f>_xll.ciqfunctions.udf.CIQ(A787, "IQ_LASTSALEPRICE", F787)</f>
        <v>53</v>
      </c>
      <c r="M787">
        <f>_xll.ciqfunctions.udf.CIQ(A787, "IQ_LASTSALEPRICE", WORKDAY(F787,5))</f>
        <v>52.51</v>
      </c>
      <c r="N787">
        <f t="shared" si="24"/>
        <v>-9.3897403498390316E-3</v>
      </c>
      <c r="O787">
        <f t="shared" si="25"/>
        <v>-1.8678026252192944E-2</v>
      </c>
      <c r="P787">
        <f>LN(_xll.ciqfunctions.udf.CIQ("XBI", "IQ_LASTSALEPRICE", WORKDAY(F787,-1))/_xll.ciqfunctions.udf.CIQ("XBI", "IQ_LASTSALEPRICE", WORKDAY(F787,1)))</f>
        <v>2.923781008948512E-2</v>
      </c>
      <c r="Q787">
        <f>LN(_xll.ciqfunctions.udf.CIQ("XBI", "IQ_LASTSALEPRICE", WORKDAY(F787,-1))/_xll.ciqfunctions.udf.CIQ("XBI", "IQ_LASTSALEPRICE", WORKDAY(F787,5)))</f>
        <v>5.1203738138703554E-2</v>
      </c>
      <c r="R787">
        <f>_xll.ciqfunctions.udf.CIQ(A787, "IQ_SHORT_INTEREST_PERCENT", F787)</f>
        <v>0</v>
      </c>
      <c r="S787">
        <f>_xll.ciqfunctions.udf.CIQ(A787, "IQ_BETA_1YR_RSQ", F787)</f>
        <v>2.99E-3</v>
      </c>
      <c r="T787">
        <f>_xll.ciqfunctions.udf.CIQ(A787, "IQ_VALUE_TRADED", F787)</f>
        <v>1.8815</v>
      </c>
    </row>
    <row r="788" spans="1:20" x14ac:dyDescent="0.3">
      <c r="A788" t="s">
        <v>1613</v>
      </c>
      <c r="B788" s="2">
        <v>3.52</v>
      </c>
      <c r="C788" t="s">
        <v>1614</v>
      </c>
      <c r="D788" t="s">
        <v>1615</v>
      </c>
      <c r="E788" t="s">
        <v>76</v>
      </c>
      <c r="F788" s="1">
        <v>45397</v>
      </c>
      <c r="G788" t="s">
        <v>2262</v>
      </c>
      <c r="H788">
        <v>4</v>
      </c>
      <c r="I788">
        <f>_xll.ciqfunctions.udf.CIQ(A788, "IQ_MARKETCAP", F788)</f>
        <v>979.93600000000004</v>
      </c>
      <c r="J788">
        <f>_xll.ciqfunctions.udf.CIQ(A788, "IQ_PRICE_VOL_HIST_6MTH", F788)</f>
        <v>70.400199999999998</v>
      </c>
      <c r="K788">
        <f>_xll.ciqfunctions.udf.CIQ(A788, "IQ_LASTSALEPRICE", WORKDAY(F788,-1))</f>
        <v>43.2</v>
      </c>
      <c r="L788">
        <f>_xll.ciqfunctions.udf.CIQ(A788, "IQ_LASTSALEPRICE", F788)</f>
        <v>43.2</v>
      </c>
      <c r="M788">
        <f>_xll.ciqfunctions.udf.CIQ(A788, "IQ_LASTSALEPRICE", WORKDAY(F788,5))</f>
        <v>45</v>
      </c>
      <c r="N788">
        <f t="shared" si="24"/>
        <v>0</v>
      </c>
      <c r="O788">
        <f t="shared" si="25"/>
        <v>4.0821994520254985E-2</v>
      </c>
      <c r="P788">
        <f>LN(_xll.ciqfunctions.udf.CIQ("XBI", "IQ_LASTSALEPRICE", WORKDAY(F788,-1))/_xll.ciqfunctions.udf.CIQ("XBI", "IQ_LASTSALEPRICE", WORKDAY(F788,1)))</f>
        <v>2.923781008948512E-2</v>
      </c>
      <c r="Q788">
        <f>LN(_xll.ciqfunctions.udf.CIQ("XBI", "IQ_LASTSALEPRICE", WORKDAY(F788,-1))/_xll.ciqfunctions.udf.CIQ("XBI", "IQ_LASTSALEPRICE", WORKDAY(F788,5)))</f>
        <v>5.1203738138703554E-2</v>
      </c>
      <c r="R788">
        <f>_xll.ciqfunctions.udf.CIQ(A788, "IQ_SHORT_INTEREST_PERCENT", F788)</f>
        <v>0</v>
      </c>
      <c r="S788">
        <f>_xll.ciqfunctions.udf.CIQ(A788, "IQ_BETA_1YR_RSQ", F788)</f>
        <v>0</v>
      </c>
      <c r="T788">
        <f>_xll.ciqfunctions.udf.CIQ(A788, "IQ_VALUE_TRADED", F788)</f>
        <v>0</v>
      </c>
    </row>
    <row r="789" spans="1:20" x14ac:dyDescent="0.3">
      <c r="A789" t="s">
        <v>2263</v>
      </c>
      <c r="B789" s="2">
        <v>0.78</v>
      </c>
      <c r="C789" t="s">
        <v>2264</v>
      </c>
      <c r="D789" t="s">
        <v>2265</v>
      </c>
      <c r="E789" t="s">
        <v>76</v>
      </c>
      <c r="F789" s="1">
        <v>45397</v>
      </c>
      <c r="G789" t="s">
        <v>2266</v>
      </c>
      <c r="H789">
        <v>39</v>
      </c>
      <c r="I789">
        <f>_xll.ciqfunctions.udf.CIQ(A789, "IQ_MARKETCAP", F789)</f>
        <v>51.446890000000003</v>
      </c>
      <c r="J789">
        <f>_xll.ciqfunctions.udf.CIQ(A789, "IQ_PRICE_VOL_HIST_6MTH", F789)</f>
        <v>0</v>
      </c>
      <c r="K789">
        <f>_xll.ciqfunctions.udf.CIQ(A789, "IQ_LASTSALEPRICE", WORKDAY(F789,-1))</f>
        <v>0</v>
      </c>
      <c r="L789">
        <f>_xll.ciqfunctions.udf.CIQ(A789, "IQ_LASTSALEPRICE", F789)</f>
        <v>0</v>
      </c>
      <c r="M789">
        <f>_xll.ciqfunctions.udf.CIQ(A789, "IQ_LASTSALEPRICE", WORKDAY(F789,5))</f>
        <v>0</v>
      </c>
      <c r="N789" t="e">
        <f t="shared" si="24"/>
        <v>#DIV/0!</v>
      </c>
      <c r="O789" t="e">
        <f t="shared" si="25"/>
        <v>#DIV/0!</v>
      </c>
      <c r="P789">
        <f>LN(_xll.ciqfunctions.udf.CIQ("XBI", "IQ_LASTSALEPRICE", WORKDAY(F789,-1))/_xll.ciqfunctions.udf.CIQ("XBI", "IQ_LASTSALEPRICE", WORKDAY(F789,1)))</f>
        <v>2.923781008948512E-2</v>
      </c>
      <c r="Q789">
        <f>LN(_xll.ciqfunctions.udf.CIQ("XBI", "IQ_LASTSALEPRICE", WORKDAY(F789,-1))/_xll.ciqfunctions.udf.CIQ("XBI", "IQ_LASTSALEPRICE", WORKDAY(F789,5)))</f>
        <v>5.1203738138703554E-2</v>
      </c>
      <c r="R789">
        <f>_xll.ciqfunctions.udf.CIQ(A789, "IQ_SHORT_INTEREST_PERCENT", F789)</f>
        <v>0</v>
      </c>
      <c r="S789">
        <f>_xll.ciqfunctions.udf.CIQ(A789, "IQ_BETA_1YR_RSQ", F789)</f>
        <v>0</v>
      </c>
      <c r="T789">
        <f>_xll.ciqfunctions.udf.CIQ(A789, "IQ_VALUE_TRADED", F789)</f>
        <v>0</v>
      </c>
    </row>
    <row r="790" spans="1:20" x14ac:dyDescent="0.3">
      <c r="A790" t="s">
        <v>2267</v>
      </c>
      <c r="B790" s="2">
        <v>0.54</v>
      </c>
      <c r="C790" t="s">
        <v>2268</v>
      </c>
      <c r="D790" t="s">
        <v>2269</v>
      </c>
      <c r="E790" t="s">
        <v>17</v>
      </c>
      <c r="F790" s="1">
        <v>45397</v>
      </c>
      <c r="G790" t="s">
        <v>2270</v>
      </c>
      <c r="I790">
        <f>_xll.ciqfunctions.udf.CIQ(A790, "IQ_MARKETCAP", F790)</f>
        <v>3.1144799999999999</v>
      </c>
      <c r="J790">
        <f>_xll.ciqfunctions.udf.CIQ(A790, "IQ_PRICE_VOL_HIST_6MTH", F790)</f>
        <v>172.21129999999999</v>
      </c>
      <c r="K790">
        <f>_xll.ciqfunctions.udf.CIQ(A790, "IQ_LASTSALEPRICE", WORKDAY(F790,-1))</f>
        <v>574.08155999999997</v>
      </c>
      <c r="L790">
        <f>_xll.ciqfunctions.udf.CIQ(A790, "IQ_LASTSALEPRICE", F790)</f>
        <v>495.54151000000002</v>
      </c>
      <c r="M790">
        <f>_xll.ciqfunctions.udf.CIQ(A790, "IQ_LASTSALEPRICE", WORKDAY(F790,5))</f>
        <v>424.11626999999999</v>
      </c>
      <c r="N790">
        <f t="shared" si="24"/>
        <v>-0.14712035259109757</v>
      </c>
      <c r="O790">
        <f t="shared" si="25"/>
        <v>-0.30276383747981561</v>
      </c>
      <c r="P790">
        <f>LN(_xll.ciqfunctions.udf.CIQ("XBI", "IQ_LASTSALEPRICE", WORKDAY(F790,-1))/_xll.ciqfunctions.udf.CIQ("XBI", "IQ_LASTSALEPRICE", WORKDAY(F790,1)))</f>
        <v>2.923781008948512E-2</v>
      </c>
      <c r="Q790">
        <f>LN(_xll.ciqfunctions.udf.CIQ("XBI", "IQ_LASTSALEPRICE", WORKDAY(F790,-1))/_xll.ciqfunctions.udf.CIQ("XBI", "IQ_LASTSALEPRICE", WORKDAY(F790,5)))</f>
        <v>5.1203738138703554E-2</v>
      </c>
      <c r="R790">
        <f>_xll.ciqfunctions.udf.CIQ(A790, "IQ_SHORT_INTEREST_PERCENT", F790)</f>
        <v>0.68803000000000003</v>
      </c>
      <c r="S790">
        <f>_xll.ciqfunctions.udf.CIQ(A790, "IQ_BETA_1YR_RSQ", F790)</f>
        <v>5.2199999999999998E-3</v>
      </c>
      <c r="T790">
        <f>_xll.ciqfunctions.udf.CIQ(A790, "IQ_VALUE_TRADED", F790)</f>
        <v>1.9187399999999999</v>
      </c>
    </row>
    <row r="791" spans="1:20" x14ac:dyDescent="0.3">
      <c r="A791" t="s">
        <v>2271</v>
      </c>
      <c r="B791" s="2">
        <v>1.35</v>
      </c>
      <c r="C791" t="s">
        <v>2272</v>
      </c>
      <c r="D791" t="s">
        <v>2273</v>
      </c>
      <c r="E791" t="s">
        <v>76</v>
      </c>
      <c r="F791" s="1">
        <v>45397</v>
      </c>
      <c r="G791" t="s">
        <v>2274</v>
      </c>
      <c r="H791">
        <v>1</v>
      </c>
      <c r="I791">
        <f>_xll.ciqfunctions.udf.CIQ(A791, "IQ_MARKETCAP", F791)</f>
        <v>13.554040000000001</v>
      </c>
      <c r="J791">
        <f>_xll.ciqfunctions.udf.CIQ(A791, "IQ_PRICE_VOL_HIST_6MTH", F791)</f>
        <v>0</v>
      </c>
      <c r="K791">
        <f>_xll.ciqfunctions.udf.CIQ(A791, "IQ_LASTSALEPRICE", WORKDAY(F791,-1))</f>
        <v>0</v>
      </c>
      <c r="L791">
        <f>_xll.ciqfunctions.udf.CIQ(A791, "IQ_LASTSALEPRICE", F791)</f>
        <v>0</v>
      </c>
      <c r="M791">
        <f>_xll.ciqfunctions.udf.CIQ(A791, "IQ_LASTSALEPRICE", WORKDAY(F791,5))</f>
        <v>0</v>
      </c>
      <c r="N791" t="e">
        <f t="shared" si="24"/>
        <v>#DIV/0!</v>
      </c>
      <c r="O791" t="e">
        <f t="shared" si="25"/>
        <v>#DIV/0!</v>
      </c>
      <c r="P791">
        <f>LN(_xll.ciqfunctions.udf.CIQ("XBI", "IQ_LASTSALEPRICE", WORKDAY(F791,-1))/_xll.ciqfunctions.udf.CIQ("XBI", "IQ_LASTSALEPRICE", WORKDAY(F791,1)))</f>
        <v>2.923781008948512E-2</v>
      </c>
      <c r="Q791">
        <f>LN(_xll.ciqfunctions.udf.CIQ("XBI", "IQ_LASTSALEPRICE", WORKDAY(F791,-1))/_xll.ciqfunctions.udf.CIQ("XBI", "IQ_LASTSALEPRICE", WORKDAY(F791,5)))</f>
        <v>5.1203738138703554E-2</v>
      </c>
      <c r="R791">
        <f>_xll.ciqfunctions.udf.CIQ(A791, "IQ_SHORT_INTEREST_PERCENT", F791)</f>
        <v>0</v>
      </c>
      <c r="S791">
        <f>_xll.ciqfunctions.udf.CIQ(A791, "IQ_BETA_1YR_RSQ", F791)</f>
        <v>0</v>
      </c>
      <c r="T791">
        <f>_xll.ciqfunctions.udf.CIQ(A791, "IQ_VALUE_TRADED", F791)</f>
        <v>0</v>
      </c>
    </row>
    <row r="792" spans="1:20" x14ac:dyDescent="0.3">
      <c r="A792" t="s">
        <v>1864</v>
      </c>
      <c r="B792" s="2">
        <v>23.15</v>
      </c>
      <c r="C792" t="s">
        <v>2275</v>
      </c>
      <c r="D792" t="s">
        <v>758</v>
      </c>
      <c r="E792" t="s">
        <v>76</v>
      </c>
      <c r="F792" s="1">
        <v>45397</v>
      </c>
      <c r="G792" t="s">
        <v>2276</v>
      </c>
      <c r="H792">
        <v>105</v>
      </c>
      <c r="I792">
        <f>_xll.ciqfunctions.udf.CIQ(A792, "IQ_MARKETCAP", F792)</f>
        <v>2403.8303900000001</v>
      </c>
      <c r="J792">
        <f>_xll.ciqfunctions.udf.CIQ(A792, "IQ_PRICE_VOL_HIST_6MTH", F792)</f>
        <v>63.550699999999999</v>
      </c>
      <c r="K792">
        <f>_xll.ciqfunctions.udf.CIQ(A792, "IQ_LASTSALEPRICE", WORKDAY(F792,-1))</f>
        <v>23.51</v>
      </c>
      <c r="L792">
        <f>_xll.ciqfunctions.udf.CIQ(A792, "IQ_LASTSALEPRICE", F792)</f>
        <v>23.15</v>
      </c>
      <c r="M792">
        <f>_xll.ciqfunctions.udf.CIQ(A792, "IQ_LASTSALEPRICE", WORKDAY(F792,5))</f>
        <v>22.3</v>
      </c>
      <c r="N792">
        <f t="shared" si="24"/>
        <v>-1.5431082019735178E-2</v>
      </c>
      <c r="O792">
        <f t="shared" si="25"/>
        <v>-5.2839184085905148E-2</v>
      </c>
      <c r="P792">
        <f>LN(_xll.ciqfunctions.udf.CIQ("XBI", "IQ_LASTSALEPRICE", WORKDAY(F792,-1))/_xll.ciqfunctions.udf.CIQ("XBI", "IQ_LASTSALEPRICE", WORKDAY(F792,1)))</f>
        <v>2.923781008948512E-2</v>
      </c>
      <c r="Q792">
        <f>LN(_xll.ciqfunctions.udf.CIQ("XBI", "IQ_LASTSALEPRICE", WORKDAY(F792,-1))/_xll.ciqfunctions.udf.CIQ("XBI", "IQ_LASTSALEPRICE", WORKDAY(F792,5)))</f>
        <v>5.1203738138703554E-2</v>
      </c>
      <c r="R792">
        <f>_xll.ciqfunctions.udf.CIQ(A792, "IQ_SHORT_INTEREST_PERCENT", F792)</f>
        <v>20.54224</v>
      </c>
      <c r="S792">
        <f>_xll.ciqfunctions.udf.CIQ(A792, "IQ_BETA_1YR_RSQ", F792)</f>
        <v>1.7069999999999998E-2</v>
      </c>
      <c r="T792">
        <f>_xll.ciqfunctions.udf.CIQ(A792, "IQ_VALUE_TRADED", F792)</f>
        <v>16.770389999999999</v>
      </c>
    </row>
    <row r="793" spans="1:20" x14ac:dyDescent="0.3">
      <c r="A793" t="s">
        <v>2009</v>
      </c>
      <c r="B793" s="2">
        <v>16.48</v>
      </c>
      <c r="C793" t="s">
        <v>2277</v>
      </c>
      <c r="D793" t="s">
        <v>2278</v>
      </c>
      <c r="E793" t="s">
        <v>46</v>
      </c>
      <c r="F793" s="1">
        <v>45397</v>
      </c>
      <c r="G793" t="s">
        <v>2279</v>
      </c>
      <c r="H793">
        <v>105</v>
      </c>
      <c r="I793">
        <f>_xll.ciqfunctions.udf.CIQ(A793, "IQ_MARKETCAP", F793)</f>
        <v>1539.40464</v>
      </c>
      <c r="J793">
        <f>_xll.ciqfunctions.udf.CIQ(A793, "IQ_PRICE_VOL_HIST_6MTH", F793)</f>
        <v>92.457099999999997</v>
      </c>
      <c r="K793">
        <f>_xll.ciqfunctions.udf.CIQ(A793, "IQ_LASTSALEPRICE", WORKDAY(F793,-1))</f>
        <v>16.37</v>
      </c>
      <c r="L793">
        <f>_xll.ciqfunctions.udf.CIQ(A793, "IQ_LASTSALEPRICE", F793)</f>
        <v>16.48</v>
      </c>
      <c r="M793">
        <f>_xll.ciqfunctions.udf.CIQ(A793, "IQ_LASTSALEPRICE", WORKDAY(F793,5))</f>
        <v>15.08</v>
      </c>
      <c r="N793">
        <f t="shared" si="24"/>
        <v>6.6971330982820753E-3</v>
      </c>
      <c r="O793">
        <f t="shared" si="25"/>
        <v>-8.2081028803233591E-2</v>
      </c>
      <c r="P793">
        <f>LN(_xll.ciqfunctions.udf.CIQ("XBI", "IQ_LASTSALEPRICE", WORKDAY(F793,-1))/_xll.ciqfunctions.udf.CIQ("XBI", "IQ_LASTSALEPRICE", WORKDAY(F793,1)))</f>
        <v>2.923781008948512E-2</v>
      </c>
      <c r="Q793">
        <f>LN(_xll.ciqfunctions.udf.CIQ("XBI", "IQ_LASTSALEPRICE", WORKDAY(F793,-1))/_xll.ciqfunctions.udf.CIQ("XBI", "IQ_LASTSALEPRICE", WORKDAY(F793,5)))</f>
        <v>5.1203738138703554E-2</v>
      </c>
      <c r="R793">
        <f>_xll.ciqfunctions.udf.CIQ(A793, "IQ_SHORT_INTEREST_PERCENT", F793)</f>
        <v>6.1280900000000003</v>
      </c>
      <c r="S793">
        <f>_xll.ciqfunctions.udf.CIQ(A793, "IQ_BETA_1YR_RSQ", F793)</f>
        <v>2.4279999999999999E-2</v>
      </c>
      <c r="T793">
        <f>_xll.ciqfunctions.udf.CIQ(A793, "IQ_VALUE_TRADED", F793)</f>
        <v>6.6502400000000002</v>
      </c>
    </row>
    <row r="794" spans="1:20" x14ac:dyDescent="0.3">
      <c r="A794" t="s">
        <v>255</v>
      </c>
      <c r="B794" s="2">
        <v>9.5399999999999991</v>
      </c>
      <c r="C794" t="s">
        <v>2280</v>
      </c>
      <c r="D794" t="s">
        <v>2281</v>
      </c>
      <c r="E794" t="s">
        <v>46</v>
      </c>
      <c r="F794" s="1">
        <v>45397</v>
      </c>
      <c r="G794" t="s">
        <v>2282</v>
      </c>
      <c r="H794">
        <v>97</v>
      </c>
      <c r="I794">
        <f>_xll.ciqfunctions.udf.CIQ(A794, "IQ_MARKETCAP", F794)</f>
        <v>642.76558</v>
      </c>
      <c r="J794">
        <f>_xll.ciqfunctions.udf.CIQ(A794, "IQ_PRICE_VOL_HIST_6MTH", F794)</f>
        <v>69.851600000000005</v>
      </c>
      <c r="K794">
        <f>_xll.ciqfunctions.udf.CIQ(A794, "IQ_LASTSALEPRICE", WORKDAY(F794,-1))</f>
        <v>9.8000000000000007</v>
      </c>
      <c r="L794">
        <f>_xll.ciqfunctions.udf.CIQ(A794, "IQ_LASTSALEPRICE", F794)</f>
        <v>9.5399999999999991</v>
      </c>
      <c r="M794">
        <f>_xll.ciqfunctions.udf.CIQ(A794, "IQ_LASTSALEPRICE", WORKDAY(F794,5))</f>
        <v>8.7200000000000006</v>
      </c>
      <c r="N794">
        <f t="shared" si="24"/>
        <v>-2.688890021633129E-2</v>
      </c>
      <c r="O794">
        <f t="shared" si="25"/>
        <v>-0.11676314775563797</v>
      </c>
      <c r="P794">
        <f>LN(_xll.ciqfunctions.udf.CIQ("XBI", "IQ_LASTSALEPRICE", WORKDAY(F794,-1))/_xll.ciqfunctions.udf.CIQ("XBI", "IQ_LASTSALEPRICE", WORKDAY(F794,1)))</f>
        <v>2.923781008948512E-2</v>
      </c>
      <c r="Q794">
        <f>LN(_xll.ciqfunctions.udf.CIQ("XBI", "IQ_LASTSALEPRICE", WORKDAY(F794,-1))/_xll.ciqfunctions.udf.CIQ("XBI", "IQ_LASTSALEPRICE", WORKDAY(F794,5)))</f>
        <v>5.1203738138703554E-2</v>
      </c>
      <c r="R794">
        <f>_xll.ciqfunctions.udf.CIQ(A794, "IQ_SHORT_INTEREST_PERCENT", F794)</f>
        <v>12.07832</v>
      </c>
      <c r="S794">
        <f>_xll.ciqfunctions.udf.CIQ(A794, "IQ_BETA_1YR_RSQ", F794)</f>
        <v>0.13655</v>
      </c>
      <c r="T794">
        <f>_xll.ciqfunctions.udf.CIQ(A794, "IQ_VALUE_TRADED", F794)</f>
        <v>3.1693099999999998</v>
      </c>
    </row>
    <row r="795" spans="1:20" x14ac:dyDescent="0.3">
      <c r="A795" t="s">
        <v>1337</v>
      </c>
      <c r="B795" s="2">
        <v>8.84</v>
      </c>
      <c r="C795" t="s">
        <v>1338</v>
      </c>
      <c r="D795" t="s">
        <v>1339</v>
      </c>
      <c r="E795" t="s">
        <v>89</v>
      </c>
      <c r="F795" s="1">
        <v>45397</v>
      </c>
      <c r="G795" t="s">
        <v>2283</v>
      </c>
      <c r="H795">
        <v>32</v>
      </c>
      <c r="I795">
        <f>_xll.ciqfunctions.udf.CIQ(A795, "IQ_MARKETCAP", F795)</f>
        <v>261.75076000000001</v>
      </c>
      <c r="J795">
        <f>_xll.ciqfunctions.udf.CIQ(A795, "IQ_PRICE_VOL_HIST_6MTH", F795)</f>
        <v>0</v>
      </c>
      <c r="K795">
        <f>_xll.ciqfunctions.udf.CIQ(A795, "IQ_LASTSALEPRICE", WORKDAY(F795,-1))</f>
        <v>9</v>
      </c>
      <c r="L795">
        <f>_xll.ciqfunctions.udf.CIQ(A795, "IQ_LASTSALEPRICE", F795)</f>
        <v>8.84</v>
      </c>
      <c r="M795">
        <f>_xll.ciqfunctions.udf.CIQ(A795, "IQ_LASTSALEPRICE", WORKDAY(F795,5))</f>
        <v>5.6050000000000004</v>
      </c>
      <c r="N795">
        <f t="shared" si="24"/>
        <v>-1.7937700686667318E-2</v>
      </c>
      <c r="O795">
        <f t="shared" si="25"/>
        <v>-0.47356552081209602</v>
      </c>
      <c r="P795">
        <f>LN(_xll.ciqfunctions.udf.CIQ("XBI", "IQ_LASTSALEPRICE", WORKDAY(F795,-1))/_xll.ciqfunctions.udf.CIQ("XBI", "IQ_LASTSALEPRICE", WORKDAY(F795,1)))</f>
        <v>2.923781008948512E-2</v>
      </c>
      <c r="Q795">
        <f>LN(_xll.ciqfunctions.udf.CIQ("XBI", "IQ_LASTSALEPRICE", WORKDAY(F795,-1))/_xll.ciqfunctions.udf.CIQ("XBI", "IQ_LASTSALEPRICE", WORKDAY(F795,5)))</f>
        <v>5.1203738138703554E-2</v>
      </c>
      <c r="R795">
        <f>_xll.ciqfunctions.udf.CIQ(A795, "IQ_SHORT_INTEREST_PERCENT", F795)</f>
        <v>5.305E-2</v>
      </c>
      <c r="S795">
        <f>_xll.ciqfunctions.udf.CIQ(A795, "IQ_BETA_1YR_RSQ", F795)</f>
        <v>9.5320000000000002E-2</v>
      </c>
      <c r="T795">
        <f>_xll.ciqfunctions.udf.CIQ(A795, "IQ_VALUE_TRADED", F795)</f>
        <v>0.51290000000000002</v>
      </c>
    </row>
    <row r="796" spans="1:20" x14ac:dyDescent="0.3">
      <c r="A796" t="s">
        <v>14</v>
      </c>
      <c r="B796" s="2">
        <v>18.25</v>
      </c>
      <c r="C796" t="s">
        <v>15</v>
      </c>
      <c r="D796" t="s">
        <v>16</v>
      </c>
      <c r="E796" t="s">
        <v>17</v>
      </c>
      <c r="F796" s="1">
        <v>45397</v>
      </c>
      <c r="G796" t="s">
        <v>2284</v>
      </c>
      <c r="H796">
        <v>39</v>
      </c>
      <c r="I796" t="str">
        <f>_xll.ciqfunctions.udf.CIQ(A796, "IQ_MARKETCAP", F796)</f>
        <v>(Invalid Identifier)</v>
      </c>
      <c r="J796" t="str">
        <f>_xll.ciqfunctions.udf.CIQ(A796, "IQ_PRICE_VOL_HIST_6MTH", F796)</f>
        <v>(Invalid Identifier)</v>
      </c>
      <c r="K796" t="str">
        <f>_xll.ciqfunctions.udf.CIQ(A796, "IQ_LASTSALEPRICE", WORKDAY(F796,-1))</f>
        <v>(Invalid Identifier)</v>
      </c>
      <c r="L796" t="str">
        <f>_xll.ciqfunctions.udf.CIQ(A796, "IQ_LASTSALEPRICE", F796)</f>
        <v>(Invalid Identifier)</v>
      </c>
      <c r="M796" t="str">
        <f>_xll.ciqfunctions.udf.CIQ(A796, "IQ_LASTSALEPRICE", WORKDAY(F796,5))</f>
        <v>(Invalid Identifier)</v>
      </c>
      <c r="N796" t="e">
        <f t="shared" si="24"/>
        <v>#VALUE!</v>
      </c>
      <c r="O796" t="e">
        <f t="shared" si="25"/>
        <v>#VALUE!</v>
      </c>
      <c r="P796">
        <f>LN(_xll.ciqfunctions.udf.CIQ("XBI", "IQ_LASTSALEPRICE", WORKDAY(F796,-1))/_xll.ciqfunctions.udf.CIQ("XBI", "IQ_LASTSALEPRICE", WORKDAY(F796,1)))</f>
        <v>2.923781008948512E-2</v>
      </c>
      <c r="Q796">
        <f>LN(_xll.ciqfunctions.udf.CIQ("XBI", "IQ_LASTSALEPRICE", WORKDAY(F796,-1))/_xll.ciqfunctions.udf.CIQ("XBI", "IQ_LASTSALEPRICE", WORKDAY(F796,5)))</f>
        <v>5.1203738138703554E-2</v>
      </c>
      <c r="R796" t="str">
        <f>_xll.ciqfunctions.udf.CIQ(A796, "IQ_SHORT_INTEREST_PERCENT", F796)</f>
        <v>(Invalid Identifier)</v>
      </c>
      <c r="S796" t="str">
        <f>_xll.ciqfunctions.udf.CIQ(A796, "IQ_BETA_1YR_RSQ", F796)</f>
        <v>(Invalid Identifier)</v>
      </c>
      <c r="T796" t="str">
        <f>_xll.ciqfunctions.udf.CIQ(A796, "IQ_VALUE_TRADED", F796)</f>
        <v>(Invalid Identifier)</v>
      </c>
    </row>
    <row r="797" spans="1:20" x14ac:dyDescent="0.3">
      <c r="A797" t="s">
        <v>42</v>
      </c>
      <c r="B797" s="2">
        <v>94.41</v>
      </c>
      <c r="C797" t="s">
        <v>2285</v>
      </c>
      <c r="D797" t="s">
        <v>1414</v>
      </c>
      <c r="E797" t="s">
        <v>36</v>
      </c>
      <c r="F797" s="1">
        <v>45397</v>
      </c>
      <c r="G797" t="s">
        <v>2286</v>
      </c>
      <c r="I797">
        <f>_xll.ciqfunctions.udf.CIQ(A797, "IQ_MARKETCAP", F797)</f>
        <v>1334.20722</v>
      </c>
      <c r="J797">
        <f>_xll.ciqfunctions.udf.CIQ(A797, "IQ_PRICE_VOL_HIST_6MTH", F797)</f>
        <v>51.704799999999999</v>
      </c>
      <c r="K797">
        <f>_xll.ciqfunctions.udf.CIQ(A797, "IQ_LASTSALEPRICE", WORKDAY(F797,-1))</f>
        <v>4.3</v>
      </c>
      <c r="L797">
        <f>_xll.ciqfunctions.udf.CIQ(A797, "IQ_LASTSALEPRICE", F797)</f>
        <v>4.3</v>
      </c>
      <c r="M797">
        <f>_xll.ciqfunctions.udf.CIQ(A797, "IQ_LASTSALEPRICE", WORKDAY(F797,5))</f>
        <v>4.88</v>
      </c>
      <c r="N797">
        <f t="shared" si="24"/>
        <v>0</v>
      </c>
      <c r="O797">
        <f t="shared" si="25"/>
        <v>0.12653019716553901</v>
      </c>
      <c r="P797">
        <f>LN(_xll.ciqfunctions.udf.CIQ("XBI", "IQ_LASTSALEPRICE", WORKDAY(F797,-1))/_xll.ciqfunctions.udf.CIQ("XBI", "IQ_LASTSALEPRICE", WORKDAY(F797,1)))</f>
        <v>2.923781008948512E-2</v>
      </c>
      <c r="Q797">
        <f>LN(_xll.ciqfunctions.udf.CIQ("XBI", "IQ_LASTSALEPRICE", WORKDAY(F797,-1))/_xll.ciqfunctions.udf.CIQ("XBI", "IQ_LASTSALEPRICE", WORKDAY(F797,5)))</f>
        <v>5.1203738138703554E-2</v>
      </c>
      <c r="R797">
        <f>_xll.ciqfunctions.udf.CIQ(A797, "IQ_SHORT_INTEREST_PERCENT", F797)</f>
        <v>0</v>
      </c>
      <c r="S797">
        <f>_xll.ciqfunctions.udf.CIQ(A797, "IQ_BETA_1YR_RSQ", F797)</f>
        <v>1.0399999999999999E-3</v>
      </c>
      <c r="T797">
        <f>_xll.ciqfunctions.udf.CIQ(A797, "IQ_VALUE_TRADED", F797)</f>
        <v>0.20960999999999999</v>
      </c>
    </row>
    <row r="798" spans="1:20" x14ac:dyDescent="0.3">
      <c r="A798" t="s">
        <v>348</v>
      </c>
      <c r="B798" s="2">
        <v>38.380000000000003</v>
      </c>
      <c r="C798" t="s">
        <v>2287</v>
      </c>
      <c r="D798" t="s">
        <v>2288</v>
      </c>
      <c r="E798" t="s">
        <v>36</v>
      </c>
      <c r="F798" s="1">
        <v>45398</v>
      </c>
      <c r="G798" t="s">
        <v>2289</v>
      </c>
      <c r="H798">
        <v>116</v>
      </c>
      <c r="I798">
        <f>_xll.ciqfunctions.udf.CIQ(A798, "IQ_MARKETCAP", F798)</f>
        <v>4876.3486400000002</v>
      </c>
      <c r="J798">
        <f>_xll.ciqfunctions.udf.CIQ(A798, "IQ_PRICE_VOL_HIST_6MTH", F798)</f>
        <v>38.589300000000001</v>
      </c>
      <c r="K798">
        <f>_xll.ciqfunctions.udf.CIQ(A798, "IQ_LASTSALEPRICE", WORKDAY(F798,-1))</f>
        <v>38.72</v>
      </c>
      <c r="L798">
        <f>_xll.ciqfunctions.udf.CIQ(A798, "IQ_LASTSALEPRICE", F798)</f>
        <v>38.380000000000003</v>
      </c>
      <c r="M798">
        <f>_xll.ciqfunctions.udf.CIQ(A798, "IQ_LASTSALEPRICE", WORKDAY(F798,5))</f>
        <v>38.97</v>
      </c>
      <c r="N798">
        <f t="shared" si="24"/>
        <v>-8.8197718288223707E-3</v>
      </c>
      <c r="O798">
        <f t="shared" si="25"/>
        <v>6.4358569422416764E-3</v>
      </c>
      <c r="P798">
        <f>LN(_xll.ciqfunctions.udf.CIQ("XBI", "IQ_LASTSALEPRICE", WORKDAY(F798,-1))/_xll.ciqfunctions.udf.CIQ("XBI", "IQ_LASTSALEPRICE", WORKDAY(F798,1)))</f>
        <v>1.988369601354318E-2</v>
      </c>
      <c r="Q798">
        <f>LN(_xll.ciqfunctions.udf.CIQ("XBI", "IQ_LASTSALEPRICE", WORKDAY(F798,-1))/_xll.ciqfunctions.udf.CIQ("XBI", "IQ_LASTSALEPRICE", WORKDAY(F798,5)))</f>
        <v>1.9411273659179898E-2</v>
      </c>
      <c r="R798">
        <f>_xll.ciqfunctions.udf.CIQ(A798, "IQ_SHORT_INTEREST_PERCENT", F798)</f>
        <v>6.2067699999999997</v>
      </c>
      <c r="S798">
        <f>_xll.ciqfunctions.udf.CIQ(A798, "IQ_BETA_1YR_RSQ", F798)</f>
        <v>0.21406</v>
      </c>
      <c r="T798">
        <f>_xll.ciqfunctions.udf.CIQ(A798, "IQ_VALUE_TRADED", F798)</f>
        <v>24.651240000000001</v>
      </c>
    </row>
    <row r="799" spans="1:20" x14ac:dyDescent="0.3">
      <c r="A799" t="s">
        <v>173</v>
      </c>
      <c r="B799" s="2">
        <v>370.68</v>
      </c>
      <c r="C799" t="s">
        <v>2287</v>
      </c>
      <c r="D799" t="s">
        <v>2288</v>
      </c>
      <c r="E799" t="s">
        <v>36</v>
      </c>
      <c r="F799" s="1">
        <v>45398</v>
      </c>
      <c r="G799" t="s">
        <v>2289</v>
      </c>
      <c r="H799">
        <v>60</v>
      </c>
      <c r="I799">
        <f>_xll.ciqfunctions.udf.CIQ(A799, "IQ_MARKETCAP", F799)</f>
        <v>20749.657780000001</v>
      </c>
      <c r="J799">
        <f>_xll.ciqfunctions.udf.CIQ(A799, "IQ_PRICE_VOL_HIST_6MTH", F799)</f>
        <v>57.74</v>
      </c>
      <c r="K799">
        <f>_xll.ciqfunctions.udf.CIQ(A799, "IQ_LASTSALEPRICE", WORKDAY(F799,-1))</f>
        <v>358</v>
      </c>
      <c r="L799">
        <f>_xll.ciqfunctions.udf.CIQ(A799, "IQ_LASTSALEPRICE", F799)</f>
        <v>349.4</v>
      </c>
      <c r="M799">
        <f>_xll.ciqfunctions.udf.CIQ(A799, "IQ_LASTSALEPRICE", WORKDAY(F799,5))</f>
        <v>349.2</v>
      </c>
      <c r="N799">
        <f t="shared" si="24"/>
        <v>-2.4315588700744174E-2</v>
      </c>
      <c r="O799">
        <f t="shared" si="25"/>
        <v>-2.4888162435253252E-2</v>
      </c>
      <c r="P799">
        <f>LN(_xll.ciqfunctions.udf.CIQ("XBI", "IQ_LASTSALEPRICE", WORKDAY(F799,-1))/_xll.ciqfunctions.udf.CIQ("XBI", "IQ_LASTSALEPRICE", WORKDAY(F799,1)))</f>
        <v>1.988369601354318E-2</v>
      </c>
      <c r="Q799">
        <f>LN(_xll.ciqfunctions.udf.CIQ("XBI", "IQ_LASTSALEPRICE", WORKDAY(F799,-1))/_xll.ciqfunctions.udf.CIQ("XBI", "IQ_LASTSALEPRICE", WORKDAY(F799,5)))</f>
        <v>1.9411273659179898E-2</v>
      </c>
      <c r="R799">
        <f>_xll.ciqfunctions.udf.CIQ(A799, "IQ_SHORT_INTEREST_PERCENT", F799)</f>
        <v>0</v>
      </c>
      <c r="S799">
        <f>_xll.ciqfunctions.udf.CIQ(A799, "IQ_BETA_1YR_RSQ", F799)</f>
        <v>1.4E-3</v>
      </c>
      <c r="T799">
        <f>_xll.ciqfunctions.udf.CIQ(A799, "IQ_VALUE_TRADED", F799)</f>
        <v>23.5562</v>
      </c>
    </row>
    <row r="800" spans="1:20" x14ac:dyDescent="0.3">
      <c r="A800" t="s">
        <v>429</v>
      </c>
      <c r="B800" s="2">
        <v>14.42</v>
      </c>
      <c r="C800" t="s">
        <v>2287</v>
      </c>
      <c r="D800" t="s">
        <v>2288</v>
      </c>
      <c r="E800" t="s">
        <v>36</v>
      </c>
      <c r="F800" s="1">
        <v>45398</v>
      </c>
      <c r="G800" t="s">
        <v>2289</v>
      </c>
      <c r="H800">
        <v>109</v>
      </c>
      <c r="I800">
        <f>_xll.ciqfunctions.udf.CIQ(A800, "IQ_MARKETCAP", F800)</f>
        <v>1423.50668</v>
      </c>
      <c r="J800">
        <f>_xll.ciqfunctions.udf.CIQ(A800, "IQ_PRICE_VOL_HIST_6MTH", F800)</f>
        <v>57.977200000000003</v>
      </c>
      <c r="K800">
        <f>_xll.ciqfunctions.udf.CIQ(A800, "IQ_LASTSALEPRICE", WORKDAY(F800,-1))</f>
        <v>14.2</v>
      </c>
      <c r="L800">
        <f>_xll.ciqfunctions.udf.CIQ(A800, "IQ_LASTSALEPRICE", F800)</f>
        <v>14.42</v>
      </c>
      <c r="M800">
        <f>_xll.ciqfunctions.udf.CIQ(A800, "IQ_LASTSALEPRICE", WORKDAY(F800,5))</f>
        <v>15.12</v>
      </c>
      <c r="N800">
        <f t="shared" si="24"/>
        <v>1.537416724958795E-2</v>
      </c>
      <c r="O800">
        <f t="shared" si="25"/>
        <v>6.2776406144171806E-2</v>
      </c>
      <c r="P800">
        <f>LN(_xll.ciqfunctions.udf.CIQ("XBI", "IQ_LASTSALEPRICE", WORKDAY(F800,-1))/_xll.ciqfunctions.udf.CIQ("XBI", "IQ_LASTSALEPRICE", WORKDAY(F800,1)))</f>
        <v>1.988369601354318E-2</v>
      </c>
      <c r="Q800">
        <f>LN(_xll.ciqfunctions.udf.CIQ("XBI", "IQ_LASTSALEPRICE", WORKDAY(F800,-1))/_xll.ciqfunctions.udf.CIQ("XBI", "IQ_LASTSALEPRICE", WORKDAY(F800,5)))</f>
        <v>1.9411273659179898E-2</v>
      </c>
      <c r="R800">
        <f>_xll.ciqfunctions.udf.CIQ(A800, "IQ_SHORT_INTEREST_PERCENT", F800)</f>
        <v>3.9176099999999998</v>
      </c>
      <c r="S800">
        <f>_xll.ciqfunctions.udf.CIQ(A800, "IQ_BETA_1YR_RSQ", F800)</f>
        <v>0.10967</v>
      </c>
      <c r="T800">
        <f>_xll.ciqfunctions.udf.CIQ(A800, "IQ_VALUE_TRADED", F800)</f>
        <v>5.7821600000000002</v>
      </c>
    </row>
    <row r="801" spans="1:20" x14ac:dyDescent="0.3">
      <c r="A801" t="s">
        <v>989</v>
      </c>
      <c r="B801" t="s">
        <v>43</v>
      </c>
      <c r="C801" t="s">
        <v>2290</v>
      </c>
      <c r="D801" t="s">
        <v>1564</v>
      </c>
      <c r="E801" t="s">
        <v>36</v>
      </c>
      <c r="F801" s="1">
        <v>45398</v>
      </c>
      <c r="G801" t="s">
        <v>2291</v>
      </c>
      <c r="I801">
        <f>_xll.ciqfunctions.udf.CIQ(A801, "IQ_MARKETCAP", F801)</f>
        <v>348093.16214999999</v>
      </c>
      <c r="J801">
        <f>_xll.ciqfunctions.udf.CIQ(A801, "IQ_PRICE_VOL_HIST_6MTH", F801)</f>
        <v>13.8239</v>
      </c>
      <c r="K801">
        <f>_xll.ciqfunctions.udf.CIQ(A801, "IQ_LASTSALEPRICE", WORKDAY(F801,-1))</f>
        <v>147.59</v>
      </c>
      <c r="L801">
        <f>_xll.ciqfunctions.udf.CIQ(A801, "IQ_LASTSALEPRICE", F801)</f>
        <v>144.44999999999999</v>
      </c>
      <c r="M801">
        <f>_xll.ciqfunctions.udf.CIQ(A801, "IQ_LASTSALEPRICE", WORKDAY(F801,5))</f>
        <v>149.56</v>
      </c>
      <c r="N801">
        <f t="shared" si="24"/>
        <v>-2.1504732281440415E-2</v>
      </c>
      <c r="O801">
        <f t="shared" si="25"/>
        <v>1.3259490915228342E-2</v>
      </c>
      <c r="P801">
        <f>LN(_xll.ciqfunctions.udf.CIQ("XBI", "IQ_LASTSALEPRICE", WORKDAY(F801,-1))/_xll.ciqfunctions.udf.CIQ("XBI", "IQ_LASTSALEPRICE", WORKDAY(F801,1)))</f>
        <v>1.988369601354318E-2</v>
      </c>
      <c r="Q801">
        <f>LN(_xll.ciqfunctions.udf.CIQ("XBI", "IQ_LASTSALEPRICE", WORKDAY(F801,-1))/_xll.ciqfunctions.udf.CIQ("XBI", "IQ_LASTSALEPRICE", WORKDAY(F801,5)))</f>
        <v>1.9411273659179898E-2</v>
      </c>
      <c r="R801">
        <f>_xll.ciqfunctions.udf.CIQ(A801, "IQ_SHORT_INTEREST_PERCENT", F801)</f>
        <v>0.66159999999999997</v>
      </c>
      <c r="S801">
        <f>_xll.ciqfunctions.udf.CIQ(A801, "IQ_BETA_1YR_RSQ", F801)</f>
        <v>0.15359</v>
      </c>
      <c r="T801">
        <f>_xll.ciqfunctions.udf.CIQ(A801, "IQ_VALUE_TRADED", F801)</f>
        <v>1845.3283799999999</v>
      </c>
    </row>
    <row r="802" spans="1:20" x14ac:dyDescent="0.3">
      <c r="A802" t="s">
        <v>1459</v>
      </c>
      <c r="B802" s="2">
        <v>25.48</v>
      </c>
      <c r="C802" t="s">
        <v>2292</v>
      </c>
      <c r="D802" t="s">
        <v>2293</v>
      </c>
      <c r="E802" t="s">
        <v>76</v>
      </c>
      <c r="F802" s="1">
        <v>45398</v>
      </c>
      <c r="G802" t="s">
        <v>2294</v>
      </c>
      <c r="H802">
        <v>24</v>
      </c>
      <c r="I802">
        <f>_xll.ciqfunctions.udf.CIQ(A802, "IQ_MARKETCAP", F802)</f>
        <v>568.79016000000001</v>
      </c>
      <c r="J802">
        <f>_xll.ciqfunctions.udf.CIQ(A802, "IQ_PRICE_VOL_HIST_6MTH", F802)</f>
        <v>49.496000000000002</v>
      </c>
      <c r="K802">
        <f>_xll.ciqfunctions.udf.CIQ(A802, "IQ_LASTSALEPRICE", WORKDAY(F802,-1))</f>
        <v>2.1349999999999998</v>
      </c>
      <c r="L802">
        <f>_xll.ciqfunctions.udf.CIQ(A802, "IQ_LASTSALEPRICE", F802)</f>
        <v>2.105</v>
      </c>
      <c r="M802">
        <f>_xll.ciqfunctions.udf.CIQ(A802, "IQ_LASTSALEPRICE", WORKDAY(F802,5))</f>
        <v>2.13</v>
      </c>
      <c r="N802">
        <f t="shared" si="24"/>
        <v>-1.415117954624304E-2</v>
      </c>
      <c r="O802">
        <f t="shared" si="25"/>
        <v>-2.3446669592541345E-3</v>
      </c>
      <c r="P802">
        <f>LN(_xll.ciqfunctions.udf.CIQ("XBI", "IQ_LASTSALEPRICE", WORKDAY(F802,-1))/_xll.ciqfunctions.udf.CIQ("XBI", "IQ_LASTSALEPRICE", WORKDAY(F802,1)))</f>
        <v>1.988369601354318E-2</v>
      </c>
      <c r="Q802">
        <f>LN(_xll.ciqfunctions.udf.CIQ("XBI", "IQ_LASTSALEPRICE", WORKDAY(F802,-1))/_xll.ciqfunctions.udf.CIQ("XBI", "IQ_LASTSALEPRICE", WORKDAY(F802,5)))</f>
        <v>1.9411273659179898E-2</v>
      </c>
      <c r="R802">
        <f>_xll.ciqfunctions.udf.CIQ(A802, "IQ_SHORT_INTEREST_PERCENT", F802)</f>
        <v>0</v>
      </c>
      <c r="S802">
        <f>_xll.ciqfunctions.udf.CIQ(A802, "IQ_BETA_1YR_RSQ", F802)</f>
        <v>9.5479999999999995E-2</v>
      </c>
      <c r="T802">
        <f>_xll.ciqfunctions.udf.CIQ(A802, "IQ_VALUE_TRADED", F802)</f>
        <v>0.75434999999999997</v>
      </c>
    </row>
    <row r="803" spans="1:20" x14ac:dyDescent="0.3">
      <c r="A803" t="s">
        <v>1164</v>
      </c>
      <c r="B803" s="2">
        <v>17.32</v>
      </c>
      <c r="C803" t="s">
        <v>2295</v>
      </c>
      <c r="D803" t="s">
        <v>2296</v>
      </c>
      <c r="E803" t="s">
        <v>22</v>
      </c>
      <c r="F803" s="1">
        <v>45398</v>
      </c>
      <c r="G803" t="s">
        <v>2297</v>
      </c>
      <c r="H803">
        <v>59</v>
      </c>
      <c r="I803">
        <f>_xll.ciqfunctions.udf.CIQ(A803, "IQ_MARKETCAP", F803)</f>
        <v>745.89697000000001</v>
      </c>
      <c r="J803">
        <f>_xll.ciqfunctions.udf.CIQ(A803, "IQ_PRICE_VOL_HIST_6MTH", F803)</f>
        <v>59.6374</v>
      </c>
      <c r="K803">
        <f>_xll.ciqfunctions.udf.CIQ(A803, "IQ_LASTSALEPRICE", WORKDAY(F803,-1))</f>
        <v>16.55</v>
      </c>
      <c r="L803">
        <f>_xll.ciqfunctions.udf.CIQ(A803, "IQ_LASTSALEPRICE", F803)</f>
        <v>17.32</v>
      </c>
      <c r="M803">
        <f>_xll.ciqfunctions.udf.CIQ(A803, "IQ_LASTSALEPRICE", WORKDAY(F803,5))</f>
        <v>16.670000000000002</v>
      </c>
      <c r="N803">
        <f t="shared" si="24"/>
        <v>4.5475801311217263E-2</v>
      </c>
      <c r="O803">
        <f t="shared" si="25"/>
        <v>7.2245949396307994E-3</v>
      </c>
      <c r="P803">
        <f>LN(_xll.ciqfunctions.udf.CIQ("XBI", "IQ_LASTSALEPRICE", WORKDAY(F803,-1))/_xll.ciqfunctions.udf.CIQ("XBI", "IQ_LASTSALEPRICE", WORKDAY(F803,1)))</f>
        <v>1.988369601354318E-2</v>
      </c>
      <c r="Q803">
        <f>LN(_xll.ciqfunctions.udf.CIQ("XBI", "IQ_LASTSALEPRICE", WORKDAY(F803,-1))/_xll.ciqfunctions.udf.CIQ("XBI", "IQ_LASTSALEPRICE", WORKDAY(F803,5)))</f>
        <v>1.9411273659179898E-2</v>
      </c>
      <c r="R803">
        <f>_xll.ciqfunctions.udf.CIQ(A803, "IQ_SHORT_INTEREST_PERCENT", F803)</f>
        <v>3.33446</v>
      </c>
      <c r="S803">
        <f>_xll.ciqfunctions.udf.CIQ(A803, "IQ_BETA_1YR_RSQ", F803)</f>
        <v>9.6479999999999996E-2</v>
      </c>
      <c r="T803">
        <f>_xll.ciqfunctions.udf.CIQ(A803, "IQ_VALUE_TRADED", F803)</f>
        <v>58.098300000000002</v>
      </c>
    </row>
    <row r="804" spans="1:20" x14ac:dyDescent="0.3">
      <c r="A804" t="s">
        <v>567</v>
      </c>
      <c r="B804" s="2">
        <v>5.93</v>
      </c>
      <c r="C804" t="s">
        <v>568</v>
      </c>
      <c r="D804" t="s">
        <v>569</v>
      </c>
      <c r="E804" t="s">
        <v>89</v>
      </c>
      <c r="F804" s="1">
        <v>45398</v>
      </c>
      <c r="G804" t="s">
        <v>2298</v>
      </c>
      <c r="H804">
        <v>9</v>
      </c>
      <c r="I804">
        <f>_xll.ciqfunctions.udf.CIQ(A804, "IQ_MARKETCAP", F804)</f>
        <v>5.0488099999999996</v>
      </c>
      <c r="J804">
        <f>_xll.ciqfunctions.udf.CIQ(A804, "IQ_PRICE_VOL_HIST_6MTH", F804)</f>
        <v>138.6343</v>
      </c>
      <c r="K804">
        <f>_xll.ciqfunctions.udf.CIQ(A804, "IQ_LASTSALEPRICE", WORKDAY(F804,-1))</f>
        <v>4.16</v>
      </c>
      <c r="L804">
        <f>_xll.ciqfunctions.udf.CIQ(A804, "IQ_LASTSALEPRICE", F804)</f>
        <v>5.93</v>
      </c>
      <c r="M804">
        <f>_xll.ciqfunctions.udf.CIQ(A804, "IQ_LASTSALEPRICE", WORKDAY(F804,5))</f>
        <v>5.92</v>
      </c>
      <c r="N804">
        <f t="shared" si="24"/>
        <v>0.35450913873646211</v>
      </c>
      <c r="O804">
        <f t="shared" si="25"/>
        <v>0.35282137462274227</v>
      </c>
      <c r="P804">
        <f>LN(_xll.ciqfunctions.udf.CIQ("XBI", "IQ_LASTSALEPRICE", WORKDAY(F804,-1))/_xll.ciqfunctions.udf.CIQ("XBI", "IQ_LASTSALEPRICE", WORKDAY(F804,1)))</f>
        <v>1.988369601354318E-2</v>
      </c>
      <c r="Q804">
        <f>LN(_xll.ciqfunctions.udf.CIQ("XBI", "IQ_LASTSALEPRICE", WORKDAY(F804,-1))/_xll.ciqfunctions.udf.CIQ("XBI", "IQ_LASTSALEPRICE", WORKDAY(F804,5)))</f>
        <v>1.9411273659179898E-2</v>
      </c>
      <c r="R804">
        <f>_xll.ciqfunctions.udf.CIQ(A804, "IQ_SHORT_INTEREST_PERCENT", F804)</f>
        <v>3.2206899999999998</v>
      </c>
      <c r="S804">
        <f>_xll.ciqfunctions.udf.CIQ(A804, "IQ_BETA_1YR_RSQ", F804)</f>
        <v>5.738E-2</v>
      </c>
      <c r="T804">
        <f>_xll.ciqfunctions.udf.CIQ(A804, "IQ_VALUE_TRADED", F804)</f>
        <v>171.82315</v>
      </c>
    </row>
    <row r="805" spans="1:20" x14ac:dyDescent="0.3">
      <c r="A805" t="s">
        <v>1109</v>
      </c>
      <c r="B805" s="2">
        <v>1.57</v>
      </c>
      <c r="C805" t="s">
        <v>1110</v>
      </c>
      <c r="D805" t="s">
        <v>243</v>
      </c>
      <c r="E805" t="s">
        <v>22</v>
      </c>
      <c r="F805" s="1">
        <v>45398</v>
      </c>
      <c r="G805" t="s">
        <v>2299</v>
      </c>
      <c r="H805">
        <v>138</v>
      </c>
      <c r="I805">
        <f>_xll.ciqfunctions.udf.CIQ(A805, "IQ_MARKETCAP", F805)</f>
        <v>216.01499999999999</v>
      </c>
      <c r="J805">
        <f>_xll.ciqfunctions.udf.CIQ(A805, "IQ_PRICE_VOL_HIST_6MTH", F805)</f>
        <v>81.953599999999994</v>
      </c>
      <c r="K805">
        <f>_xll.ciqfunctions.udf.CIQ(A805, "IQ_LASTSALEPRICE", WORKDAY(F805,-1))</f>
        <v>1.58</v>
      </c>
      <c r="L805">
        <f>_xll.ciqfunctions.udf.CIQ(A805, "IQ_LASTSALEPRICE", F805)</f>
        <v>1.57</v>
      </c>
      <c r="M805">
        <f>_xll.ciqfunctions.udf.CIQ(A805, "IQ_LASTSALEPRICE", WORKDAY(F805,5))</f>
        <v>1.52</v>
      </c>
      <c r="N805">
        <f t="shared" si="24"/>
        <v>-6.34922767865878E-3</v>
      </c>
      <c r="O805">
        <f t="shared" si="25"/>
        <v>-3.8714512180690393E-2</v>
      </c>
      <c r="P805">
        <f>LN(_xll.ciqfunctions.udf.CIQ("XBI", "IQ_LASTSALEPRICE", WORKDAY(F805,-1))/_xll.ciqfunctions.udf.CIQ("XBI", "IQ_LASTSALEPRICE", WORKDAY(F805,1)))</f>
        <v>1.988369601354318E-2</v>
      </c>
      <c r="Q805">
        <f>LN(_xll.ciqfunctions.udf.CIQ("XBI", "IQ_LASTSALEPRICE", WORKDAY(F805,-1))/_xll.ciqfunctions.udf.CIQ("XBI", "IQ_LASTSALEPRICE", WORKDAY(F805,5)))</f>
        <v>1.9411273659179898E-2</v>
      </c>
      <c r="R805">
        <f>_xll.ciqfunctions.udf.CIQ(A805, "IQ_SHORT_INTEREST_PERCENT", F805)</f>
        <v>1.18007</v>
      </c>
      <c r="S805">
        <f>_xll.ciqfunctions.udf.CIQ(A805, "IQ_BETA_1YR_RSQ", F805)</f>
        <v>2.3179999999999999E-2</v>
      </c>
      <c r="T805">
        <f>_xll.ciqfunctions.udf.CIQ(A805, "IQ_VALUE_TRADED", F805)</f>
        <v>1.1283700000000001</v>
      </c>
    </row>
    <row r="806" spans="1:20" x14ac:dyDescent="0.3">
      <c r="A806" t="s">
        <v>1357</v>
      </c>
      <c r="B806" s="2">
        <v>3.5</v>
      </c>
      <c r="C806" t="s">
        <v>1358</v>
      </c>
      <c r="D806" t="s">
        <v>900</v>
      </c>
      <c r="E806" t="s">
        <v>22</v>
      </c>
      <c r="F806" s="1">
        <v>45398</v>
      </c>
      <c r="G806" t="s">
        <v>2300</v>
      </c>
      <c r="H806">
        <v>60</v>
      </c>
      <c r="I806">
        <f>_xll.ciqfunctions.udf.CIQ(A806, "IQ_MARKETCAP", F806)</f>
        <v>210.27922000000001</v>
      </c>
      <c r="J806">
        <f>_xll.ciqfunctions.udf.CIQ(A806, "IQ_PRICE_VOL_HIST_6MTH", F806)</f>
        <v>88.131100000000004</v>
      </c>
      <c r="K806">
        <f>_xll.ciqfunctions.udf.CIQ(A806, "IQ_LASTSALEPRICE", WORKDAY(F806,-1))</f>
        <v>3.53</v>
      </c>
      <c r="L806">
        <f>_xll.ciqfunctions.udf.CIQ(A806, "IQ_LASTSALEPRICE", F806)</f>
        <v>3.5</v>
      </c>
      <c r="M806">
        <f>_xll.ciqfunctions.udf.CIQ(A806, "IQ_LASTSALEPRICE", WORKDAY(F806,5))</f>
        <v>3.16</v>
      </c>
      <c r="N806">
        <f t="shared" si="24"/>
        <v>-8.534902449837331E-3</v>
      </c>
      <c r="O806">
        <f t="shared" si="25"/>
        <v>-0.11072584334638462</v>
      </c>
      <c r="P806">
        <f>LN(_xll.ciqfunctions.udf.CIQ("XBI", "IQ_LASTSALEPRICE", WORKDAY(F806,-1))/_xll.ciqfunctions.udf.CIQ("XBI", "IQ_LASTSALEPRICE", WORKDAY(F806,1)))</f>
        <v>1.988369601354318E-2</v>
      </c>
      <c r="Q806">
        <f>LN(_xll.ciqfunctions.udf.CIQ("XBI", "IQ_LASTSALEPRICE", WORKDAY(F806,-1))/_xll.ciqfunctions.udf.CIQ("XBI", "IQ_LASTSALEPRICE", WORKDAY(F806,5)))</f>
        <v>1.9411273659179898E-2</v>
      </c>
      <c r="R806">
        <f>_xll.ciqfunctions.udf.CIQ(A806, "IQ_SHORT_INTEREST_PERCENT", F806)</f>
        <v>2.0627900000000001</v>
      </c>
      <c r="S806">
        <f>_xll.ciqfunctions.udf.CIQ(A806, "IQ_BETA_1YR_RSQ", F806)</f>
        <v>7.4109999999999995E-2</v>
      </c>
      <c r="T806">
        <f>_xll.ciqfunctions.udf.CIQ(A806, "IQ_VALUE_TRADED", F806)</f>
        <v>0.77959999999999996</v>
      </c>
    </row>
    <row r="807" spans="1:20" x14ac:dyDescent="0.3">
      <c r="A807" t="s">
        <v>1174</v>
      </c>
      <c r="B807" s="2">
        <v>2.31</v>
      </c>
      <c r="C807" t="s">
        <v>2301</v>
      </c>
      <c r="D807" t="s">
        <v>2302</v>
      </c>
      <c r="E807" t="s">
        <v>89</v>
      </c>
      <c r="F807" s="1">
        <v>45398</v>
      </c>
      <c r="G807" t="s">
        <v>2303</v>
      </c>
      <c r="H807">
        <v>19</v>
      </c>
      <c r="I807">
        <f>_xll.ciqfunctions.udf.CIQ(A807, "IQ_MARKETCAP", F807)</f>
        <v>29.765910000000002</v>
      </c>
      <c r="J807">
        <f>_xll.ciqfunctions.udf.CIQ(A807, "IQ_PRICE_VOL_HIST_6MTH", F807)</f>
        <v>138.7244</v>
      </c>
      <c r="K807">
        <f>_xll.ciqfunctions.udf.CIQ(A807, "IQ_LASTSALEPRICE", WORKDAY(F807,-1))</f>
        <v>1.99</v>
      </c>
      <c r="L807">
        <f>_xll.ciqfunctions.udf.CIQ(A807, "IQ_LASTSALEPRICE", F807)</f>
        <v>2.31</v>
      </c>
      <c r="M807">
        <f>_xll.ciqfunctions.udf.CIQ(A807, "IQ_LASTSALEPRICE", WORKDAY(F807,5))</f>
        <v>2.2400000000000002</v>
      </c>
      <c r="N807">
        <f t="shared" si="24"/>
        <v>0.14911288579730117</v>
      </c>
      <c r="O807">
        <f t="shared" si="25"/>
        <v>0.11834122713054765</v>
      </c>
      <c r="P807">
        <f>LN(_xll.ciqfunctions.udf.CIQ("XBI", "IQ_LASTSALEPRICE", WORKDAY(F807,-1))/_xll.ciqfunctions.udf.CIQ("XBI", "IQ_LASTSALEPRICE", WORKDAY(F807,1)))</f>
        <v>1.988369601354318E-2</v>
      </c>
      <c r="Q807">
        <f>LN(_xll.ciqfunctions.udf.CIQ("XBI", "IQ_LASTSALEPRICE", WORKDAY(F807,-1))/_xll.ciqfunctions.udf.CIQ("XBI", "IQ_LASTSALEPRICE", WORKDAY(F807,5)))</f>
        <v>1.9411273659179898E-2</v>
      </c>
      <c r="R807">
        <f>_xll.ciqfunctions.udf.CIQ(A807, "IQ_SHORT_INTEREST_PERCENT", F807)</f>
        <v>3.8061099999999999</v>
      </c>
      <c r="S807">
        <f>_xll.ciqfunctions.udf.CIQ(A807, "IQ_BETA_1YR_RSQ", F807)</f>
        <v>3.32E-3</v>
      </c>
      <c r="T807">
        <f>_xll.ciqfunctions.udf.CIQ(A807, "IQ_VALUE_TRADED", F807)</f>
        <v>0.70809</v>
      </c>
    </row>
    <row r="808" spans="1:20" x14ac:dyDescent="0.3">
      <c r="A808" t="s">
        <v>204</v>
      </c>
      <c r="B808" s="2">
        <v>6.2</v>
      </c>
      <c r="C808" t="s">
        <v>205</v>
      </c>
      <c r="D808" t="s">
        <v>206</v>
      </c>
      <c r="E808" t="s">
        <v>76</v>
      </c>
      <c r="F808" s="1">
        <v>45398</v>
      </c>
      <c r="G808" t="s">
        <v>2304</v>
      </c>
      <c r="H808">
        <v>9</v>
      </c>
      <c r="I808">
        <f>_xll.ciqfunctions.udf.CIQ(A808, "IQ_MARKETCAP", F808)</f>
        <v>39.814450000000001</v>
      </c>
      <c r="J808">
        <f>_xll.ciqfunctions.udf.CIQ(A808, "IQ_PRICE_VOL_HIST_6MTH", F808)</f>
        <v>113.0767</v>
      </c>
      <c r="K808">
        <f>_xll.ciqfunctions.udf.CIQ(A808, "IQ_LASTSALEPRICE", WORKDAY(F808,-1))</f>
        <v>6.6280000000000001</v>
      </c>
      <c r="L808">
        <f>_xll.ciqfunctions.udf.CIQ(A808, "IQ_LASTSALEPRICE", F808)</f>
        <v>6.2</v>
      </c>
      <c r="M808">
        <f>_xll.ciqfunctions.udf.CIQ(A808, "IQ_LASTSALEPRICE", WORKDAY(F808,5))</f>
        <v>6.702</v>
      </c>
      <c r="N808">
        <f t="shared" si="24"/>
        <v>-6.6753807513270633E-2</v>
      </c>
      <c r="O808">
        <f t="shared" si="25"/>
        <v>1.1102889750802116E-2</v>
      </c>
      <c r="P808">
        <f>LN(_xll.ciqfunctions.udf.CIQ("XBI", "IQ_LASTSALEPRICE", WORKDAY(F808,-1))/_xll.ciqfunctions.udf.CIQ("XBI", "IQ_LASTSALEPRICE", WORKDAY(F808,1)))</f>
        <v>1.988369601354318E-2</v>
      </c>
      <c r="Q808">
        <f>LN(_xll.ciqfunctions.udf.CIQ("XBI", "IQ_LASTSALEPRICE", WORKDAY(F808,-1))/_xll.ciqfunctions.udf.CIQ("XBI", "IQ_LASTSALEPRICE", WORKDAY(F808,5)))</f>
        <v>1.9411273659179898E-2</v>
      </c>
      <c r="R808">
        <f>_xll.ciqfunctions.udf.CIQ(A808, "IQ_SHORT_INTEREST_PERCENT", F808)</f>
        <v>0.12683</v>
      </c>
      <c r="S808">
        <f>_xll.ciqfunctions.udf.CIQ(A808, "IQ_BETA_1YR_RSQ", F808)</f>
        <v>6.053E-2</v>
      </c>
      <c r="T808">
        <f>_xll.ciqfunctions.udf.CIQ(A808, "IQ_VALUE_TRADED", F808)</f>
        <v>2.8932699999999998</v>
      </c>
    </row>
    <row r="809" spans="1:20" x14ac:dyDescent="0.3">
      <c r="A809" t="s">
        <v>2305</v>
      </c>
      <c r="B809" s="2">
        <v>0.66</v>
      </c>
      <c r="C809" t="s">
        <v>2306</v>
      </c>
      <c r="D809" t="s">
        <v>2307</v>
      </c>
      <c r="E809" t="s">
        <v>154</v>
      </c>
      <c r="F809" s="1">
        <v>45398</v>
      </c>
      <c r="G809" t="s">
        <v>2308</v>
      </c>
      <c r="H809">
        <v>10</v>
      </c>
      <c r="I809">
        <f>_xll.ciqfunctions.udf.CIQ(A809, "IQ_MARKETCAP", F809)</f>
        <v>4.9273199999999999</v>
      </c>
      <c r="J809">
        <f>_xll.ciqfunctions.udf.CIQ(A809, "IQ_PRICE_VOL_HIST_6MTH", F809)</f>
        <v>213.80160000000001</v>
      </c>
      <c r="K809">
        <f>_xll.ciqfunctions.udf.CIQ(A809, "IQ_LASTSALEPRICE", WORKDAY(F809,-1))</f>
        <v>0.74</v>
      </c>
      <c r="L809">
        <f>_xll.ciqfunctions.udf.CIQ(A809, "IQ_LASTSALEPRICE", F809)</f>
        <v>0.66</v>
      </c>
      <c r="M809">
        <f>_xll.ciqfunctions.udf.CIQ(A809, "IQ_LASTSALEPRICE", WORKDAY(F809,5))</f>
        <v>0.71599999999999997</v>
      </c>
      <c r="N809">
        <f t="shared" si="24"/>
        <v>-0.11441035117774409</v>
      </c>
      <c r="O809">
        <f t="shared" si="25"/>
        <v>-3.2970019237569828E-2</v>
      </c>
      <c r="P809">
        <f>LN(_xll.ciqfunctions.udf.CIQ("XBI", "IQ_LASTSALEPRICE", WORKDAY(F809,-1))/_xll.ciqfunctions.udf.CIQ("XBI", "IQ_LASTSALEPRICE", WORKDAY(F809,1)))</f>
        <v>1.988369601354318E-2</v>
      </c>
      <c r="Q809">
        <f>LN(_xll.ciqfunctions.udf.CIQ("XBI", "IQ_LASTSALEPRICE", WORKDAY(F809,-1))/_xll.ciqfunctions.udf.CIQ("XBI", "IQ_LASTSALEPRICE", WORKDAY(F809,5)))</f>
        <v>1.9411273659179898E-2</v>
      </c>
      <c r="R809">
        <f>_xll.ciqfunctions.udf.CIQ(A809, "IQ_SHORT_INTEREST_PERCENT", F809)</f>
        <v>1.79114</v>
      </c>
      <c r="S809">
        <f>_xll.ciqfunctions.udf.CIQ(A809, "IQ_BETA_1YR_RSQ", F809)</f>
        <v>5.2929999999999998E-2</v>
      </c>
      <c r="T809">
        <f>_xll.ciqfunctions.udf.CIQ(A809, "IQ_VALUE_TRADED", F809)</f>
        <v>2.56833</v>
      </c>
    </row>
    <row r="810" spans="1:20" x14ac:dyDescent="0.3">
      <c r="A810" t="s">
        <v>52</v>
      </c>
      <c r="B810" s="2">
        <v>13.09</v>
      </c>
      <c r="C810" t="s">
        <v>441</v>
      </c>
      <c r="D810" t="s">
        <v>442</v>
      </c>
      <c r="E810" t="s">
        <v>160</v>
      </c>
      <c r="F810" s="1">
        <v>45398</v>
      </c>
      <c r="G810" t="s">
        <v>2309</v>
      </c>
      <c r="I810">
        <f>_xll.ciqfunctions.udf.CIQ(A810, "IQ_MARKETCAP", F810)</f>
        <v>14826.26542</v>
      </c>
      <c r="J810">
        <f>_xll.ciqfunctions.udf.CIQ(A810, "IQ_PRICE_VOL_HIST_6MTH", F810)</f>
        <v>30.957100000000001</v>
      </c>
      <c r="K810">
        <f>_xll.ciqfunctions.udf.CIQ(A810, "IQ_LASTSALEPRICE", WORKDAY(F810,-1))</f>
        <v>13.23</v>
      </c>
      <c r="L810">
        <f>_xll.ciqfunctions.udf.CIQ(A810, "IQ_LASTSALEPRICE", F810)</f>
        <v>13.09</v>
      </c>
      <c r="M810">
        <f>_xll.ciqfunctions.udf.CIQ(A810, "IQ_LASTSALEPRICE", WORKDAY(F810,5))</f>
        <v>13.01</v>
      </c>
      <c r="N810">
        <f t="shared" si="24"/>
        <v>-1.0638398205055754E-2</v>
      </c>
      <c r="O810">
        <f t="shared" si="25"/>
        <v>-1.6768685602450442E-2</v>
      </c>
      <c r="P810">
        <f>LN(_xll.ciqfunctions.udf.CIQ("XBI", "IQ_LASTSALEPRICE", WORKDAY(F810,-1))/_xll.ciqfunctions.udf.CIQ("XBI", "IQ_LASTSALEPRICE", WORKDAY(F810,1)))</f>
        <v>1.988369601354318E-2</v>
      </c>
      <c r="Q810">
        <f>LN(_xll.ciqfunctions.udf.CIQ("XBI", "IQ_LASTSALEPRICE", WORKDAY(F810,-1))/_xll.ciqfunctions.udf.CIQ("XBI", "IQ_LASTSALEPRICE", WORKDAY(F810,5)))</f>
        <v>1.9411273659179898E-2</v>
      </c>
      <c r="R810">
        <f>_xll.ciqfunctions.udf.CIQ(A810, "IQ_SHORT_INTEREST_PERCENT", F810)</f>
        <v>1.0202</v>
      </c>
      <c r="S810">
        <f>_xll.ciqfunctions.udf.CIQ(A810, "IQ_BETA_1YR_RSQ", F810)</f>
        <v>3.1179999999999999E-2</v>
      </c>
      <c r="T810">
        <f>_xll.ciqfunctions.udf.CIQ(A810, "IQ_VALUE_TRADED", F810)</f>
        <v>105.87137</v>
      </c>
    </row>
    <row r="811" spans="1:20" x14ac:dyDescent="0.3">
      <c r="A811" t="s">
        <v>56</v>
      </c>
      <c r="B811" s="2">
        <v>12.73</v>
      </c>
      <c r="C811" t="s">
        <v>441</v>
      </c>
      <c r="D811" t="s">
        <v>442</v>
      </c>
      <c r="E811" t="s">
        <v>160</v>
      </c>
      <c r="F811" s="1">
        <v>45398</v>
      </c>
      <c r="G811" t="s">
        <v>2309</v>
      </c>
      <c r="H811">
        <v>301</v>
      </c>
      <c r="I811">
        <f>_xll.ciqfunctions.udf.CIQ(A811, "IQ_MARKETCAP", F811)</f>
        <v>3558.8861999999999</v>
      </c>
      <c r="J811">
        <f>_xll.ciqfunctions.udf.CIQ(A811, "IQ_PRICE_VOL_HIST_6MTH", F811)</f>
        <v>47.442100000000003</v>
      </c>
      <c r="K811">
        <f>_xll.ciqfunctions.udf.CIQ(A811, "IQ_LASTSALEPRICE", WORKDAY(F811,-1))</f>
        <v>12.5</v>
      </c>
      <c r="L811">
        <f>_xll.ciqfunctions.udf.CIQ(A811, "IQ_LASTSALEPRICE", F811)</f>
        <v>12.73</v>
      </c>
      <c r="M811">
        <f>_xll.ciqfunctions.udf.CIQ(A811, "IQ_LASTSALEPRICE", WORKDAY(F811,5))</f>
        <v>13.4</v>
      </c>
      <c r="N811">
        <f t="shared" si="24"/>
        <v>1.8232768261059684E-2</v>
      </c>
      <c r="O811">
        <f t="shared" si="25"/>
        <v>6.9526062648610304E-2</v>
      </c>
      <c r="P811">
        <f>LN(_xll.ciqfunctions.udf.CIQ("XBI", "IQ_LASTSALEPRICE", WORKDAY(F811,-1))/_xll.ciqfunctions.udf.CIQ("XBI", "IQ_LASTSALEPRICE", WORKDAY(F811,1)))</f>
        <v>1.988369601354318E-2</v>
      </c>
      <c r="Q811">
        <f>LN(_xll.ciqfunctions.udf.CIQ("XBI", "IQ_LASTSALEPRICE", WORKDAY(F811,-1))/_xll.ciqfunctions.udf.CIQ("XBI", "IQ_LASTSALEPRICE", WORKDAY(F811,5)))</f>
        <v>1.9411273659179898E-2</v>
      </c>
      <c r="R811">
        <f>_xll.ciqfunctions.udf.CIQ(A811, "IQ_SHORT_INTEREST_PERCENT", F811)</f>
        <v>6.8320000000000006E-2</v>
      </c>
      <c r="S811">
        <f>_xll.ciqfunctions.udf.CIQ(A811, "IQ_BETA_1YR_RSQ", F811)</f>
        <v>2.1870000000000001E-2</v>
      </c>
      <c r="T811">
        <f>_xll.ciqfunctions.udf.CIQ(A811, "IQ_VALUE_TRADED", F811)</f>
        <v>4.8079200000000002</v>
      </c>
    </row>
    <row r="812" spans="1:20" x14ac:dyDescent="0.3">
      <c r="A812" t="s">
        <v>2310</v>
      </c>
      <c r="B812" s="2">
        <v>12.57</v>
      </c>
      <c r="C812" t="s">
        <v>2311</v>
      </c>
      <c r="D812" t="s">
        <v>2312</v>
      </c>
      <c r="E812" t="s">
        <v>76</v>
      </c>
      <c r="F812" s="1">
        <v>45399</v>
      </c>
      <c r="G812" t="s">
        <v>2313</v>
      </c>
      <c r="H812">
        <v>62</v>
      </c>
      <c r="I812">
        <f>_xll.ciqfunctions.udf.CIQ(A812, "IQ_MARKETCAP", F812)</f>
        <v>401663.16194999998</v>
      </c>
      <c r="J812">
        <f>_xll.ciqfunctions.udf.CIQ(A812, "IQ_PRICE_VOL_HIST_6MTH", F812)</f>
        <v>9.8710000000000004</v>
      </c>
      <c r="K812">
        <f>_xll.ciqfunctions.udf.CIQ(A812, "IQ_LASTSALEPRICE", WORKDAY(F812,-1))</f>
        <v>50</v>
      </c>
      <c r="L812">
        <f>_xll.ciqfunctions.udf.CIQ(A812, "IQ_LASTSALEPRICE", F812)</f>
        <v>50</v>
      </c>
      <c r="M812">
        <f>_xll.ciqfunctions.udf.CIQ(A812, "IQ_LASTSALEPRICE", WORKDAY(F812,5))</f>
        <v>50</v>
      </c>
      <c r="N812">
        <f t="shared" si="24"/>
        <v>0</v>
      </c>
      <c r="O812">
        <f t="shared" si="25"/>
        <v>0</v>
      </c>
      <c r="P812">
        <f>LN(_xll.ciqfunctions.udf.CIQ("XBI", "IQ_LASTSALEPRICE", WORKDAY(F812,-1))/_xll.ciqfunctions.udf.CIQ("XBI", "IQ_LASTSALEPRICE", WORKDAY(F812,1)))</f>
        <v>2.5195016545394338E-2</v>
      </c>
      <c r="Q812">
        <f>LN(_xll.ciqfunctions.udf.CIQ("XBI", "IQ_LASTSALEPRICE", WORKDAY(F812,-1))/_xll.ciqfunctions.udf.CIQ("XBI", "IQ_LASTSALEPRICE", WORKDAY(F812,5)))</f>
        <v>1.9699840848949574E-2</v>
      </c>
      <c r="R812">
        <f>_xll.ciqfunctions.udf.CIQ(A812, "IQ_SHORT_INTEREST_PERCENT", F812)</f>
        <v>0</v>
      </c>
      <c r="S812">
        <f>_xll.ciqfunctions.udf.CIQ(A812, "IQ_BETA_1YR_RSQ", F812)</f>
        <v>1.6199999999999999E-2</v>
      </c>
      <c r="T812">
        <f>_xll.ciqfunctions.udf.CIQ(A812, "IQ_VALUE_TRADED", F812)</f>
        <v>0.33500000000000002</v>
      </c>
    </row>
    <row r="813" spans="1:20" x14ac:dyDescent="0.3">
      <c r="A813" t="s">
        <v>2059</v>
      </c>
      <c r="B813" t="s">
        <v>43</v>
      </c>
      <c r="C813" t="s">
        <v>2311</v>
      </c>
      <c r="D813" t="s">
        <v>2312</v>
      </c>
      <c r="E813" t="s">
        <v>76</v>
      </c>
      <c r="F813" s="1">
        <v>45399</v>
      </c>
      <c r="G813" t="s">
        <v>2313</v>
      </c>
      <c r="H813">
        <v>56</v>
      </c>
      <c r="I813">
        <f>_xll.ciqfunctions.udf.CIQ(A813, "IQ_MARKETCAP", F813)</f>
        <v>1587.3137200000001</v>
      </c>
      <c r="J813">
        <f>_xll.ciqfunctions.udf.CIQ(A813, "IQ_PRICE_VOL_HIST_6MTH", F813)</f>
        <v>40.029699999999998</v>
      </c>
      <c r="K813">
        <f>_xll.ciqfunctions.udf.CIQ(A813, "IQ_LASTSALEPRICE", WORKDAY(F813,-1))</f>
        <v>29.43</v>
      </c>
      <c r="L813">
        <f>_xll.ciqfunctions.udf.CIQ(A813, "IQ_LASTSALEPRICE", F813)</f>
        <v>29</v>
      </c>
      <c r="M813">
        <f>_xll.ciqfunctions.udf.CIQ(A813, "IQ_LASTSALEPRICE", WORKDAY(F813,5))</f>
        <v>30.26</v>
      </c>
      <c r="N813">
        <f t="shared" si="24"/>
        <v>-1.4718732258907369E-2</v>
      </c>
      <c r="O813">
        <f t="shared" si="25"/>
        <v>2.7812146114828608E-2</v>
      </c>
      <c r="P813">
        <f>LN(_xll.ciqfunctions.udf.CIQ("XBI", "IQ_LASTSALEPRICE", WORKDAY(F813,-1))/_xll.ciqfunctions.udf.CIQ("XBI", "IQ_LASTSALEPRICE", WORKDAY(F813,1)))</f>
        <v>2.5195016545394338E-2</v>
      </c>
      <c r="Q813">
        <f>LN(_xll.ciqfunctions.udf.CIQ("XBI", "IQ_LASTSALEPRICE", WORKDAY(F813,-1))/_xll.ciqfunctions.udf.CIQ("XBI", "IQ_LASTSALEPRICE", WORKDAY(F813,5)))</f>
        <v>1.9699840848949574E-2</v>
      </c>
      <c r="R813">
        <f>_xll.ciqfunctions.udf.CIQ(A813, "IQ_SHORT_INTEREST_PERCENT", F813)</f>
        <v>8.8110999999999997</v>
      </c>
      <c r="S813">
        <f>_xll.ciqfunctions.udf.CIQ(A813, "IQ_BETA_1YR_RSQ", F813)</f>
        <v>0.11292000000000001</v>
      </c>
      <c r="T813">
        <f>_xll.ciqfunctions.udf.CIQ(A813, "IQ_VALUE_TRADED", F813)</f>
        <v>11.42107</v>
      </c>
    </row>
    <row r="814" spans="1:20" x14ac:dyDescent="0.3">
      <c r="A814" t="s">
        <v>488</v>
      </c>
      <c r="B814" s="2">
        <v>748.49</v>
      </c>
      <c r="C814" t="s">
        <v>2314</v>
      </c>
      <c r="D814" t="s">
        <v>2315</v>
      </c>
      <c r="E814" t="s">
        <v>36</v>
      </c>
      <c r="F814" s="1">
        <v>45399</v>
      </c>
      <c r="G814" t="s">
        <v>2316</v>
      </c>
      <c r="H814">
        <v>946</v>
      </c>
      <c r="I814">
        <f>_xll.ciqfunctions.udf.CIQ(A814, "IQ_MARKETCAP", F814)</f>
        <v>676268.16489999997</v>
      </c>
      <c r="J814">
        <f>_xll.ciqfunctions.udf.CIQ(A814, "IQ_PRICE_VOL_HIST_6MTH", F814)</f>
        <v>27.492799999999999</v>
      </c>
      <c r="K814">
        <f>_xll.ciqfunctions.udf.CIQ(A814, "IQ_LASTSALEPRICE", WORKDAY(F814,-1))</f>
        <v>746.74</v>
      </c>
      <c r="L814">
        <f>_xll.ciqfunctions.udf.CIQ(A814, "IQ_LASTSALEPRICE", F814)</f>
        <v>750.77</v>
      </c>
      <c r="M814">
        <f>_xll.ciqfunctions.udf.CIQ(A814, "IQ_LASTSALEPRICE", WORKDAY(F814,5))</f>
        <v>732.2</v>
      </c>
      <c r="N814">
        <f t="shared" si="24"/>
        <v>5.3822808912575267E-3</v>
      </c>
      <c r="O814">
        <f t="shared" si="25"/>
        <v>-1.9663364957847061E-2</v>
      </c>
      <c r="P814">
        <f>LN(_xll.ciqfunctions.udf.CIQ("XBI", "IQ_LASTSALEPRICE", WORKDAY(F814,-1))/_xll.ciqfunctions.udf.CIQ("XBI", "IQ_LASTSALEPRICE", WORKDAY(F814,1)))</f>
        <v>2.5195016545394338E-2</v>
      </c>
      <c r="Q814">
        <f>LN(_xll.ciqfunctions.udf.CIQ("XBI", "IQ_LASTSALEPRICE", WORKDAY(F814,-1))/_xll.ciqfunctions.udf.CIQ("XBI", "IQ_LASTSALEPRICE", WORKDAY(F814,5)))</f>
        <v>1.9699840848949574E-2</v>
      </c>
      <c r="R814">
        <f>_xll.ciqfunctions.udf.CIQ(A814, "IQ_SHORT_INTEREST_PERCENT", F814)</f>
        <v>0.60177999999999998</v>
      </c>
      <c r="S814">
        <f>_xll.ciqfunctions.udf.CIQ(A814, "IQ_BETA_1YR_RSQ", F814)</f>
        <v>1.132E-2</v>
      </c>
      <c r="T814">
        <f>_xll.ciqfunctions.udf.CIQ(A814, "IQ_VALUE_TRADED", F814)</f>
        <v>2304.3886600000001</v>
      </c>
    </row>
    <row r="815" spans="1:20" x14ac:dyDescent="0.3">
      <c r="A815" t="s">
        <v>146</v>
      </c>
      <c r="B815" s="2">
        <v>38.909999999999997</v>
      </c>
      <c r="C815" t="s">
        <v>1053</v>
      </c>
      <c r="D815" t="s">
        <v>1054</v>
      </c>
      <c r="E815" t="s">
        <v>36</v>
      </c>
      <c r="F815" s="1">
        <v>45399</v>
      </c>
      <c r="G815" t="s">
        <v>2317</v>
      </c>
      <c r="I815">
        <f>_xll.ciqfunctions.udf.CIQ(A815, "IQ_MARKETCAP", F815)</f>
        <v>64968.397709999997</v>
      </c>
      <c r="J815">
        <f>_xll.ciqfunctions.udf.CIQ(A815, "IQ_PRICE_VOL_HIST_6MTH", F815)</f>
        <v>18.1341</v>
      </c>
      <c r="K815">
        <f>_xll.ciqfunctions.udf.CIQ(A815, "IQ_LASTSALEPRICE", WORKDAY(F815,-1))</f>
        <v>16.105</v>
      </c>
      <c r="L815">
        <f>_xll.ciqfunctions.udf.CIQ(A815, "IQ_LASTSALEPRICE", F815)</f>
        <v>15.9</v>
      </c>
      <c r="M815">
        <f>_xll.ciqfunctions.udf.CIQ(A815, "IQ_LASTSALEPRICE", WORKDAY(F815,5))</f>
        <v>16.36</v>
      </c>
      <c r="N815">
        <f t="shared" si="24"/>
        <v>-1.2810673556976284E-2</v>
      </c>
      <c r="O815">
        <f t="shared" si="25"/>
        <v>1.5709548391438864E-2</v>
      </c>
      <c r="P815">
        <f>LN(_xll.ciqfunctions.udf.CIQ("XBI", "IQ_LASTSALEPRICE", WORKDAY(F815,-1))/_xll.ciqfunctions.udf.CIQ("XBI", "IQ_LASTSALEPRICE", WORKDAY(F815,1)))</f>
        <v>2.5195016545394338E-2</v>
      </c>
      <c r="Q815">
        <f>LN(_xll.ciqfunctions.udf.CIQ("XBI", "IQ_LASTSALEPRICE", WORKDAY(F815,-1))/_xll.ciqfunctions.udf.CIQ("XBI", "IQ_LASTSALEPRICE", WORKDAY(F815,5)))</f>
        <v>1.9699840848949574E-2</v>
      </c>
      <c r="R815">
        <f>_xll.ciqfunctions.udf.CIQ(A815, "IQ_SHORT_INTEREST_PERCENT", F815)</f>
        <v>0</v>
      </c>
      <c r="S815">
        <f>_xll.ciqfunctions.udf.CIQ(A815, "IQ_BETA_1YR_RSQ", F815)</f>
        <v>1.9499999999999999E-3</v>
      </c>
      <c r="T815">
        <f>_xll.ciqfunctions.udf.CIQ(A815, "IQ_VALUE_TRADED", F815)</f>
        <v>117.46287</v>
      </c>
    </row>
    <row r="816" spans="1:20" x14ac:dyDescent="0.3">
      <c r="A816" t="s">
        <v>618</v>
      </c>
      <c r="B816" s="2">
        <v>30.08</v>
      </c>
      <c r="C816" t="s">
        <v>2318</v>
      </c>
      <c r="D816" t="s">
        <v>2319</v>
      </c>
      <c r="E816" t="s">
        <v>36</v>
      </c>
      <c r="F816" s="1">
        <v>45399</v>
      </c>
      <c r="G816" t="s">
        <v>2320</v>
      </c>
      <c r="I816">
        <f>_xll.ciqfunctions.udf.CIQ(A816, "IQ_MARKETCAP", F816)</f>
        <v>177318.7064</v>
      </c>
      <c r="J816">
        <f>_xll.ciqfunctions.udf.CIQ(A816, "IQ_PRICE_VOL_HIST_6MTH", F816)</f>
        <v>0</v>
      </c>
      <c r="K816">
        <f>_xll.ciqfunctions.udf.CIQ(A816, "IQ_LASTSALEPRICE", WORKDAY(F816,-1))</f>
        <v>0</v>
      </c>
      <c r="L816">
        <f>_xll.ciqfunctions.udf.CIQ(A816, "IQ_LASTSALEPRICE", F816)</f>
        <v>0</v>
      </c>
      <c r="M816">
        <f>_xll.ciqfunctions.udf.CIQ(A816, "IQ_LASTSALEPRICE", WORKDAY(F816,5))</f>
        <v>0</v>
      </c>
      <c r="N816" t="e">
        <f t="shared" si="24"/>
        <v>#DIV/0!</v>
      </c>
      <c r="O816" t="e">
        <f t="shared" si="25"/>
        <v>#DIV/0!</v>
      </c>
      <c r="P816">
        <f>LN(_xll.ciqfunctions.udf.CIQ("XBI", "IQ_LASTSALEPRICE", WORKDAY(F816,-1))/_xll.ciqfunctions.udf.CIQ("XBI", "IQ_LASTSALEPRICE", WORKDAY(F816,1)))</f>
        <v>2.5195016545394338E-2</v>
      </c>
      <c r="Q816">
        <f>LN(_xll.ciqfunctions.udf.CIQ("XBI", "IQ_LASTSALEPRICE", WORKDAY(F816,-1))/_xll.ciqfunctions.udf.CIQ("XBI", "IQ_LASTSALEPRICE", WORKDAY(F816,5)))</f>
        <v>1.9699840848949574E-2</v>
      </c>
      <c r="R816">
        <f>_xll.ciqfunctions.udf.CIQ(A816, "IQ_SHORT_INTEREST_PERCENT", F816)</f>
        <v>0</v>
      </c>
      <c r="S816">
        <f>_xll.ciqfunctions.udf.CIQ(A816, "IQ_BETA_1YR_RSQ", F816)</f>
        <v>0</v>
      </c>
      <c r="T816">
        <f>_xll.ciqfunctions.udf.CIQ(A816, "IQ_VALUE_TRADED", F816)</f>
        <v>0</v>
      </c>
    </row>
    <row r="817" spans="1:20" x14ac:dyDescent="0.3">
      <c r="A817" t="s">
        <v>348</v>
      </c>
      <c r="B817" s="2">
        <v>38.020000000000003</v>
      </c>
      <c r="C817" t="s">
        <v>2318</v>
      </c>
      <c r="D817" t="s">
        <v>2319</v>
      </c>
      <c r="E817" t="s">
        <v>36</v>
      </c>
      <c r="F817" s="1">
        <v>45399</v>
      </c>
      <c r="G817" t="s">
        <v>2320</v>
      </c>
      <c r="H817">
        <v>116</v>
      </c>
      <c r="I817">
        <f>_xll.ciqfunctions.udf.CIQ(A817, "IQ_MARKETCAP", F817)</f>
        <v>4830.60905</v>
      </c>
      <c r="J817">
        <f>_xll.ciqfunctions.udf.CIQ(A817, "IQ_PRICE_VOL_HIST_6MTH", F817)</f>
        <v>38.557699999999997</v>
      </c>
      <c r="K817">
        <f>_xll.ciqfunctions.udf.CIQ(A817, "IQ_LASTSALEPRICE", WORKDAY(F817,-1))</f>
        <v>38.380000000000003</v>
      </c>
      <c r="L817">
        <f>_xll.ciqfunctions.udf.CIQ(A817, "IQ_LASTSALEPRICE", F817)</f>
        <v>38.020000000000003</v>
      </c>
      <c r="M817">
        <f>_xll.ciqfunctions.udf.CIQ(A817, "IQ_LASTSALEPRICE", WORKDAY(F817,5))</f>
        <v>39.119999999999997</v>
      </c>
      <c r="N817">
        <f t="shared" si="24"/>
        <v>-9.424153519270775E-3</v>
      </c>
      <c r="O817">
        <f t="shared" si="25"/>
        <v>1.9097354587062659E-2</v>
      </c>
      <c r="P817">
        <f>LN(_xll.ciqfunctions.udf.CIQ("XBI", "IQ_LASTSALEPRICE", WORKDAY(F817,-1))/_xll.ciqfunctions.udf.CIQ("XBI", "IQ_LASTSALEPRICE", WORKDAY(F817,1)))</f>
        <v>2.5195016545394338E-2</v>
      </c>
      <c r="Q817">
        <f>LN(_xll.ciqfunctions.udf.CIQ("XBI", "IQ_LASTSALEPRICE", WORKDAY(F817,-1))/_xll.ciqfunctions.udf.CIQ("XBI", "IQ_LASTSALEPRICE", WORKDAY(F817,5)))</f>
        <v>1.9699840848949574E-2</v>
      </c>
      <c r="R817">
        <f>_xll.ciqfunctions.udf.CIQ(A817, "IQ_SHORT_INTEREST_PERCENT", F817)</f>
        <v>6.2067699999999997</v>
      </c>
      <c r="S817">
        <f>_xll.ciqfunctions.udf.CIQ(A817, "IQ_BETA_1YR_RSQ", F817)</f>
        <v>0.21406</v>
      </c>
      <c r="T817">
        <f>_xll.ciqfunctions.udf.CIQ(A817, "IQ_VALUE_TRADED", F817)</f>
        <v>27.901240000000001</v>
      </c>
    </row>
    <row r="818" spans="1:20" x14ac:dyDescent="0.3">
      <c r="A818" t="s">
        <v>42</v>
      </c>
      <c r="B818" s="2">
        <v>93.08</v>
      </c>
      <c r="C818" t="s">
        <v>2321</v>
      </c>
      <c r="D818" t="s">
        <v>2322</v>
      </c>
      <c r="E818" t="s">
        <v>36</v>
      </c>
      <c r="F818" s="1">
        <v>45399</v>
      </c>
      <c r="G818" t="s">
        <v>2323</v>
      </c>
      <c r="I818">
        <f>_xll.ciqfunctions.udf.CIQ(A818, "IQ_MARKETCAP", F818)</f>
        <v>1334.20722</v>
      </c>
      <c r="J818">
        <f>_xll.ciqfunctions.udf.CIQ(A818, "IQ_PRICE_VOL_HIST_6MTH", F818)</f>
        <v>51.494500000000002</v>
      </c>
      <c r="K818">
        <f>_xll.ciqfunctions.udf.CIQ(A818, "IQ_LASTSALEPRICE", WORKDAY(F818,-1))</f>
        <v>4.3</v>
      </c>
      <c r="L818">
        <f>_xll.ciqfunctions.udf.CIQ(A818, "IQ_LASTSALEPRICE", F818)</f>
        <v>4.3</v>
      </c>
      <c r="M818">
        <f>_xll.ciqfunctions.udf.CIQ(A818, "IQ_LASTSALEPRICE", WORKDAY(F818,5))</f>
        <v>4.3499999999999996</v>
      </c>
      <c r="N818">
        <f t="shared" si="24"/>
        <v>0</v>
      </c>
      <c r="O818">
        <f t="shared" si="25"/>
        <v>1.1560822401076006E-2</v>
      </c>
      <c r="P818">
        <f>LN(_xll.ciqfunctions.udf.CIQ("XBI", "IQ_LASTSALEPRICE", WORKDAY(F818,-1))/_xll.ciqfunctions.udf.CIQ("XBI", "IQ_LASTSALEPRICE", WORKDAY(F818,1)))</f>
        <v>2.5195016545394338E-2</v>
      </c>
      <c r="Q818">
        <f>LN(_xll.ciqfunctions.udf.CIQ("XBI", "IQ_LASTSALEPRICE", WORKDAY(F818,-1))/_xll.ciqfunctions.udf.CIQ("XBI", "IQ_LASTSALEPRICE", WORKDAY(F818,5)))</f>
        <v>1.9699840848949574E-2</v>
      </c>
      <c r="R818">
        <f>_xll.ciqfunctions.udf.CIQ(A818, "IQ_SHORT_INTEREST_PERCENT", F818)</f>
        <v>0</v>
      </c>
      <c r="S818">
        <f>_xll.ciqfunctions.udf.CIQ(A818, "IQ_BETA_1YR_RSQ", F818)</f>
        <v>1.0399999999999999E-3</v>
      </c>
      <c r="T818">
        <f>_xll.ciqfunctions.udf.CIQ(A818, "IQ_VALUE_TRADED", F818)</f>
        <v>0.17630000000000001</v>
      </c>
    </row>
    <row r="819" spans="1:20" x14ac:dyDescent="0.3">
      <c r="A819" t="s">
        <v>414</v>
      </c>
      <c r="B819" t="s">
        <v>43</v>
      </c>
      <c r="C819" t="s">
        <v>2324</v>
      </c>
      <c r="D819" t="s">
        <v>2325</v>
      </c>
      <c r="E819" t="s">
        <v>97</v>
      </c>
      <c r="F819" s="1">
        <v>45399</v>
      </c>
      <c r="G819" t="s">
        <v>2326</v>
      </c>
      <c r="H819">
        <v>24</v>
      </c>
      <c r="I819">
        <f>_xll.ciqfunctions.udf.CIQ(A819, "IQ_MARKETCAP", F819)</f>
        <v>16.974869999999999</v>
      </c>
      <c r="J819">
        <f>_xll.ciqfunctions.udf.CIQ(A819, "IQ_PRICE_VOL_HIST_6MTH", F819)</f>
        <v>113.5985</v>
      </c>
      <c r="K819">
        <f>_xll.ciqfunctions.udf.CIQ(A819, "IQ_LASTSALEPRICE", WORKDAY(F819,-1))</f>
        <v>3.4</v>
      </c>
      <c r="L819">
        <f>_xll.ciqfunctions.udf.CIQ(A819, "IQ_LASTSALEPRICE", F819)</f>
        <v>3.46</v>
      </c>
      <c r="M819">
        <f>_xll.ciqfunctions.udf.CIQ(A819, "IQ_LASTSALEPRICE", WORKDAY(F819,5))</f>
        <v>3.1</v>
      </c>
      <c r="N819">
        <f t="shared" si="24"/>
        <v>1.7493157447517119E-2</v>
      </c>
      <c r="O819">
        <f t="shared" si="25"/>
        <v>-9.2373320131015041E-2</v>
      </c>
      <c r="P819">
        <f>LN(_xll.ciqfunctions.udf.CIQ("XBI", "IQ_LASTSALEPRICE", WORKDAY(F819,-1))/_xll.ciqfunctions.udf.CIQ("XBI", "IQ_LASTSALEPRICE", WORKDAY(F819,1)))</f>
        <v>2.5195016545394338E-2</v>
      </c>
      <c r="Q819">
        <f>LN(_xll.ciqfunctions.udf.CIQ("XBI", "IQ_LASTSALEPRICE", WORKDAY(F819,-1))/_xll.ciqfunctions.udf.CIQ("XBI", "IQ_LASTSALEPRICE", WORKDAY(F819,5)))</f>
        <v>1.9699840848949574E-2</v>
      </c>
      <c r="R819">
        <f>_xll.ciqfunctions.udf.CIQ(A819, "IQ_SHORT_INTEREST_PERCENT", F819)</f>
        <v>1.2615700000000001</v>
      </c>
      <c r="S819">
        <f>_xll.ciqfunctions.udf.CIQ(A819, "IQ_BETA_1YR_RSQ", F819)</f>
        <v>6.45E-3</v>
      </c>
      <c r="T819">
        <f>_xll.ciqfunctions.udf.CIQ(A819, "IQ_VALUE_TRADED", F819)</f>
        <v>3.9739999999999998E-2</v>
      </c>
    </row>
    <row r="820" spans="1:20" x14ac:dyDescent="0.3">
      <c r="A820" t="s">
        <v>2327</v>
      </c>
      <c r="B820" s="2">
        <v>2.92</v>
      </c>
      <c r="C820" t="s">
        <v>2328</v>
      </c>
      <c r="D820" t="s">
        <v>2329</v>
      </c>
      <c r="E820" t="s">
        <v>76</v>
      </c>
      <c r="F820" s="1">
        <v>45399</v>
      </c>
      <c r="G820" t="s">
        <v>2330</v>
      </c>
      <c r="H820">
        <v>46</v>
      </c>
      <c r="I820" t="str">
        <f>_xll.ciqfunctions.udf.CIQ(A820, "IQ_MARKETCAP", F820)</f>
        <v>(Invalid Identifier)</v>
      </c>
      <c r="J820" t="str">
        <f>_xll.ciqfunctions.udf.CIQ(A820, "IQ_PRICE_VOL_HIST_6MTH", F820)</f>
        <v>(Invalid Identifier)</v>
      </c>
      <c r="K820" t="str">
        <f>_xll.ciqfunctions.udf.CIQ(A820, "IQ_LASTSALEPRICE", WORKDAY(F820,-1))</f>
        <v>(Invalid Identifier)</v>
      </c>
      <c r="L820" t="str">
        <f>_xll.ciqfunctions.udf.CIQ(A820, "IQ_LASTSALEPRICE", F820)</f>
        <v>(Invalid Identifier)</v>
      </c>
      <c r="M820" t="str">
        <f>_xll.ciqfunctions.udf.CIQ(A820, "IQ_LASTSALEPRICE", WORKDAY(F820,5))</f>
        <v>(Invalid Identifier)</v>
      </c>
      <c r="N820" t="e">
        <f t="shared" si="24"/>
        <v>#VALUE!</v>
      </c>
      <c r="O820" t="e">
        <f t="shared" si="25"/>
        <v>#VALUE!</v>
      </c>
      <c r="P820">
        <f>LN(_xll.ciqfunctions.udf.CIQ("XBI", "IQ_LASTSALEPRICE", WORKDAY(F820,-1))/_xll.ciqfunctions.udf.CIQ("XBI", "IQ_LASTSALEPRICE", WORKDAY(F820,1)))</f>
        <v>2.5195016545394338E-2</v>
      </c>
      <c r="Q820">
        <f>LN(_xll.ciqfunctions.udf.CIQ("XBI", "IQ_LASTSALEPRICE", WORKDAY(F820,-1))/_xll.ciqfunctions.udf.CIQ("XBI", "IQ_LASTSALEPRICE", WORKDAY(F820,5)))</f>
        <v>1.9699840848949574E-2</v>
      </c>
      <c r="R820" t="str">
        <f>_xll.ciqfunctions.udf.CIQ(A820, "IQ_SHORT_INTEREST_PERCENT", F820)</f>
        <v>(Invalid Identifier)</v>
      </c>
      <c r="S820" t="str">
        <f>_xll.ciqfunctions.udf.CIQ(A820, "IQ_BETA_1YR_RSQ", F820)</f>
        <v>(Invalid Identifier)</v>
      </c>
      <c r="T820" t="str">
        <f>_xll.ciqfunctions.udf.CIQ(A820, "IQ_VALUE_TRADED", F820)</f>
        <v>(Invalid Identifier)</v>
      </c>
    </row>
    <row r="821" spans="1:20" x14ac:dyDescent="0.3">
      <c r="A821" t="s">
        <v>542</v>
      </c>
      <c r="B821" t="s">
        <v>43</v>
      </c>
      <c r="C821" t="s">
        <v>2328</v>
      </c>
      <c r="D821" t="s">
        <v>2329</v>
      </c>
      <c r="E821" t="s">
        <v>76</v>
      </c>
      <c r="F821" s="1">
        <v>45399</v>
      </c>
      <c r="G821" t="s">
        <v>2330</v>
      </c>
      <c r="I821">
        <f>_xll.ciqfunctions.udf.CIQ(A821, "IQ_MARKETCAP", F821)</f>
        <v>107608.28436000001</v>
      </c>
      <c r="J821">
        <f>_xll.ciqfunctions.udf.CIQ(A821, "IQ_PRICE_VOL_HIST_6MTH", F821)</f>
        <v>34.960599999999999</v>
      </c>
      <c r="K821">
        <f>_xll.ciqfunctions.udf.CIQ(A821, "IQ_LASTSALEPRICE", WORKDAY(F821,-1))</f>
        <v>45.8</v>
      </c>
      <c r="L821">
        <f>_xll.ciqfunctions.udf.CIQ(A821, "IQ_LASTSALEPRICE", F821)</f>
        <v>46.11</v>
      </c>
      <c r="M821">
        <f>_xll.ciqfunctions.udf.CIQ(A821, "IQ_LASTSALEPRICE", WORKDAY(F821,5))</f>
        <v>46.61</v>
      </c>
      <c r="N821">
        <f t="shared" si="24"/>
        <v>6.7457550984748879E-3</v>
      </c>
      <c r="O821">
        <f t="shared" si="25"/>
        <v>1.7531019264510252E-2</v>
      </c>
      <c r="P821">
        <f>LN(_xll.ciqfunctions.udf.CIQ("XBI", "IQ_LASTSALEPRICE", WORKDAY(F821,-1))/_xll.ciqfunctions.udf.CIQ("XBI", "IQ_LASTSALEPRICE", WORKDAY(F821,1)))</f>
        <v>2.5195016545394338E-2</v>
      </c>
      <c r="Q821">
        <f>LN(_xll.ciqfunctions.udf.CIQ("XBI", "IQ_LASTSALEPRICE", WORKDAY(F821,-1))/_xll.ciqfunctions.udf.CIQ("XBI", "IQ_LASTSALEPRICE", WORKDAY(F821,5)))</f>
        <v>1.9699840848949574E-2</v>
      </c>
      <c r="R821">
        <f>_xll.ciqfunctions.udf.CIQ(A821, "IQ_SHORT_INTEREST_PERCENT", F821)</f>
        <v>0</v>
      </c>
      <c r="S821">
        <f>_xll.ciqfunctions.udf.CIQ(A821, "IQ_BETA_1YR_RSQ", F821)</f>
        <v>0</v>
      </c>
      <c r="T821">
        <f>_xll.ciqfunctions.udf.CIQ(A821, "IQ_VALUE_TRADED", F821)</f>
        <v>171.29293000000001</v>
      </c>
    </row>
    <row r="822" spans="1:20" x14ac:dyDescent="0.3">
      <c r="A822" t="s">
        <v>2327</v>
      </c>
      <c r="B822" s="2">
        <v>2.92</v>
      </c>
      <c r="C822" t="s">
        <v>2331</v>
      </c>
      <c r="D822" t="s">
        <v>2332</v>
      </c>
      <c r="E822" t="s">
        <v>76</v>
      </c>
      <c r="F822" s="1">
        <v>45399</v>
      </c>
      <c r="G822" t="s">
        <v>2333</v>
      </c>
      <c r="H822">
        <v>46</v>
      </c>
      <c r="I822" t="str">
        <f>_xll.ciqfunctions.udf.CIQ(A822, "IQ_MARKETCAP", F822)</f>
        <v>(Invalid Identifier)</v>
      </c>
      <c r="J822" t="str">
        <f>_xll.ciqfunctions.udf.CIQ(A822, "IQ_PRICE_VOL_HIST_6MTH", F822)</f>
        <v>(Invalid Identifier)</v>
      </c>
      <c r="K822" t="str">
        <f>_xll.ciqfunctions.udf.CIQ(A822, "IQ_LASTSALEPRICE", WORKDAY(F822,-1))</f>
        <v>(Invalid Identifier)</v>
      </c>
      <c r="L822" t="str">
        <f>_xll.ciqfunctions.udf.CIQ(A822, "IQ_LASTSALEPRICE", F822)</f>
        <v>(Invalid Identifier)</v>
      </c>
      <c r="M822" t="str">
        <f>_xll.ciqfunctions.udf.CIQ(A822, "IQ_LASTSALEPRICE", WORKDAY(F822,5))</f>
        <v>(Invalid Identifier)</v>
      </c>
      <c r="N822" t="e">
        <f t="shared" si="24"/>
        <v>#VALUE!</v>
      </c>
      <c r="O822" t="e">
        <f t="shared" si="25"/>
        <v>#VALUE!</v>
      </c>
      <c r="P822">
        <f>LN(_xll.ciqfunctions.udf.CIQ("XBI", "IQ_LASTSALEPRICE", WORKDAY(F822,-1))/_xll.ciqfunctions.udf.CIQ("XBI", "IQ_LASTSALEPRICE", WORKDAY(F822,1)))</f>
        <v>2.5195016545394338E-2</v>
      </c>
      <c r="Q822">
        <f>LN(_xll.ciqfunctions.udf.CIQ("XBI", "IQ_LASTSALEPRICE", WORKDAY(F822,-1))/_xll.ciqfunctions.udf.CIQ("XBI", "IQ_LASTSALEPRICE", WORKDAY(F822,5)))</f>
        <v>1.9699840848949574E-2</v>
      </c>
      <c r="R822" t="str">
        <f>_xll.ciqfunctions.udf.CIQ(A822, "IQ_SHORT_INTEREST_PERCENT", F822)</f>
        <v>(Invalid Identifier)</v>
      </c>
      <c r="S822" t="str">
        <f>_xll.ciqfunctions.udf.CIQ(A822, "IQ_BETA_1YR_RSQ", F822)</f>
        <v>(Invalid Identifier)</v>
      </c>
      <c r="T822" t="str">
        <f>_xll.ciqfunctions.udf.CIQ(A822, "IQ_VALUE_TRADED", F822)</f>
        <v>(Invalid Identifier)</v>
      </c>
    </row>
    <row r="823" spans="1:20" x14ac:dyDescent="0.3">
      <c r="A823" t="s">
        <v>542</v>
      </c>
      <c r="B823" t="s">
        <v>43</v>
      </c>
      <c r="C823" t="s">
        <v>2331</v>
      </c>
      <c r="D823" t="s">
        <v>2332</v>
      </c>
      <c r="E823" t="s">
        <v>76</v>
      </c>
      <c r="F823" s="1">
        <v>45399</v>
      </c>
      <c r="G823" t="s">
        <v>2333</v>
      </c>
      <c r="I823">
        <f>_xll.ciqfunctions.udf.CIQ(A823, "IQ_MARKETCAP", F823)</f>
        <v>107608.28436000001</v>
      </c>
      <c r="J823">
        <f>_xll.ciqfunctions.udf.CIQ(A823, "IQ_PRICE_VOL_HIST_6MTH", F823)</f>
        <v>34.960599999999999</v>
      </c>
      <c r="K823">
        <f>_xll.ciqfunctions.udf.CIQ(A823, "IQ_LASTSALEPRICE", WORKDAY(F823,-1))</f>
        <v>45.8</v>
      </c>
      <c r="L823">
        <f>_xll.ciqfunctions.udf.CIQ(A823, "IQ_LASTSALEPRICE", F823)</f>
        <v>46.11</v>
      </c>
      <c r="M823">
        <f>_xll.ciqfunctions.udf.CIQ(A823, "IQ_LASTSALEPRICE", WORKDAY(F823,5))</f>
        <v>46.61</v>
      </c>
      <c r="N823">
        <f t="shared" si="24"/>
        <v>6.7457550984748879E-3</v>
      </c>
      <c r="O823">
        <f t="shared" si="25"/>
        <v>1.7531019264510252E-2</v>
      </c>
      <c r="P823">
        <f>LN(_xll.ciqfunctions.udf.CIQ("XBI", "IQ_LASTSALEPRICE", WORKDAY(F823,-1))/_xll.ciqfunctions.udf.CIQ("XBI", "IQ_LASTSALEPRICE", WORKDAY(F823,1)))</f>
        <v>2.5195016545394338E-2</v>
      </c>
      <c r="Q823">
        <f>LN(_xll.ciqfunctions.udf.CIQ("XBI", "IQ_LASTSALEPRICE", WORKDAY(F823,-1))/_xll.ciqfunctions.udf.CIQ("XBI", "IQ_LASTSALEPRICE", WORKDAY(F823,5)))</f>
        <v>1.9699840848949574E-2</v>
      </c>
      <c r="R823">
        <f>_xll.ciqfunctions.udf.CIQ(A823, "IQ_SHORT_INTEREST_PERCENT", F823)</f>
        <v>0</v>
      </c>
      <c r="S823">
        <f>_xll.ciqfunctions.udf.CIQ(A823, "IQ_BETA_1YR_RSQ", F823)</f>
        <v>0</v>
      </c>
      <c r="T823">
        <f>_xll.ciqfunctions.udf.CIQ(A823, "IQ_VALUE_TRADED", F823)</f>
        <v>171.29293000000001</v>
      </c>
    </row>
    <row r="824" spans="1:20" x14ac:dyDescent="0.3">
      <c r="A824" t="s">
        <v>2334</v>
      </c>
      <c r="B824" s="2">
        <v>2.6</v>
      </c>
      <c r="C824" t="s">
        <v>2335</v>
      </c>
      <c r="D824" t="s">
        <v>2336</v>
      </c>
      <c r="E824" t="s">
        <v>27</v>
      </c>
      <c r="F824" s="1">
        <v>45399</v>
      </c>
      <c r="G824" t="s">
        <v>2337</v>
      </c>
      <c r="H824">
        <v>51</v>
      </c>
      <c r="I824">
        <f>_xll.ciqfunctions.udf.CIQ(A824, "IQ_MARKETCAP", F824)</f>
        <v>98.690799999999996</v>
      </c>
      <c r="J824">
        <f>_xll.ciqfunctions.udf.CIQ(A824, "IQ_PRICE_VOL_HIST_6MTH", F824)</f>
        <v>60.072200000000002</v>
      </c>
      <c r="K824">
        <f>_xll.ciqfunctions.udf.CIQ(A824, "IQ_LASTSALEPRICE", WORKDAY(F824,-1))</f>
        <v>2.37</v>
      </c>
      <c r="L824">
        <f>_xll.ciqfunctions.udf.CIQ(A824, "IQ_LASTSALEPRICE", F824)</f>
        <v>2.6</v>
      </c>
      <c r="M824">
        <f>_xll.ciqfunctions.udf.CIQ(A824, "IQ_LASTSALEPRICE", WORKDAY(F824,5))</f>
        <v>2.4500000000000002</v>
      </c>
      <c r="N824">
        <f t="shared" si="24"/>
        <v>9.2621489880396479E-2</v>
      </c>
      <c r="O824">
        <f t="shared" si="25"/>
        <v>3.3198069409595833E-2</v>
      </c>
      <c r="P824">
        <f>LN(_xll.ciqfunctions.udf.CIQ("XBI", "IQ_LASTSALEPRICE", WORKDAY(F824,-1))/_xll.ciqfunctions.udf.CIQ("XBI", "IQ_LASTSALEPRICE", WORKDAY(F824,1)))</f>
        <v>2.5195016545394338E-2</v>
      </c>
      <c r="Q824">
        <f>LN(_xll.ciqfunctions.udf.CIQ("XBI", "IQ_LASTSALEPRICE", WORKDAY(F824,-1))/_xll.ciqfunctions.udf.CIQ("XBI", "IQ_LASTSALEPRICE", WORKDAY(F824,5)))</f>
        <v>1.9699840848949574E-2</v>
      </c>
      <c r="R824">
        <f>_xll.ciqfunctions.udf.CIQ(A824, "IQ_SHORT_INTEREST_PERCENT", F824)</f>
        <v>0.53261000000000003</v>
      </c>
      <c r="S824">
        <f>_xll.ciqfunctions.udf.CIQ(A824, "IQ_BETA_1YR_RSQ", F824)</f>
        <v>6.5710000000000005E-2</v>
      </c>
      <c r="T824">
        <f>_xll.ciqfunctions.udf.CIQ(A824, "IQ_VALUE_TRADED", F824)</f>
        <v>0.1061</v>
      </c>
    </row>
    <row r="825" spans="1:20" x14ac:dyDescent="0.3">
      <c r="A825" t="s">
        <v>2338</v>
      </c>
      <c r="B825" s="2">
        <v>29.22</v>
      </c>
      <c r="C825" t="s">
        <v>2339</v>
      </c>
      <c r="D825" t="s">
        <v>2340</v>
      </c>
      <c r="E825" t="s">
        <v>17</v>
      </c>
      <c r="F825" s="1">
        <v>45399</v>
      </c>
      <c r="G825" t="s">
        <v>2341</v>
      </c>
      <c r="H825">
        <v>65</v>
      </c>
      <c r="I825">
        <f>_xll.ciqfunctions.udf.CIQ(A825, "IQ_MARKETCAP", F825)</f>
        <v>1804.2618</v>
      </c>
      <c r="J825">
        <f>_xll.ciqfunctions.udf.CIQ(A825, "IQ_PRICE_VOL_HIST_6MTH", F825)</f>
        <v>27.133900000000001</v>
      </c>
      <c r="K825">
        <f>_xll.ciqfunctions.udf.CIQ(A825, "IQ_LASTSALEPRICE", WORKDAY(F825,-1))</f>
        <v>27.7</v>
      </c>
      <c r="L825">
        <f>_xll.ciqfunctions.udf.CIQ(A825, "IQ_LASTSALEPRICE", F825)</f>
        <v>27.38</v>
      </c>
      <c r="M825">
        <f>_xll.ciqfunctions.udf.CIQ(A825, "IQ_LASTSALEPRICE", WORKDAY(F825,5))</f>
        <v>27.12</v>
      </c>
      <c r="N825">
        <f t="shared" si="24"/>
        <v>-1.1619593332990039E-2</v>
      </c>
      <c r="O825">
        <f t="shared" si="25"/>
        <v>-2.1160950121097959E-2</v>
      </c>
      <c r="P825">
        <f>LN(_xll.ciqfunctions.udf.CIQ("XBI", "IQ_LASTSALEPRICE", WORKDAY(F825,-1))/_xll.ciqfunctions.udf.CIQ("XBI", "IQ_LASTSALEPRICE", WORKDAY(F825,1)))</f>
        <v>2.5195016545394338E-2</v>
      </c>
      <c r="Q825">
        <f>LN(_xll.ciqfunctions.udf.CIQ("XBI", "IQ_LASTSALEPRICE", WORKDAY(F825,-1))/_xll.ciqfunctions.udf.CIQ("XBI", "IQ_LASTSALEPRICE", WORKDAY(F825,5)))</f>
        <v>1.9699840848949574E-2</v>
      </c>
      <c r="R825">
        <f>_xll.ciqfunctions.udf.CIQ(A825, "IQ_SHORT_INTEREST_PERCENT", F825)</f>
        <v>0</v>
      </c>
      <c r="S825">
        <f>_xll.ciqfunctions.udf.CIQ(A825, "IQ_BETA_1YR_RSQ", F825)</f>
        <v>3.3439999999999998E-2</v>
      </c>
      <c r="T825">
        <f>_xll.ciqfunctions.udf.CIQ(A825, "IQ_VALUE_TRADED", F825)</f>
        <v>2.8627400000000001</v>
      </c>
    </row>
    <row r="826" spans="1:20" x14ac:dyDescent="0.3">
      <c r="A826" t="s">
        <v>64</v>
      </c>
      <c r="B826" s="2">
        <v>2.11</v>
      </c>
      <c r="C826" t="s">
        <v>2342</v>
      </c>
      <c r="D826" t="s">
        <v>2343</v>
      </c>
      <c r="E826" t="s">
        <v>89</v>
      </c>
      <c r="F826" s="1">
        <v>45399</v>
      </c>
      <c r="G826" t="s">
        <v>2344</v>
      </c>
      <c r="H826">
        <v>3</v>
      </c>
      <c r="I826">
        <f>_xll.ciqfunctions.udf.CIQ(A826, "IQ_MARKETCAP", F826)</f>
        <v>80.869230000000002</v>
      </c>
      <c r="J826">
        <f>_xll.ciqfunctions.udf.CIQ(A826, "IQ_PRICE_VOL_HIST_6MTH", F826)</f>
        <v>93.05</v>
      </c>
      <c r="K826">
        <f>_xll.ciqfunctions.udf.CIQ(A826, "IQ_LASTSALEPRICE", WORKDAY(F826,-1))</f>
        <v>21.1</v>
      </c>
      <c r="L826">
        <f>_xll.ciqfunctions.udf.CIQ(A826, "IQ_LASTSALEPRICE", F826)</f>
        <v>21.1</v>
      </c>
      <c r="M826">
        <f>_xll.ciqfunctions.udf.CIQ(A826, "IQ_LASTSALEPRICE", WORKDAY(F826,5))</f>
        <v>20.100000000000001</v>
      </c>
      <c r="N826">
        <f t="shared" si="24"/>
        <v>0</v>
      </c>
      <c r="O826">
        <f t="shared" si="25"/>
        <v>-4.8553225416990795E-2</v>
      </c>
      <c r="P826">
        <f>LN(_xll.ciqfunctions.udf.CIQ("XBI", "IQ_LASTSALEPRICE", WORKDAY(F826,-1))/_xll.ciqfunctions.udf.CIQ("XBI", "IQ_LASTSALEPRICE", WORKDAY(F826,1)))</f>
        <v>2.5195016545394338E-2</v>
      </c>
      <c r="Q826">
        <f>LN(_xll.ciqfunctions.udf.CIQ("XBI", "IQ_LASTSALEPRICE", WORKDAY(F826,-1))/_xll.ciqfunctions.udf.CIQ("XBI", "IQ_LASTSALEPRICE", WORKDAY(F826,5)))</f>
        <v>1.9699840848949574E-2</v>
      </c>
      <c r="R826">
        <f>_xll.ciqfunctions.udf.CIQ(A826, "IQ_SHORT_INTEREST_PERCENT", F826)</f>
        <v>2.6337899999999999</v>
      </c>
      <c r="S826">
        <f>_xll.ciqfunctions.udf.CIQ(A826, "IQ_BETA_1YR_RSQ", F826)</f>
        <v>3.9410000000000001E-2</v>
      </c>
      <c r="T826">
        <f>_xll.ciqfunctions.udf.CIQ(A826, "IQ_VALUE_TRADED", F826)</f>
        <v>0.23530999999999999</v>
      </c>
    </row>
    <row r="827" spans="1:20" x14ac:dyDescent="0.3">
      <c r="A827" t="s">
        <v>2338</v>
      </c>
      <c r="B827" s="2">
        <v>29.22</v>
      </c>
      <c r="C827" t="s">
        <v>2345</v>
      </c>
      <c r="D827" t="s">
        <v>2346</v>
      </c>
      <c r="E827" t="s">
        <v>17</v>
      </c>
      <c r="F827" s="1">
        <v>45399</v>
      </c>
      <c r="G827" t="s">
        <v>2347</v>
      </c>
      <c r="H827">
        <v>65</v>
      </c>
      <c r="I827">
        <f>_xll.ciqfunctions.udf.CIQ(A827, "IQ_MARKETCAP", F827)</f>
        <v>1804.2618</v>
      </c>
      <c r="J827">
        <f>_xll.ciqfunctions.udf.CIQ(A827, "IQ_PRICE_VOL_HIST_6MTH", F827)</f>
        <v>27.133900000000001</v>
      </c>
      <c r="K827">
        <f>_xll.ciqfunctions.udf.CIQ(A827, "IQ_LASTSALEPRICE", WORKDAY(F827,-1))</f>
        <v>27.7</v>
      </c>
      <c r="L827">
        <f>_xll.ciqfunctions.udf.CIQ(A827, "IQ_LASTSALEPRICE", F827)</f>
        <v>27.38</v>
      </c>
      <c r="M827">
        <f>_xll.ciqfunctions.udf.CIQ(A827, "IQ_LASTSALEPRICE", WORKDAY(F827,5))</f>
        <v>27.12</v>
      </c>
      <c r="N827">
        <f t="shared" si="24"/>
        <v>-1.1619593332990039E-2</v>
      </c>
      <c r="O827">
        <f t="shared" si="25"/>
        <v>-2.1160950121097959E-2</v>
      </c>
      <c r="P827">
        <f>LN(_xll.ciqfunctions.udf.CIQ("XBI", "IQ_LASTSALEPRICE", WORKDAY(F827,-1))/_xll.ciqfunctions.udf.CIQ("XBI", "IQ_LASTSALEPRICE", WORKDAY(F827,1)))</f>
        <v>2.5195016545394338E-2</v>
      </c>
      <c r="Q827">
        <f>LN(_xll.ciqfunctions.udf.CIQ("XBI", "IQ_LASTSALEPRICE", WORKDAY(F827,-1))/_xll.ciqfunctions.udf.CIQ("XBI", "IQ_LASTSALEPRICE", WORKDAY(F827,5)))</f>
        <v>1.9699840848949574E-2</v>
      </c>
      <c r="R827">
        <f>_xll.ciqfunctions.udf.CIQ(A827, "IQ_SHORT_INTEREST_PERCENT", F827)</f>
        <v>0</v>
      </c>
      <c r="S827">
        <f>_xll.ciqfunctions.udf.CIQ(A827, "IQ_BETA_1YR_RSQ", F827)</f>
        <v>3.3439999999999998E-2</v>
      </c>
      <c r="T827">
        <f>_xll.ciqfunctions.udf.CIQ(A827, "IQ_VALUE_TRADED", F827)</f>
        <v>2.8627400000000001</v>
      </c>
    </row>
    <row r="828" spans="1:20" x14ac:dyDescent="0.3">
      <c r="A828" t="s">
        <v>208</v>
      </c>
      <c r="B828" s="2">
        <v>163.15</v>
      </c>
      <c r="C828" t="s">
        <v>2348</v>
      </c>
      <c r="D828" t="s">
        <v>2349</v>
      </c>
      <c r="E828" t="s">
        <v>36</v>
      </c>
      <c r="F828" s="1">
        <v>45400</v>
      </c>
      <c r="G828" t="s">
        <v>2350</v>
      </c>
      <c r="I828">
        <f>_xll.ciqfunctions.udf.CIQ(A828, "IQ_MARKETCAP", F828)</f>
        <v>291554.73222000001</v>
      </c>
      <c r="J828">
        <f>_xll.ciqfunctions.udf.CIQ(A828, "IQ_PRICE_VOL_HIST_6MTH", F828)</f>
        <v>18.6511</v>
      </c>
      <c r="K828">
        <f>_xll.ciqfunctions.udf.CIQ(A828, "IQ_LASTSALEPRICE", WORKDAY(F828,-1))</f>
        <v>164.25</v>
      </c>
      <c r="L828">
        <f>_xll.ciqfunctions.udf.CIQ(A828, "IQ_LASTSALEPRICE", F828)</f>
        <v>164.66</v>
      </c>
      <c r="M828">
        <f>_xll.ciqfunctions.udf.CIQ(A828, "IQ_LASTSALEPRICE", WORKDAY(F828,5))</f>
        <v>167.29</v>
      </c>
      <c r="N828">
        <f t="shared" si="24"/>
        <v>2.4930845055601185E-3</v>
      </c>
      <c r="O828">
        <f t="shared" si="25"/>
        <v>1.833917597846953E-2</v>
      </c>
      <c r="P828">
        <f>LN(_xll.ciqfunctions.udf.CIQ("XBI", "IQ_LASTSALEPRICE", WORKDAY(F828,-1))/_xll.ciqfunctions.udf.CIQ("XBI", "IQ_LASTSALEPRICE", WORKDAY(F828,1)))</f>
        <v>2.1734793968971551E-2</v>
      </c>
      <c r="Q828">
        <f>LN(_xll.ciqfunctions.udf.CIQ("XBI", "IQ_LASTSALEPRICE", WORKDAY(F828,-1))/_xll.ciqfunctions.udf.CIQ("XBI", "IQ_LASTSALEPRICE", WORKDAY(F828,5)))</f>
        <v>2.9126527109412093E-2</v>
      </c>
      <c r="R828">
        <f>_xll.ciqfunctions.udf.CIQ(A828, "IQ_SHORT_INTEREST_PERCENT", F828)</f>
        <v>0.74102000000000001</v>
      </c>
      <c r="S828">
        <f>_xll.ciqfunctions.udf.CIQ(A828, "IQ_BETA_1YR_RSQ", F828)</f>
        <v>7.3719999999999994E-2</v>
      </c>
      <c r="T828">
        <f>_xll.ciqfunctions.udf.CIQ(A828, "IQ_VALUE_TRADED", F828)</f>
        <v>737.71367999999995</v>
      </c>
    </row>
    <row r="829" spans="1:20" x14ac:dyDescent="0.3">
      <c r="A829" t="s">
        <v>867</v>
      </c>
      <c r="B829" s="2">
        <v>5.86</v>
      </c>
      <c r="C829" t="s">
        <v>2351</v>
      </c>
      <c r="D829" t="s">
        <v>2352</v>
      </c>
      <c r="E829" t="s">
        <v>22</v>
      </c>
      <c r="F829" s="1">
        <v>45400</v>
      </c>
      <c r="G829" t="s">
        <v>2353</v>
      </c>
      <c r="H829">
        <v>174</v>
      </c>
      <c r="I829">
        <f>_xll.ciqfunctions.udf.CIQ(A829, "IQ_MARKETCAP", F829)</f>
        <v>870.95678999999996</v>
      </c>
      <c r="J829">
        <f>_xll.ciqfunctions.udf.CIQ(A829, "IQ_PRICE_VOL_HIST_6MTH", F829)</f>
        <v>102.3882</v>
      </c>
      <c r="K829">
        <f>_xll.ciqfunctions.udf.CIQ(A829, "IQ_LASTSALEPRICE", WORKDAY(F829,-1))</f>
        <v>7.58</v>
      </c>
      <c r="L829">
        <f>_xll.ciqfunctions.udf.CIQ(A829, "IQ_LASTSALEPRICE", F829)</f>
        <v>5.86</v>
      </c>
      <c r="M829">
        <f>_xll.ciqfunctions.udf.CIQ(A829, "IQ_LASTSALEPRICE", WORKDAY(F829,5))</f>
        <v>4.2</v>
      </c>
      <c r="N829">
        <f t="shared" si="24"/>
        <v>-0.25736359606535902</v>
      </c>
      <c r="O829">
        <f t="shared" si="25"/>
        <v>-0.59042867436495761</v>
      </c>
      <c r="P829">
        <f>LN(_xll.ciqfunctions.udf.CIQ("XBI", "IQ_LASTSALEPRICE", WORKDAY(F829,-1))/_xll.ciqfunctions.udf.CIQ("XBI", "IQ_LASTSALEPRICE", WORKDAY(F829,1)))</f>
        <v>2.1734793968971551E-2</v>
      </c>
      <c r="Q829">
        <f>LN(_xll.ciqfunctions.udf.CIQ("XBI", "IQ_LASTSALEPRICE", WORKDAY(F829,-1))/_xll.ciqfunctions.udf.CIQ("XBI", "IQ_LASTSALEPRICE", WORKDAY(F829,5)))</f>
        <v>2.9126527109412093E-2</v>
      </c>
      <c r="R829">
        <f>_xll.ciqfunctions.udf.CIQ(A829, "IQ_SHORT_INTEREST_PERCENT", F829)</f>
        <v>7.9449100000000001</v>
      </c>
      <c r="S829">
        <f>_xll.ciqfunctions.udf.CIQ(A829, "IQ_BETA_1YR_RSQ", F829)</f>
        <v>4.768E-2</v>
      </c>
      <c r="T829">
        <f>_xll.ciqfunctions.udf.CIQ(A829, "IQ_VALUE_TRADED", F829)</f>
        <v>35.59393</v>
      </c>
    </row>
    <row r="830" spans="1:20" x14ac:dyDescent="0.3">
      <c r="A830" t="s">
        <v>320</v>
      </c>
      <c r="B830" s="2">
        <v>4.2</v>
      </c>
      <c r="C830" t="s">
        <v>321</v>
      </c>
      <c r="D830" t="s">
        <v>1680</v>
      </c>
      <c r="E830" t="s">
        <v>46</v>
      </c>
      <c r="F830" s="1">
        <v>45400</v>
      </c>
      <c r="G830" t="s">
        <v>2354</v>
      </c>
      <c r="H830">
        <v>8</v>
      </c>
      <c r="I830">
        <f>_xll.ciqfunctions.udf.CIQ(A830, "IQ_MARKETCAP", F830)</f>
        <v>3.16594</v>
      </c>
      <c r="J830">
        <f>_xll.ciqfunctions.udf.CIQ(A830, "IQ_PRICE_VOL_HIST_6MTH", F830)</f>
        <v>116.8904</v>
      </c>
      <c r="K830">
        <f>_xll.ciqfunctions.udf.CIQ(A830, "IQ_LASTSALEPRICE", WORKDAY(F830,-1))</f>
        <v>3.24</v>
      </c>
      <c r="L830">
        <f>_xll.ciqfunctions.udf.CIQ(A830, "IQ_LASTSALEPRICE", F830)</f>
        <v>4.2</v>
      </c>
      <c r="M830">
        <f>_xll.ciqfunctions.udf.CIQ(A830, "IQ_LASTSALEPRICE", WORKDAY(F830,5))</f>
        <v>2.6349999999999998</v>
      </c>
      <c r="N830">
        <f t="shared" si="24"/>
        <v>0.25951119548508461</v>
      </c>
      <c r="O830">
        <f t="shared" si="25"/>
        <v>-0.20669014781091258</v>
      </c>
      <c r="P830">
        <f>LN(_xll.ciqfunctions.udf.CIQ("XBI", "IQ_LASTSALEPRICE", WORKDAY(F830,-1))/_xll.ciqfunctions.udf.CIQ("XBI", "IQ_LASTSALEPRICE", WORKDAY(F830,1)))</f>
        <v>2.1734793968971551E-2</v>
      </c>
      <c r="Q830">
        <f>LN(_xll.ciqfunctions.udf.CIQ("XBI", "IQ_LASTSALEPRICE", WORKDAY(F830,-1))/_xll.ciqfunctions.udf.CIQ("XBI", "IQ_LASTSALEPRICE", WORKDAY(F830,5)))</f>
        <v>2.9126527109412093E-2</v>
      </c>
      <c r="R830">
        <f>_xll.ciqfunctions.udf.CIQ(A830, "IQ_SHORT_INTEREST_PERCENT", F830)</f>
        <v>8.9422200000000007</v>
      </c>
      <c r="S830">
        <f>_xll.ciqfunctions.udf.CIQ(A830, "IQ_BETA_1YR_RSQ", F830)</f>
        <v>2.65E-3</v>
      </c>
      <c r="T830">
        <f>_xll.ciqfunctions.udf.CIQ(A830, "IQ_VALUE_TRADED", F830)</f>
        <v>350.85696000000002</v>
      </c>
    </row>
    <row r="831" spans="1:20" x14ac:dyDescent="0.3">
      <c r="A831" t="s">
        <v>2355</v>
      </c>
      <c r="B831" s="2">
        <v>6.82</v>
      </c>
      <c r="C831" t="s">
        <v>2356</v>
      </c>
      <c r="D831" t="s">
        <v>2357</v>
      </c>
      <c r="E831" t="s">
        <v>17</v>
      </c>
      <c r="F831" s="1">
        <v>45400</v>
      </c>
      <c r="G831" t="s">
        <v>2358</v>
      </c>
      <c r="H831">
        <v>26</v>
      </c>
      <c r="I831">
        <f>_xll.ciqfunctions.udf.CIQ(A831, "IQ_MARKETCAP", F831)</f>
        <v>17.680399999999999</v>
      </c>
      <c r="J831">
        <f>_xll.ciqfunctions.udf.CIQ(A831, "IQ_PRICE_VOL_HIST_6MTH", F831)</f>
        <v>98.188699999999997</v>
      </c>
      <c r="K831">
        <f>_xll.ciqfunctions.udf.CIQ(A831, "IQ_LASTSALEPRICE", WORKDAY(F831,-1))</f>
        <v>4.8</v>
      </c>
      <c r="L831">
        <f>_xll.ciqfunctions.udf.CIQ(A831, "IQ_LASTSALEPRICE", F831)</f>
        <v>6.82</v>
      </c>
      <c r="M831">
        <f>_xll.ciqfunctions.udf.CIQ(A831, "IQ_LASTSALEPRICE", WORKDAY(F831,5))</f>
        <v>6.94</v>
      </c>
      <c r="N831">
        <f t="shared" si="24"/>
        <v>0.35124355394152551</v>
      </c>
      <c r="O831">
        <f t="shared" si="25"/>
        <v>0.36868585660486802</v>
      </c>
      <c r="P831">
        <f>LN(_xll.ciqfunctions.udf.CIQ("XBI", "IQ_LASTSALEPRICE", WORKDAY(F831,-1))/_xll.ciqfunctions.udf.CIQ("XBI", "IQ_LASTSALEPRICE", WORKDAY(F831,1)))</f>
        <v>2.1734793968971551E-2</v>
      </c>
      <c r="Q831">
        <f>LN(_xll.ciqfunctions.udf.CIQ("XBI", "IQ_LASTSALEPRICE", WORKDAY(F831,-1))/_xll.ciqfunctions.udf.CIQ("XBI", "IQ_LASTSALEPRICE", WORKDAY(F831,5)))</f>
        <v>2.9126527109412093E-2</v>
      </c>
      <c r="R831">
        <f>_xll.ciqfunctions.udf.CIQ(A831, "IQ_SHORT_INTEREST_PERCENT", F831)</f>
        <v>0.42285</v>
      </c>
      <c r="S831">
        <f>_xll.ciqfunctions.udf.CIQ(A831, "IQ_BETA_1YR_RSQ", F831)</f>
        <v>3.6290000000000003E-2</v>
      </c>
      <c r="T831">
        <f>_xll.ciqfunctions.udf.CIQ(A831, "IQ_VALUE_TRADED", F831)</f>
        <v>23.990929999999999</v>
      </c>
    </row>
    <row r="832" spans="1:20" x14ac:dyDescent="0.3">
      <c r="A832" t="s">
        <v>410</v>
      </c>
      <c r="B832" s="2">
        <v>0.49</v>
      </c>
      <c r="C832" t="s">
        <v>2359</v>
      </c>
      <c r="D832" t="s">
        <v>1410</v>
      </c>
      <c r="E832" t="s">
        <v>22</v>
      </c>
      <c r="F832" s="1">
        <v>45400</v>
      </c>
      <c r="G832" t="s">
        <v>2360</v>
      </c>
      <c r="H832">
        <v>4</v>
      </c>
      <c r="I832">
        <f>_xll.ciqfunctions.udf.CIQ(A832, "IQ_MARKETCAP", F832)</f>
        <v>2.3764500000000002</v>
      </c>
      <c r="J832">
        <f>_xll.ciqfunctions.udf.CIQ(A832, "IQ_PRICE_VOL_HIST_6MTH", F832)</f>
        <v>269.4529</v>
      </c>
      <c r="K832">
        <f>_xll.ciqfunctions.udf.CIQ(A832, "IQ_LASTSALEPRICE", WORKDAY(F832,-1))</f>
        <v>0.51600000000000001</v>
      </c>
      <c r="L832">
        <f>_xll.ciqfunctions.udf.CIQ(A832, "IQ_LASTSALEPRICE", F832)</f>
        <v>0.48949999999999999</v>
      </c>
      <c r="M832">
        <f>_xll.ciqfunctions.udf.CIQ(A832, "IQ_LASTSALEPRICE", WORKDAY(F832,5))</f>
        <v>0.44</v>
      </c>
      <c r="N832">
        <f t="shared" si="24"/>
        <v>-5.2722303510997756E-2</v>
      </c>
      <c r="O832">
        <f t="shared" si="25"/>
        <v>-0.15933203856925593</v>
      </c>
      <c r="P832">
        <f>LN(_xll.ciqfunctions.udf.CIQ("XBI", "IQ_LASTSALEPRICE", WORKDAY(F832,-1))/_xll.ciqfunctions.udf.CIQ("XBI", "IQ_LASTSALEPRICE", WORKDAY(F832,1)))</f>
        <v>2.1734793968971551E-2</v>
      </c>
      <c r="Q832">
        <f>LN(_xll.ciqfunctions.udf.CIQ("XBI", "IQ_LASTSALEPRICE", WORKDAY(F832,-1))/_xll.ciqfunctions.udf.CIQ("XBI", "IQ_LASTSALEPRICE", WORKDAY(F832,5)))</f>
        <v>2.9126527109412093E-2</v>
      </c>
      <c r="R832">
        <f>_xll.ciqfunctions.udf.CIQ(A832, "IQ_SHORT_INTEREST_PERCENT", F832)</f>
        <v>0.28641</v>
      </c>
      <c r="S832">
        <f>_xll.ciqfunctions.udf.CIQ(A832, "IQ_BETA_1YR_RSQ", F832)</f>
        <v>3.1E-4</v>
      </c>
      <c r="T832">
        <f>_xll.ciqfunctions.udf.CIQ(A832, "IQ_VALUE_TRADED", F832)</f>
        <v>3.245E-2</v>
      </c>
    </row>
    <row r="833" spans="1:20" x14ac:dyDescent="0.3">
      <c r="A833" t="s">
        <v>1025</v>
      </c>
      <c r="B833" s="2">
        <v>6.67</v>
      </c>
      <c r="C833" t="s">
        <v>1026</v>
      </c>
      <c r="D833" t="s">
        <v>594</v>
      </c>
      <c r="E833" t="s">
        <v>36</v>
      </c>
      <c r="F833" s="1">
        <v>45400</v>
      </c>
      <c r="G833" t="s">
        <v>2361</v>
      </c>
      <c r="H833">
        <v>31</v>
      </c>
      <c r="I833">
        <f>_xll.ciqfunctions.udf.CIQ(A833, "IQ_MARKETCAP", F833)</f>
        <v>196.07406</v>
      </c>
      <c r="J833">
        <f>_xll.ciqfunctions.udf.CIQ(A833, "IQ_PRICE_VOL_HIST_6MTH", F833)</f>
        <v>89.076599999999999</v>
      </c>
      <c r="K833">
        <f>_xll.ciqfunctions.udf.CIQ(A833, "IQ_LASTSALEPRICE", WORKDAY(F833,-1))</f>
        <v>7.25</v>
      </c>
      <c r="L833">
        <f>_xll.ciqfunctions.udf.CIQ(A833, "IQ_LASTSALEPRICE", F833)</f>
        <v>6.67</v>
      </c>
      <c r="M833">
        <f>_xll.ciqfunctions.udf.CIQ(A833, "IQ_LASTSALEPRICE", WORKDAY(F833,5))</f>
        <v>6.56</v>
      </c>
      <c r="N833">
        <f t="shared" si="24"/>
        <v>-8.3381608939051013E-2</v>
      </c>
      <c r="O833">
        <f t="shared" si="25"/>
        <v>-0.10001086591058578</v>
      </c>
      <c r="P833">
        <f>LN(_xll.ciqfunctions.udf.CIQ("XBI", "IQ_LASTSALEPRICE", WORKDAY(F833,-1))/_xll.ciqfunctions.udf.CIQ("XBI", "IQ_LASTSALEPRICE", WORKDAY(F833,1)))</f>
        <v>2.1734793968971551E-2</v>
      </c>
      <c r="Q833">
        <f>LN(_xll.ciqfunctions.udf.CIQ("XBI", "IQ_LASTSALEPRICE", WORKDAY(F833,-1))/_xll.ciqfunctions.udf.CIQ("XBI", "IQ_LASTSALEPRICE", WORKDAY(F833,5)))</f>
        <v>2.9126527109412093E-2</v>
      </c>
      <c r="R833">
        <f>_xll.ciqfunctions.udf.CIQ(A833, "IQ_SHORT_INTEREST_PERCENT", F833)</f>
        <v>7.4387699999999999</v>
      </c>
      <c r="S833">
        <f>_xll.ciqfunctions.udf.CIQ(A833, "IQ_BETA_1YR_RSQ", F833)</f>
        <v>1.17E-2</v>
      </c>
      <c r="T833">
        <f>_xll.ciqfunctions.udf.CIQ(A833, "IQ_VALUE_TRADED", F833)</f>
        <v>2.80721</v>
      </c>
    </row>
    <row r="834" spans="1:20" x14ac:dyDescent="0.3">
      <c r="A834" t="s">
        <v>1145</v>
      </c>
      <c r="B834" s="2">
        <v>1.1299999999999999</v>
      </c>
      <c r="C834" t="s">
        <v>1146</v>
      </c>
      <c r="D834" t="s">
        <v>1147</v>
      </c>
      <c r="E834" t="s">
        <v>184</v>
      </c>
      <c r="F834" s="1">
        <v>45400</v>
      </c>
      <c r="G834" t="s">
        <v>2362</v>
      </c>
      <c r="H834">
        <v>2</v>
      </c>
      <c r="I834">
        <f>_xll.ciqfunctions.udf.CIQ(A834, "IQ_MARKETCAP", F834)</f>
        <v>10.57475</v>
      </c>
      <c r="J834">
        <f>_xll.ciqfunctions.udf.CIQ(A834, "IQ_PRICE_VOL_HIST_6MTH", F834)</f>
        <v>119.25109999999999</v>
      </c>
      <c r="K834">
        <f>_xll.ciqfunctions.udf.CIQ(A834, "IQ_LASTSALEPRICE", WORKDAY(F834,-1))</f>
        <v>14.86956</v>
      </c>
      <c r="L834">
        <f>_xll.ciqfunctions.udf.CIQ(A834, "IQ_LASTSALEPRICE", F834)</f>
        <v>14.673909999999999</v>
      </c>
      <c r="M834">
        <f>_xll.ciqfunctions.udf.CIQ(A834, "IQ_LASTSALEPRICE", WORKDAY(F834,5))</f>
        <v>18.782599999999999</v>
      </c>
      <c r="N834">
        <f t="shared" si="24"/>
        <v>-1.3245083280195019E-2</v>
      </c>
      <c r="O834">
        <f t="shared" si="25"/>
        <v>0.23361473909568947</v>
      </c>
      <c r="P834">
        <f>LN(_xll.ciqfunctions.udf.CIQ("XBI", "IQ_LASTSALEPRICE", WORKDAY(F834,-1))/_xll.ciqfunctions.udf.CIQ("XBI", "IQ_LASTSALEPRICE", WORKDAY(F834,1)))</f>
        <v>2.1734793968971551E-2</v>
      </c>
      <c r="Q834">
        <f>LN(_xll.ciqfunctions.udf.CIQ("XBI", "IQ_LASTSALEPRICE", WORKDAY(F834,-1))/_xll.ciqfunctions.udf.CIQ("XBI", "IQ_LASTSALEPRICE", WORKDAY(F834,5)))</f>
        <v>2.9126527109412093E-2</v>
      </c>
      <c r="R834">
        <f>_xll.ciqfunctions.udf.CIQ(A834, "IQ_SHORT_INTEREST_PERCENT", F834)</f>
        <v>4.7157</v>
      </c>
      <c r="S834">
        <f>_xll.ciqfunctions.udf.CIQ(A834, "IQ_BETA_1YR_RSQ", F834)</f>
        <v>7.2899999999999996E-3</v>
      </c>
      <c r="T834">
        <f>_xll.ciqfunctions.udf.CIQ(A834, "IQ_VALUE_TRADED", F834)</f>
        <v>0.23044999999999999</v>
      </c>
    </row>
    <row r="835" spans="1:20" x14ac:dyDescent="0.3">
      <c r="A835" t="s">
        <v>208</v>
      </c>
      <c r="B835" s="2">
        <v>163.15</v>
      </c>
      <c r="C835" t="s">
        <v>2363</v>
      </c>
      <c r="D835" t="s">
        <v>2364</v>
      </c>
      <c r="E835" t="s">
        <v>36</v>
      </c>
      <c r="F835" s="1">
        <v>45400</v>
      </c>
      <c r="G835" t="s">
        <v>2365</v>
      </c>
      <c r="I835">
        <f>_xll.ciqfunctions.udf.CIQ(A835, "IQ_MARKETCAP", F835)</f>
        <v>291554.73222000001</v>
      </c>
      <c r="J835">
        <f>_xll.ciqfunctions.udf.CIQ(A835, "IQ_PRICE_VOL_HIST_6MTH", F835)</f>
        <v>18.6511</v>
      </c>
      <c r="K835">
        <f>_xll.ciqfunctions.udf.CIQ(A835, "IQ_LASTSALEPRICE", WORKDAY(F835,-1))</f>
        <v>164.25</v>
      </c>
      <c r="L835">
        <f>_xll.ciqfunctions.udf.CIQ(A835, "IQ_LASTSALEPRICE", F835)</f>
        <v>164.66</v>
      </c>
      <c r="M835">
        <f>_xll.ciqfunctions.udf.CIQ(A835, "IQ_LASTSALEPRICE", WORKDAY(F835,5))</f>
        <v>167.29</v>
      </c>
      <c r="N835">
        <f t="shared" ref="N835:N898" si="26">LN(L835/K835)</f>
        <v>2.4930845055601185E-3</v>
      </c>
      <c r="O835">
        <f t="shared" ref="O835:O898" si="27">LN(M835/K835)</f>
        <v>1.833917597846953E-2</v>
      </c>
      <c r="P835">
        <f>LN(_xll.ciqfunctions.udf.CIQ("XBI", "IQ_LASTSALEPRICE", WORKDAY(F835,-1))/_xll.ciqfunctions.udf.CIQ("XBI", "IQ_LASTSALEPRICE", WORKDAY(F835,1)))</f>
        <v>2.1734793968971551E-2</v>
      </c>
      <c r="Q835">
        <f>LN(_xll.ciqfunctions.udf.CIQ("XBI", "IQ_LASTSALEPRICE", WORKDAY(F835,-1))/_xll.ciqfunctions.udf.CIQ("XBI", "IQ_LASTSALEPRICE", WORKDAY(F835,5)))</f>
        <v>2.9126527109412093E-2</v>
      </c>
      <c r="R835">
        <f>_xll.ciqfunctions.udf.CIQ(A835, "IQ_SHORT_INTEREST_PERCENT", F835)</f>
        <v>0.74102000000000001</v>
      </c>
      <c r="S835">
        <f>_xll.ciqfunctions.udf.CIQ(A835, "IQ_BETA_1YR_RSQ", F835)</f>
        <v>7.3719999999999994E-2</v>
      </c>
      <c r="T835">
        <f>_xll.ciqfunctions.udf.CIQ(A835, "IQ_VALUE_TRADED", F835)</f>
        <v>737.71367999999995</v>
      </c>
    </row>
    <row r="836" spans="1:20" x14ac:dyDescent="0.3">
      <c r="A836" t="s">
        <v>1004</v>
      </c>
      <c r="B836" s="2">
        <v>1.52</v>
      </c>
      <c r="C836" t="s">
        <v>1005</v>
      </c>
      <c r="D836" t="s">
        <v>758</v>
      </c>
      <c r="E836" t="s">
        <v>197</v>
      </c>
      <c r="F836" s="1">
        <v>45400</v>
      </c>
      <c r="G836" t="s">
        <v>2366</v>
      </c>
      <c r="H836">
        <v>23</v>
      </c>
      <c r="I836">
        <f>_xll.ciqfunctions.udf.CIQ(A836, "IQ_MARKETCAP", F836)</f>
        <v>26.347740000000002</v>
      </c>
      <c r="J836">
        <f>_xll.ciqfunctions.udf.CIQ(A836, "IQ_PRICE_VOL_HIST_6MTH", F836)</f>
        <v>138.37020000000001</v>
      </c>
      <c r="K836">
        <f>_xll.ciqfunctions.udf.CIQ(A836, "IQ_LASTSALEPRICE", WORKDAY(F836,-1))</f>
        <v>1.6</v>
      </c>
      <c r="L836">
        <f>_xll.ciqfunctions.udf.CIQ(A836, "IQ_LASTSALEPRICE", F836)</f>
        <v>1.52</v>
      </c>
      <c r="M836">
        <f>_xll.ciqfunctions.udf.CIQ(A836, "IQ_LASTSALEPRICE", WORKDAY(F836,5))</f>
        <v>1.26</v>
      </c>
      <c r="N836">
        <f t="shared" si="26"/>
        <v>-5.1293294387550578E-2</v>
      </c>
      <c r="O836">
        <f t="shared" si="27"/>
        <v>-0.23889190828234896</v>
      </c>
      <c r="P836">
        <f>LN(_xll.ciqfunctions.udf.CIQ("XBI", "IQ_LASTSALEPRICE", WORKDAY(F836,-1))/_xll.ciqfunctions.udf.CIQ("XBI", "IQ_LASTSALEPRICE", WORKDAY(F836,1)))</f>
        <v>2.1734793968971551E-2</v>
      </c>
      <c r="Q836">
        <f>LN(_xll.ciqfunctions.udf.CIQ("XBI", "IQ_LASTSALEPRICE", WORKDAY(F836,-1))/_xll.ciqfunctions.udf.CIQ("XBI", "IQ_LASTSALEPRICE", WORKDAY(F836,5)))</f>
        <v>2.9126527109412093E-2</v>
      </c>
      <c r="R836">
        <f>_xll.ciqfunctions.udf.CIQ(A836, "IQ_SHORT_INTEREST_PERCENT", F836)</f>
        <v>0.36758000000000002</v>
      </c>
      <c r="S836">
        <f>_xll.ciqfunctions.udf.CIQ(A836, "IQ_BETA_1YR_RSQ", F836)</f>
        <v>0.10793999999999999</v>
      </c>
      <c r="T836">
        <f>_xll.ciqfunctions.udf.CIQ(A836, "IQ_VALUE_TRADED", F836)</f>
        <v>0.40762999999999999</v>
      </c>
    </row>
    <row r="837" spans="1:20" x14ac:dyDescent="0.3">
      <c r="A837" t="s">
        <v>824</v>
      </c>
      <c r="B837" s="2">
        <v>0.17</v>
      </c>
      <c r="C837" t="s">
        <v>825</v>
      </c>
      <c r="D837" t="s">
        <v>826</v>
      </c>
      <c r="E837" t="s">
        <v>281</v>
      </c>
      <c r="F837" s="1">
        <v>45400</v>
      </c>
      <c r="G837" t="s">
        <v>2367</v>
      </c>
      <c r="H837">
        <v>91</v>
      </c>
      <c r="I837" t="str">
        <f>_xll.ciqfunctions.udf.CIQ(A837, "IQ_MARKETCAP", F837)</f>
        <v>(Invalid Identifier)</v>
      </c>
      <c r="J837" t="str">
        <f>_xll.ciqfunctions.udf.CIQ(A837, "IQ_PRICE_VOL_HIST_6MTH", F837)</f>
        <v>(Invalid Identifier)</v>
      </c>
      <c r="K837" t="str">
        <f>_xll.ciqfunctions.udf.CIQ(A837, "IQ_LASTSALEPRICE", WORKDAY(F837,-1))</f>
        <v>(Invalid Identifier)</v>
      </c>
      <c r="L837" t="str">
        <f>_xll.ciqfunctions.udf.CIQ(A837, "IQ_LASTSALEPRICE", F837)</f>
        <v>(Invalid Identifier)</v>
      </c>
      <c r="M837" t="str">
        <f>_xll.ciqfunctions.udf.CIQ(A837, "IQ_LASTSALEPRICE", WORKDAY(F837,5))</f>
        <v>(Invalid Identifier)</v>
      </c>
      <c r="N837" t="e">
        <f t="shared" si="26"/>
        <v>#VALUE!</v>
      </c>
      <c r="O837" t="e">
        <f t="shared" si="27"/>
        <v>#VALUE!</v>
      </c>
      <c r="P837">
        <f>LN(_xll.ciqfunctions.udf.CIQ("XBI", "IQ_LASTSALEPRICE", WORKDAY(F837,-1))/_xll.ciqfunctions.udf.CIQ("XBI", "IQ_LASTSALEPRICE", WORKDAY(F837,1)))</f>
        <v>2.1734793968971551E-2</v>
      </c>
      <c r="Q837">
        <f>LN(_xll.ciqfunctions.udf.CIQ("XBI", "IQ_LASTSALEPRICE", WORKDAY(F837,-1))/_xll.ciqfunctions.udf.CIQ("XBI", "IQ_LASTSALEPRICE", WORKDAY(F837,5)))</f>
        <v>2.9126527109412093E-2</v>
      </c>
      <c r="R837" t="str">
        <f>_xll.ciqfunctions.udf.CIQ(A837, "IQ_SHORT_INTEREST_PERCENT", F837)</f>
        <v>(Invalid Identifier)</v>
      </c>
      <c r="S837" t="str">
        <f>_xll.ciqfunctions.udf.CIQ(A837, "IQ_BETA_1YR_RSQ", F837)</f>
        <v>(Invalid Identifier)</v>
      </c>
      <c r="T837" t="str">
        <f>_xll.ciqfunctions.udf.CIQ(A837, "IQ_VALUE_TRADED", F837)</f>
        <v>(Invalid Identifier)</v>
      </c>
    </row>
    <row r="838" spans="1:20" x14ac:dyDescent="0.3">
      <c r="A838" t="s">
        <v>618</v>
      </c>
      <c r="B838" s="2">
        <v>30.05</v>
      </c>
      <c r="C838" t="s">
        <v>2368</v>
      </c>
      <c r="D838" t="s">
        <v>253</v>
      </c>
      <c r="E838" t="s">
        <v>160</v>
      </c>
      <c r="F838" s="1">
        <v>45400</v>
      </c>
      <c r="G838" t="s">
        <v>2369</v>
      </c>
      <c r="I838">
        <f>_xll.ciqfunctions.udf.CIQ(A838, "IQ_MARKETCAP", F838)</f>
        <v>177185.6367</v>
      </c>
      <c r="J838">
        <f>_xll.ciqfunctions.udf.CIQ(A838, "IQ_PRICE_VOL_HIST_6MTH", F838)</f>
        <v>0</v>
      </c>
      <c r="K838">
        <f>_xll.ciqfunctions.udf.CIQ(A838, "IQ_LASTSALEPRICE", WORKDAY(F838,-1))</f>
        <v>0</v>
      </c>
      <c r="L838">
        <f>_xll.ciqfunctions.udf.CIQ(A838, "IQ_LASTSALEPRICE", F838)</f>
        <v>0</v>
      </c>
      <c r="M838">
        <f>_xll.ciqfunctions.udf.CIQ(A838, "IQ_LASTSALEPRICE", WORKDAY(F838,5))</f>
        <v>0</v>
      </c>
      <c r="N838" t="e">
        <f t="shared" si="26"/>
        <v>#DIV/0!</v>
      </c>
      <c r="O838" t="e">
        <f t="shared" si="27"/>
        <v>#DIV/0!</v>
      </c>
      <c r="P838">
        <f>LN(_xll.ciqfunctions.udf.CIQ("XBI", "IQ_LASTSALEPRICE", WORKDAY(F838,-1))/_xll.ciqfunctions.udf.CIQ("XBI", "IQ_LASTSALEPRICE", WORKDAY(F838,1)))</f>
        <v>2.1734793968971551E-2</v>
      </c>
      <c r="Q838">
        <f>LN(_xll.ciqfunctions.udf.CIQ("XBI", "IQ_LASTSALEPRICE", WORKDAY(F838,-1))/_xll.ciqfunctions.udf.CIQ("XBI", "IQ_LASTSALEPRICE", WORKDAY(F838,5)))</f>
        <v>2.9126527109412093E-2</v>
      </c>
      <c r="R838">
        <f>_xll.ciqfunctions.udf.CIQ(A838, "IQ_SHORT_INTEREST_PERCENT", F838)</f>
        <v>0</v>
      </c>
      <c r="S838">
        <f>_xll.ciqfunctions.udf.CIQ(A838, "IQ_BETA_1YR_RSQ", F838)</f>
        <v>0</v>
      </c>
      <c r="T838">
        <f>_xll.ciqfunctions.udf.CIQ(A838, "IQ_VALUE_TRADED", F838)</f>
        <v>0</v>
      </c>
    </row>
    <row r="839" spans="1:20" x14ac:dyDescent="0.3">
      <c r="A839" t="s">
        <v>2370</v>
      </c>
      <c r="B839" s="2">
        <v>5.01</v>
      </c>
      <c r="C839" t="s">
        <v>2371</v>
      </c>
      <c r="D839" t="s">
        <v>2372</v>
      </c>
      <c r="E839" t="s">
        <v>22</v>
      </c>
      <c r="F839" s="1">
        <v>45400</v>
      </c>
      <c r="G839" t="s">
        <v>2373</v>
      </c>
      <c r="H839">
        <v>80</v>
      </c>
      <c r="I839">
        <f>_xll.ciqfunctions.udf.CIQ(A839, "IQ_MARKETCAP", F839)</f>
        <v>321.72800000000001</v>
      </c>
      <c r="J839">
        <f>_xll.ciqfunctions.udf.CIQ(A839, "IQ_PRICE_VOL_HIST_6MTH", F839)</f>
        <v>78.655299999999997</v>
      </c>
      <c r="K839">
        <f>_xll.ciqfunctions.udf.CIQ(A839, "IQ_LASTSALEPRICE", WORKDAY(F839,-1))</f>
        <v>5.25</v>
      </c>
      <c r="L839">
        <f>_xll.ciqfunctions.udf.CIQ(A839, "IQ_LASTSALEPRICE", F839)</f>
        <v>5.01</v>
      </c>
      <c r="M839">
        <f>_xll.ciqfunctions.udf.CIQ(A839, "IQ_LASTSALEPRICE", WORKDAY(F839,5))</f>
        <v>4.71</v>
      </c>
      <c r="N839">
        <f t="shared" si="26"/>
        <v>-4.6792161506758939E-2</v>
      </c>
      <c r="O839">
        <f t="shared" si="27"/>
        <v>-0.10854016857520601</v>
      </c>
      <c r="P839">
        <f>LN(_xll.ciqfunctions.udf.CIQ("XBI", "IQ_LASTSALEPRICE", WORKDAY(F839,-1))/_xll.ciqfunctions.udf.CIQ("XBI", "IQ_LASTSALEPRICE", WORKDAY(F839,1)))</f>
        <v>2.1734793968971551E-2</v>
      </c>
      <c r="Q839">
        <f>LN(_xll.ciqfunctions.udf.CIQ("XBI", "IQ_LASTSALEPRICE", WORKDAY(F839,-1))/_xll.ciqfunctions.udf.CIQ("XBI", "IQ_LASTSALEPRICE", WORKDAY(F839,5)))</f>
        <v>2.9126527109412093E-2</v>
      </c>
      <c r="R839">
        <f>_xll.ciqfunctions.udf.CIQ(A839, "IQ_SHORT_INTEREST_PERCENT", F839)</f>
        <v>1.7844899999999999</v>
      </c>
      <c r="S839">
        <f>_xll.ciqfunctions.udf.CIQ(A839, "IQ_BETA_1YR_RSQ", F839)</f>
        <v>0.15064</v>
      </c>
      <c r="T839">
        <f>_xll.ciqfunctions.udf.CIQ(A839, "IQ_VALUE_TRADED", F839)</f>
        <v>1.1785699999999999</v>
      </c>
    </row>
    <row r="840" spans="1:20" x14ac:dyDescent="0.3">
      <c r="A840" t="s">
        <v>2374</v>
      </c>
      <c r="B840" s="2">
        <v>2.71</v>
      </c>
      <c r="C840" t="s">
        <v>2375</v>
      </c>
      <c r="D840" t="s">
        <v>2376</v>
      </c>
      <c r="E840" t="s">
        <v>17</v>
      </c>
      <c r="F840" s="1">
        <v>45400</v>
      </c>
      <c r="G840" t="s">
        <v>2377</v>
      </c>
      <c r="H840">
        <v>40</v>
      </c>
      <c r="I840">
        <f>_xll.ciqfunctions.udf.CIQ(A840, "IQ_MARKETCAP", F840)</f>
        <v>105.47649</v>
      </c>
      <c r="J840">
        <f>_xll.ciqfunctions.udf.CIQ(A840, "IQ_PRICE_VOL_HIST_6MTH", F840)</f>
        <v>103.5361</v>
      </c>
      <c r="K840">
        <f>_xll.ciqfunctions.udf.CIQ(A840, "IQ_LASTSALEPRICE", WORKDAY(F840,-1))</f>
        <v>2.6</v>
      </c>
      <c r="L840">
        <f>_xll.ciqfunctions.udf.CIQ(A840, "IQ_LASTSALEPRICE", F840)</f>
        <v>2.71</v>
      </c>
      <c r="M840">
        <f>_xll.ciqfunctions.udf.CIQ(A840, "IQ_LASTSALEPRICE", WORKDAY(F840,5))</f>
        <v>2.4289000000000001</v>
      </c>
      <c r="N840">
        <f t="shared" si="26"/>
        <v>4.1437189864173024E-2</v>
      </c>
      <c r="O840">
        <f t="shared" si="27"/>
        <v>-6.8072965060310284E-2</v>
      </c>
      <c r="P840">
        <f>LN(_xll.ciqfunctions.udf.CIQ("XBI", "IQ_LASTSALEPRICE", WORKDAY(F840,-1))/_xll.ciqfunctions.udf.CIQ("XBI", "IQ_LASTSALEPRICE", WORKDAY(F840,1)))</f>
        <v>2.1734793968971551E-2</v>
      </c>
      <c r="Q840">
        <f>LN(_xll.ciqfunctions.udf.CIQ("XBI", "IQ_LASTSALEPRICE", WORKDAY(F840,-1))/_xll.ciqfunctions.udf.CIQ("XBI", "IQ_LASTSALEPRICE", WORKDAY(F840,5)))</f>
        <v>2.9126527109412093E-2</v>
      </c>
      <c r="R840">
        <f>_xll.ciqfunctions.udf.CIQ(A840, "IQ_SHORT_INTEREST_PERCENT", F840)</f>
        <v>2.6030000000000001E-2</v>
      </c>
      <c r="S840">
        <f>_xll.ciqfunctions.udf.CIQ(A840, "IQ_BETA_1YR_RSQ", F840)</f>
        <v>1.1E-4</v>
      </c>
      <c r="T840">
        <f>_xll.ciqfunctions.udf.CIQ(A840, "IQ_VALUE_TRADED", F840)</f>
        <v>2.5270000000000001E-2</v>
      </c>
    </row>
    <row r="841" spans="1:20" x14ac:dyDescent="0.3">
      <c r="A841" t="s">
        <v>2378</v>
      </c>
      <c r="B841" t="s">
        <v>43</v>
      </c>
      <c r="C841" t="s">
        <v>2375</v>
      </c>
      <c r="D841" t="s">
        <v>2376</v>
      </c>
      <c r="E841" t="s">
        <v>17</v>
      </c>
      <c r="F841" s="1">
        <v>45400</v>
      </c>
      <c r="G841" t="s">
        <v>2377</v>
      </c>
      <c r="I841">
        <f>_xll.ciqfunctions.udf.CIQ(A841, "IQ_MARKETCAP", F841)</f>
        <v>1.02</v>
      </c>
      <c r="J841">
        <f>_xll.ciqfunctions.udf.CIQ(A841, "IQ_PRICE_VOL_HIST_6MTH", F841)</f>
        <v>370.13670000000002</v>
      </c>
      <c r="K841">
        <f>_xll.ciqfunctions.udf.CIQ(A841, "IQ_LASTSALEPRICE", WORKDAY(F841,-1))</f>
        <v>0.03</v>
      </c>
      <c r="L841">
        <f>_xll.ciqfunctions.udf.CIQ(A841, "IQ_LASTSALEPRICE", F841)</f>
        <v>0.03</v>
      </c>
      <c r="M841">
        <f>_xll.ciqfunctions.udf.CIQ(A841, "IQ_LASTSALEPRICE", WORKDAY(F841,5))</f>
        <v>0.03</v>
      </c>
      <c r="N841">
        <f t="shared" si="26"/>
        <v>0</v>
      </c>
      <c r="O841">
        <f t="shared" si="27"/>
        <v>0</v>
      </c>
      <c r="P841">
        <f>LN(_xll.ciqfunctions.udf.CIQ("XBI", "IQ_LASTSALEPRICE", WORKDAY(F841,-1))/_xll.ciqfunctions.udf.CIQ("XBI", "IQ_LASTSALEPRICE", WORKDAY(F841,1)))</f>
        <v>2.1734793968971551E-2</v>
      </c>
      <c r="Q841">
        <f>LN(_xll.ciqfunctions.udf.CIQ("XBI", "IQ_LASTSALEPRICE", WORKDAY(F841,-1))/_xll.ciqfunctions.udf.CIQ("XBI", "IQ_LASTSALEPRICE", WORKDAY(F841,5)))</f>
        <v>2.9126527109412093E-2</v>
      </c>
      <c r="R841">
        <f>_xll.ciqfunctions.udf.CIQ(A841, "IQ_SHORT_INTEREST_PERCENT", F841)</f>
        <v>0</v>
      </c>
      <c r="S841" t="str">
        <f>_xll.ciqfunctions.udf.CIQ(A841, "IQ_BETA_1YR_RSQ", F841)</f>
        <v>NM</v>
      </c>
      <c r="T841">
        <f>_xll.ciqfunctions.udf.CIQ(A841, "IQ_VALUE_TRADED", F841)</f>
        <v>0</v>
      </c>
    </row>
    <row r="842" spans="1:20" x14ac:dyDescent="0.3">
      <c r="A842" t="s">
        <v>351</v>
      </c>
      <c r="B842" s="2">
        <v>13.16</v>
      </c>
      <c r="C842" t="s">
        <v>2379</v>
      </c>
      <c r="D842" t="s">
        <v>2380</v>
      </c>
      <c r="E842" t="s">
        <v>160</v>
      </c>
      <c r="F842" s="1">
        <v>45400</v>
      </c>
      <c r="G842" t="s">
        <v>2381</v>
      </c>
      <c r="I842">
        <f>_xll.ciqfunctions.udf.CIQ(A842, "IQ_MARKETCAP", F842)</f>
        <v>6415330.0356400004</v>
      </c>
      <c r="J842">
        <f>_xll.ciqfunctions.udf.CIQ(A842, "IQ_PRICE_VOL_HIST_6MTH", F842)</f>
        <v>19.1128</v>
      </c>
      <c r="K842">
        <f>_xll.ciqfunctions.udf.CIQ(A842, "IQ_LASTSALEPRICE", WORKDAY(F842,-1))</f>
        <v>13.15</v>
      </c>
      <c r="L842">
        <f>_xll.ciqfunctions.udf.CIQ(A842, "IQ_LASTSALEPRICE", F842)</f>
        <v>13.16</v>
      </c>
      <c r="M842">
        <f>_xll.ciqfunctions.udf.CIQ(A842, "IQ_LASTSALEPRICE", WORKDAY(F842,5))</f>
        <v>13.07</v>
      </c>
      <c r="N842">
        <f t="shared" si="26"/>
        <v>7.6016727339752496E-4</v>
      </c>
      <c r="O842">
        <f t="shared" si="27"/>
        <v>-6.1022309876429407E-3</v>
      </c>
      <c r="P842">
        <f>LN(_xll.ciqfunctions.udf.CIQ("XBI", "IQ_LASTSALEPRICE", WORKDAY(F842,-1))/_xll.ciqfunctions.udf.CIQ("XBI", "IQ_LASTSALEPRICE", WORKDAY(F842,1)))</f>
        <v>2.1734793968971551E-2</v>
      </c>
      <c r="Q842">
        <f>LN(_xll.ciqfunctions.udf.CIQ("XBI", "IQ_LASTSALEPRICE", WORKDAY(F842,-1))/_xll.ciqfunctions.udf.CIQ("XBI", "IQ_LASTSALEPRICE", WORKDAY(F842,5)))</f>
        <v>2.9126527109412093E-2</v>
      </c>
      <c r="R842">
        <f>_xll.ciqfunctions.udf.CIQ(A842, "IQ_SHORT_INTEREST_PERCENT", F842)</f>
        <v>0</v>
      </c>
      <c r="S842">
        <f>_xll.ciqfunctions.udf.CIQ(A842, "IQ_BETA_1YR_RSQ", F842)</f>
        <v>0</v>
      </c>
      <c r="T842">
        <f>_xll.ciqfunctions.udf.CIQ(A842, "IQ_VALUE_TRADED", F842)</f>
        <v>16.946719999999999</v>
      </c>
    </row>
    <row r="843" spans="1:20" x14ac:dyDescent="0.3">
      <c r="A843" t="s">
        <v>2382</v>
      </c>
      <c r="B843" s="2">
        <v>1.85</v>
      </c>
      <c r="C843" t="s">
        <v>2383</v>
      </c>
      <c r="D843" t="s">
        <v>2384</v>
      </c>
      <c r="E843" t="s">
        <v>22</v>
      </c>
      <c r="F843" s="1">
        <v>45401</v>
      </c>
      <c r="G843" t="s">
        <v>2385</v>
      </c>
      <c r="H843">
        <v>196</v>
      </c>
      <c r="I843">
        <f>_xll.ciqfunctions.udf.CIQ(A843, "IQ_MARKETCAP", F843)</f>
        <v>304.53667000000002</v>
      </c>
      <c r="J843">
        <f>_xll.ciqfunctions.udf.CIQ(A843, "IQ_PRICE_VOL_HIST_6MTH", F843)</f>
        <v>185.81540000000001</v>
      </c>
      <c r="K843">
        <f>_xll.ciqfunctions.udf.CIQ(A843, "IQ_LASTSALEPRICE", WORKDAY(F843,-1))</f>
        <v>2.12</v>
      </c>
      <c r="L843">
        <f>_xll.ciqfunctions.udf.CIQ(A843, "IQ_LASTSALEPRICE", F843)</f>
        <v>1.85</v>
      </c>
      <c r="M843">
        <f>_xll.ciqfunctions.udf.CIQ(A843, "IQ_LASTSALEPRICE", WORKDAY(F843,5))</f>
        <v>1</v>
      </c>
      <c r="N843">
        <f t="shared" si="26"/>
        <v>-0.13623044959368766</v>
      </c>
      <c r="O843">
        <f t="shared" si="27"/>
        <v>-0.75141608868392118</v>
      </c>
      <c r="P843">
        <f>LN(_xll.ciqfunctions.udf.CIQ("XBI", "IQ_LASTSALEPRICE", WORKDAY(F843,-1))/_xll.ciqfunctions.udf.CIQ("XBI", "IQ_LASTSALEPRICE", WORKDAY(F843,1)))</f>
        <v>-3.2290884961757292E-3</v>
      </c>
      <c r="Q843">
        <f>LN(_xll.ciqfunctions.udf.CIQ("XBI", "IQ_LASTSALEPRICE", WORKDAY(F843,-1))/_xll.ciqfunctions.udf.CIQ("XBI", "IQ_LASTSALEPRICE", WORKDAY(F843,5)))</f>
        <v>-1.1978199690899771E-4</v>
      </c>
      <c r="R843">
        <f>_xll.ciqfunctions.udf.CIQ(A843, "IQ_SHORT_INTEREST_PERCENT", F843)</f>
        <v>6.9499999999999996E-3</v>
      </c>
      <c r="S843">
        <f>_xll.ciqfunctions.udf.CIQ(A843, "IQ_BETA_1YR_RSQ", F843)</f>
        <v>2.0400000000000001E-3</v>
      </c>
      <c r="T843">
        <f>_xll.ciqfunctions.udf.CIQ(A843, "IQ_VALUE_TRADED", F843)</f>
        <v>0.38823999999999997</v>
      </c>
    </row>
    <row r="844" spans="1:20" x14ac:dyDescent="0.3">
      <c r="A844" t="s">
        <v>1492</v>
      </c>
      <c r="B844" s="2">
        <v>1.32</v>
      </c>
      <c r="C844" t="s">
        <v>1493</v>
      </c>
      <c r="D844" t="s">
        <v>1494</v>
      </c>
      <c r="E844" t="s">
        <v>17</v>
      </c>
      <c r="F844" s="1">
        <v>45401</v>
      </c>
      <c r="G844" t="s">
        <v>2386</v>
      </c>
      <c r="H844">
        <v>292</v>
      </c>
      <c r="I844">
        <f>_xll.ciqfunctions.udf.CIQ(A844, "IQ_MARKETCAP", F844)</f>
        <v>339.66935000000001</v>
      </c>
      <c r="J844">
        <f>_xll.ciqfunctions.udf.CIQ(A844, "IQ_PRICE_VOL_HIST_6MTH", F844)</f>
        <v>105.9363</v>
      </c>
      <c r="K844">
        <f>_xll.ciqfunctions.udf.CIQ(A844, "IQ_LASTSALEPRICE", WORKDAY(F844,-1))</f>
        <v>1.32</v>
      </c>
      <c r="L844">
        <f>_xll.ciqfunctions.udf.CIQ(A844, "IQ_LASTSALEPRICE", F844)</f>
        <v>1.32</v>
      </c>
      <c r="M844">
        <f>_xll.ciqfunctions.udf.CIQ(A844, "IQ_LASTSALEPRICE", WORKDAY(F844,5))</f>
        <v>1.28</v>
      </c>
      <c r="N844">
        <f t="shared" si="26"/>
        <v>0</v>
      </c>
      <c r="O844">
        <f t="shared" si="27"/>
        <v>-3.077165866675366E-2</v>
      </c>
      <c r="P844">
        <f>LN(_xll.ciqfunctions.udf.CIQ("XBI", "IQ_LASTSALEPRICE", WORKDAY(F844,-1))/_xll.ciqfunctions.udf.CIQ("XBI", "IQ_LASTSALEPRICE", WORKDAY(F844,1)))</f>
        <v>-3.2290884961757292E-3</v>
      </c>
      <c r="Q844">
        <f>LN(_xll.ciqfunctions.udf.CIQ("XBI", "IQ_LASTSALEPRICE", WORKDAY(F844,-1))/_xll.ciqfunctions.udf.CIQ("XBI", "IQ_LASTSALEPRICE", WORKDAY(F844,5)))</f>
        <v>-1.1978199690899771E-4</v>
      </c>
      <c r="R844">
        <f>_xll.ciqfunctions.udf.CIQ(A844, "IQ_SHORT_INTEREST_PERCENT", F844)</f>
        <v>16.89809</v>
      </c>
      <c r="S844">
        <f>_xll.ciqfunctions.udf.CIQ(A844, "IQ_BETA_1YR_RSQ", F844)</f>
        <v>2.6259999999999999E-2</v>
      </c>
      <c r="T844">
        <f>_xll.ciqfunctions.udf.CIQ(A844, "IQ_VALUE_TRADED", F844)</f>
        <v>8.7735199999999995</v>
      </c>
    </row>
    <row r="845" spans="1:20" x14ac:dyDescent="0.3">
      <c r="A845" t="s">
        <v>763</v>
      </c>
      <c r="B845" s="2">
        <v>10</v>
      </c>
      <c r="C845" t="s">
        <v>2387</v>
      </c>
      <c r="D845" t="s">
        <v>2388</v>
      </c>
      <c r="E845" t="s">
        <v>184</v>
      </c>
      <c r="F845" s="1">
        <v>45404</v>
      </c>
      <c r="G845" t="s">
        <v>2389</v>
      </c>
      <c r="H845">
        <v>134</v>
      </c>
      <c r="I845">
        <f>_xll.ciqfunctions.udf.CIQ(A845, "IQ_MARKETCAP", F845)</f>
        <v>1003.0585</v>
      </c>
      <c r="J845">
        <f>_xll.ciqfunctions.udf.CIQ(A845, "IQ_PRICE_VOL_HIST_6MTH", F845)</f>
        <v>80.223799999999997</v>
      </c>
      <c r="K845">
        <f>_xll.ciqfunctions.udf.CIQ(A845, "IQ_LASTSALEPRICE", WORKDAY(F845,-1))</f>
        <v>10.57</v>
      </c>
      <c r="L845">
        <f>_xll.ciqfunctions.udf.CIQ(A845, "IQ_LASTSALEPRICE", F845)</f>
        <v>10</v>
      </c>
      <c r="M845">
        <f>_xll.ciqfunctions.udf.CIQ(A845, "IQ_LASTSALEPRICE", WORKDAY(F845,5))</f>
        <v>9.2899999999999991</v>
      </c>
      <c r="N845">
        <f t="shared" si="26"/>
        <v>-5.5434706888100607E-2</v>
      </c>
      <c r="O845">
        <f t="shared" si="27"/>
        <v>-0.12908124705639926</v>
      </c>
      <c r="P845">
        <f>LN(_xll.ciqfunctions.udf.CIQ("XBI", "IQ_LASTSALEPRICE", WORKDAY(F845,-1))/_xll.ciqfunctions.udf.CIQ("XBI", "IQ_LASTSALEPRICE", WORKDAY(F845,1)))</f>
        <v>-2.2207216323334847E-2</v>
      </c>
      <c r="Q845">
        <f>LN(_xll.ciqfunctions.udf.CIQ("XBI", "IQ_LASTSALEPRICE", WORKDAY(F845,-1))/_xll.ciqfunctions.udf.CIQ("XBI", "IQ_LASTSALEPRICE", WORKDAY(F845,5)))</f>
        <v>-3.1959952106617021E-2</v>
      </c>
      <c r="R845">
        <f>_xll.ciqfunctions.udf.CIQ(A845, "IQ_SHORT_INTEREST_PERCENT", F845)</f>
        <v>1.7329300000000001</v>
      </c>
      <c r="S845">
        <f>_xll.ciqfunctions.udf.CIQ(A845, "IQ_BETA_1YR_RSQ", F845)</f>
        <v>0.18078</v>
      </c>
      <c r="T845">
        <f>_xll.ciqfunctions.udf.CIQ(A845, "IQ_VALUE_TRADED", F845)</f>
        <v>2.1080999999999999</v>
      </c>
    </row>
    <row r="846" spans="1:20" x14ac:dyDescent="0.3">
      <c r="A846" t="s">
        <v>833</v>
      </c>
      <c r="B846" s="2">
        <v>157.25</v>
      </c>
      <c r="C846" t="s">
        <v>834</v>
      </c>
      <c r="D846" t="s">
        <v>243</v>
      </c>
      <c r="E846" t="s">
        <v>22</v>
      </c>
      <c r="F846" s="1">
        <v>45404</v>
      </c>
      <c r="G846" t="s">
        <v>2390</v>
      </c>
      <c r="H846">
        <v>28</v>
      </c>
      <c r="I846">
        <f>_xll.ciqfunctions.udf.CIQ(A846, "IQ_MARKETCAP", F846)</f>
        <v>4483.9125199999999</v>
      </c>
      <c r="J846">
        <f>_xll.ciqfunctions.udf.CIQ(A846, "IQ_PRICE_VOL_HIST_6MTH", F846)</f>
        <v>70.520399999999995</v>
      </c>
      <c r="K846">
        <f>_xll.ciqfunctions.udf.CIQ(A846, "IQ_LASTSALEPRICE", WORKDAY(F846,-1))</f>
        <v>158.53</v>
      </c>
      <c r="L846">
        <f>_xll.ciqfunctions.udf.CIQ(A846, "IQ_LASTSALEPRICE", F846)</f>
        <v>157.25</v>
      </c>
      <c r="M846">
        <f>_xll.ciqfunctions.udf.CIQ(A846, "IQ_LASTSALEPRICE", WORKDAY(F846,5))</f>
        <v>157.99</v>
      </c>
      <c r="N846">
        <f t="shared" si="26"/>
        <v>-8.1069542745865007E-3</v>
      </c>
      <c r="O846">
        <f t="shared" si="27"/>
        <v>-3.4121099703787868E-3</v>
      </c>
      <c r="P846">
        <f>LN(_xll.ciqfunctions.udf.CIQ("XBI", "IQ_LASTSALEPRICE", WORKDAY(F846,-1))/_xll.ciqfunctions.udf.CIQ("XBI", "IQ_LASTSALEPRICE", WORKDAY(F846,1)))</f>
        <v>-2.2207216323334847E-2</v>
      </c>
      <c r="Q846">
        <f>LN(_xll.ciqfunctions.udf.CIQ("XBI", "IQ_LASTSALEPRICE", WORKDAY(F846,-1))/_xll.ciqfunctions.udf.CIQ("XBI", "IQ_LASTSALEPRICE", WORKDAY(F846,5)))</f>
        <v>-3.1959952106617021E-2</v>
      </c>
      <c r="R846">
        <f>_xll.ciqfunctions.udf.CIQ(A846, "IQ_SHORT_INTEREST_PERCENT", F846)</f>
        <v>7.6247600000000002</v>
      </c>
      <c r="S846">
        <f>_xll.ciqfunctions.udf.CIQ(A846, "IQ_BETA_1YR_RSQ", F846)</f>
        <v>2.8479999999999998E-2</v>
      </c>
      <c r="T846">
        <f>_xll.ciqfunctions.udf.CIQ(A846, "IQ_VALUE_TRADED", F846)</f>
        <v>53.75009</v>
      </c>
    </row>
    <row r="847" spans="1:20" x14ac:dyDescent="0.3">
      <c r="A847" t="s">
        <v>1000</v>
      </c>
      <c r="B847" s="2">
        <v>1.27</v>
      </c>
      <c r="C847" t="s">
        <v>2391</v>
      </c>
      <c r="D847" t="s">
        <v>2392</v>
      </c>
      <c r="E847" t="s">
        <v>76</v>
      </c>
      <c r="F847" s="1">
        <v>45404</v>
      </c>
      <c r="G847" t="s">
        <v>2393</v>
      </c>
      <c r="H847">
        <v>23</v>
      </c>
      <c r="I847">
        <f>_xll.ciqfunctions.udf.CIQ(A847, "IQ_MARKETCAP", F847)</f>
        <v>23.89096</v>
      </c>
      <c r="J847">
        <f>_xll.ciqfunctions.udf.CIQ(A847, "IQ_PRICE_VOL_HIST_6MTH", F847)</f>
        <v>159.90219999999999</v>
      </c>
      <c r="K847">
        <f>_xll.ciqfunctions.udf.CIQ(A847, "IQ_LASTSALEPRICE", WORKDAY(F847,-1))</f>
        <v>1.32</v>
      </c>
      <c r="L847">
        <f>_xll.ciqfunctions.udf.CIQ(A847, "IQ_LASTSALEPRICE", F847)</f>
        <v>1.27</v>
      </c>
      <c r="M847">
        <f>_xll.ciqfunctions.udf.CIQ(A847, "IQ_LASTSALEPRICE", WORKDAY(F847,5))</f>
        <v>1.66</v>
      </c>
      <c r="N847">
        <f t="shared" si="26"/>
        <v>-3.8614836127779661E-2</v>
      </c>
      <c r="O847">
        <f t="shared" si="27"/>
        <v>0.22918586577017219</v>
      </c>
      <c r="P847">
        <f>LN(_xll.ciqfunctions.udf.CIQ("XBI", "IQ_LASTSALEPRICE", WORKDAY(F847,-1))/_xll.ciqfunctions.udf.CIQ("XBI", "IQ_LASTSALEPRICE", WORKDAY(F847,1)))</f>
        <v>-2.2207216323334847E-2</v>
      </c>
      <c r="Q847">
        <f>LN(_xll.ciqfunctions.udf.CIQ("XBI", "IQ_LASTSALEPRICE", WORKDAY(F847,-1))/_xll.ciqfunctions.udf.CIQ("XBI", "IQ_LASTSALEPRICE", WORKDAY(F847,5)))</f>
        <v>-3.1959952106617021E-2</v>
      </c>
      <c r="R847">
        <f>_xll.ciqfunctions.udf.CIQ(A847, "IQ_SHORT_INTEREST_PERCENT", F847)</f>
        <v>1.2565599999999999</v>
      </c>
      <c r="S847">
        <f>_xll.ciqfunctions.udf.CIQ(A847, "IQ_BETA_1YR_RSQ", F847)</f>
        <v>2.8639999999999999E-2</v>
      </c>
      <c r="T847">
        <f>_xll.ciqfunctions.udf.CIQ(A847, "IQ_VALUE_TRADED", F847)</f>
        <v>6.5439999999999998E-2</v>
      </c>
    </row>
    <row r="848" spans="1:20" x14ac:dyDescent="0.3">
      <c r="A848" t="s">
        <v>1864</v>
      </c>
      <c r="B848" s="2">
        <v>22.3</v>
      </c>
      <c r="C848" t="s">
        <v>2394</v>
      </c>
      <c r="D848" t="s">
        <v>2395</v>
      </c>
      <c r="E848" t="s">
        <v>36</v>
      </c>
      <c r="F848" s="1">
        <v>45404</v>
      </c>
      <c r="G848" t="s">
        <v>2396</v>
      </c>
      <c r="H848">
        <v>105</v>
      </c>
      <c r="I848">
        <f>_xll.ciqfunctions.udf.CIQ(A848, "IQ_MARKETCAP", F848)</f>
        <v>2315.5688</v>
      </c>
      <c r="J848">
        <f>_xll.ciqfunctions.udf.CIQ(A848, "IQ_PRICE_VOL_HIST_6MTH", F848)</f>
        <v>63.678800000000003</v>
      </c>
      <c r="K848">
        <f>_xll.ciqfunctions.udf.CIQ(A848, "IQ_LASTSALEPRICE", WORKDAY(F848,-1))</f>
        <v>22.95</v>
      </c>
      <c r="L848">
        <f>_xll.ciqfunctions.udf.CIQ(A848, "IQ_LASTSALEPRICE", F848)</f>
        <v>22.3</v>
      </c>
      <c r="M848">
        <f>_xll.ciqfunctions.udf.CIQ(A848, "IQ_LASTSALEPRICE", WORKDAY(F848,5))</f>
        <v>23.37</v>
      </c>
      <c r="N848">
        <f t="shared" si="26"/>
        <v>-2.873125804048102E-2</v>
      </c>
      <c r="O848">
        <f t="shared" si="27"/>
        <v>1.8135212044212579E-2</v>
      </c>
      <c r="P848">
        <f>LN(_xll.ciqfunctions.udf.CIQ("XBI", "IQ_LASTSALEPRICE", WORKDAY(F848,-1))/_xll.ciqfunctions.udf.CIQ("XBI", "IQ_LASTSALEPRICE", WORKDAY(F848,1)))</f>
        <v>-2.2207216323334847E-2</v>
      </c>
      <c r="Q848">
        <f>LN(_xll.ciqfunctions.udf.CIQ("XBI", "IQ_LASTSALEPRICE", WORKDAY(F848,-1))/_xll.ciqfunctions.udf.CIQ("XBI", "IQ_LASTSALEPRICE", WORKDAY(F848,5)))</f>
        <v>-3.1959952106617021E-2</v>
      </c>
      <c r="R848">
        <f>_xll.ciqfunctions.udf.CIQ(A848, "IQ_SHORT_INTEREST_PERCENT", F848)</f>
        <v>20.54224</v>
      </c>
      <c r="S848">
        <f>_xll.ciqfunctions.udf.CIQ(A848, "IQ_BETA_1YR_RSQ", F848)</f>
        <v>2.0160000000000001E-2</v>
      </c>
      <c r="T848">
        <f>_xll.ciqfunctions.udf.CIQ(A848, "IQ_VALUE_TRADED", F848)</f>
        <v>86.924980000000005</v>
      </c>
    </row>
    <row r="849" spans="1:20" x14ac:dyDescent="0.3">
      <c r="A849" t="s">
        <v>1297</v>
      </c>
      <c r="B849" s="2">
        <v>3.64</v>
      </c>
      <c r="C849" t="s">
        <v>1388</v>
      </c>
      <c r="D849" t="s">
        <v>1389</v>
      </c>
      <c r="E849" t="s">
        <v>197</v>
      </c>
      <c r="F849" s="1">
        <v>45404</v>
      </c>
      <c r="G849" t="s">
        <v>2397</v>
      </c>
      <c r="H849">
        <v>2</v>
      </c>
      <c r="I849" t="str">
        <f>_xll.ciqfunctions.udf.CIQ(A849, "IQ_MARKETCAP", F849)</f>
        <v>(Invalid Identifier)</v>
      </c>
      <c r="J849" t="str">
        <f>_xll.ciqfunctions.udf.CIQ(A849, "IQ_PRICE_VOL_HIST_6MTH", F849)</f>
        <v>(Invalid Identifier)</v>
      </c>
      <c r="K849" t="str">
        <f>_xll.ciqfunctions.udf.CIQ(A849, "IQ_LASTSALEPRICE", WORKDAY(F849,-1))</f>
        <v>(Invalid Identifier)</v>
      </c>
      <c r="L849" t="str">
        <f>_xll.ciqfunctions.udf.CIQ(A849, "IQ_LASTSALEPRICE", F849)</f>
        <v>(Invalid Identifier)</v>
      </c>
      <c r="M849" t="str">
        <f>_xll.ciqfunctions.udf.CIQ(A849, "IQ_LASTSALEPRICE", WORKDAY(F849,5))</f>
        <v>(Invalid Identifier)</v>
      </c>
      <c r="N849" t="e">
        <f t="shared" si="26"/>
        <v>#VALUE!</v>
      </c>
      <c r="O849" t="e">
        <f t="shared" si="27"/>
        <v>#VALUE!</v>
      </c>
      <c r="P849">
        <f>LN(_xll.ciqfunctions.udf.CIQ("XBI", "IQ_LASTSALEPRICE", WORKDAY(F849,-1))/_xll.ciqfunctions.udf.CIQ("XBI", "IQ_LASTSALEPRICE", WORKDAY(F849,1)))</f>
        <v>-2.2207216323334847E-2</v>
      </c>
      <c r="Q849">
        <f>LN(_xll.ciqfunctions.udf.CIQ("XBI", "IQ_LASTSALEPRICE", WORKDAY(F849,-1))/_xll.ciqfunctions.udf.CIQ("XBI", "IQ_LASTSALEPRICE", WORKDAY(F849,5)))</f>
        <v>-3.1959952106617021E-2</v>
      </c>
      <c r="R849" t="str">
        <f>_xll.ciqfunctions.udf.CIQ(A849, "IQ_SHORT_INTEREST_PERCENT", F849)</f>
        <v>(Invalid Identifier)</v>
      </c>
      <c r="S849" t="str">
        <f>_xll.ciqfunctions.udf.CIQ(A849, "IQ_BETA_1YR_RSQ", F849)</f>
        <v>(Invalid Identifier)</v>
      </c>
      <c r="T849" t="str">
        <f>_xll.ciqfunctions.udf.CIQ(A849, "IQ_VALUE_TRADED", F849)</f>
        <v>(Invalid Identifier)</v>
      </c>
    </row>
    <row r="850" spans="1:20" x14ac:dyDescent="0.3">
      <c r="A850" t="s">
        <v>1469</v>
      </c>
      <c r="B850" s="2">
        <v>7.47</v>
      </c>
      <c r="C850" t="s">
        <v>1470</v>
      </c>
      <c r="D850" t="s">
        <v>1471</v>
      </c>
      <c r="E850" t="s">
        <v>89</v>
      </c>
      <c r="F850" s="1">
        <v>45404</v>
      </c>
      <c r="G850" t="s">
        <v>2398</v>
      </c>
      <c r="H850">
        <v>5</v>
      </c>
      <c r="I850">
        <f>_xll.ciqfunctions.udf.CIQ(A850, "IQ_MARKETCAP", F850)</f>
        <v>3.8106499999999999</v>
      </c>
      <c r="J850">
        <f>_xll.ciqfunctions.udf.CIQ(A850, "IQ_PRICE_VOL_HIST_6MTH", F850)</f>
        <v>131.75790000000001</v>
      </c>
      <c r="K850">
        <f>_xll.ciqfunctions.udf.CIQ(A850, "IQ_LASTSALEPRICE", WORKDAY(F850,-1))</f>
        <v>5.7591000000000001</v>
      </c>
      <c r="L850">
        <f>_xll.ciqfunctions.udf.CIQ(A850, "IQ_LASTSALEPRICE", F850)</f>
        <v>7.4691000000000001</v>
      </c>
      <c r="M850">
        <f>_xll.ciqfunctions.udf.CIQ(A850, "IQ_LASTSALEPRICE", WORKDAY(F850,5))</f>
        <v>6.0750000000000002</v>
      </c>
      <c r="N850">
        <f t="shared" si="26"/>
        <v>0.25999329745898775</v>
      </c>
      <c r="O850">
        <f t="shared" si="27"/>
        <v>5.3400776727115247E-2</v>
      </c>
      <c r="P850">
        <f>LN(_xll.ciqfunctions.udf.CIQ("XBI", "IQ_LASTSALEPRICE", WORKDAY(F850,-1))/_xll.ciqfunctions.udf.CIQ("XBI", "IQ_LASTSALEPRICE", WORKDAY(F850,1)))</f>
        <v>-2.2207216323334847E-2</v>
      </c>
      <c r="Q850">
        <f>LN(_xll.ciqfunctions.udf.CIQ("XBI", "IQ_LASTSALEPRICE", WORKDAY(F850,-1))/_xll.ciqfunctions.udf.CIQ("XBI", "IQ_LASTSALEPRICE", WORKDAY(F850,5)))</f>
        <v>-3.1959952106617021E-2</v>
      </c>
      <c r="R850">
        <f>_xll.ciqfunctions.udf.CIQ(A850, "IQ_SHORT_INTEREST_PERCENT", F850)</f>
        <v>0.46583999999999998</v>
      </c>
      <c r="S850">
        <f>_xll.ciqfunctions.udf.CIQ(A850, "IQ_BETA_1YR_RSQ", F850)</f>
        <v>4.8000000000000001E-4</v>
      </c>
      <c r="T850">
        <f>_xll.ciqfunctions.udf.CIQ(A850, "IQ_VALUE_TRADED", F850)</f>
        <v>6.0937000000000001</v>
      </c>
    </row>
    <row r="851" spans="1:20" x14ac:dyDescent="0.3">
      <c r="A851" t="s">
        <v>695</v>
      </c>
      <c r="B851" s="2">
        <v>7.36</v>
      </c>
      <c r="C851" t="s">
        <v>2399</v>
      </c>
      <c r="D851" t="s">
        <v>2400</v>
      </c>
      <c r="E851" t="s">
        <v>281</v>
      </c>
      <c r="F851" s="1">
        <v>45404</v>
      </c>
      <c r="G851" t="s">
        <v>2401</v>
      </c>
      <c r="H851">
        <v>51</v>
      </c>
      <c r="I851">
        <f>_xll.ciqfunctions.udf.CIQ(A851, "IQ_MARKETCAP", F851)</f>
        <v>201.33306999999999</v>
      </c>
      <c r="J851">
        <f>_xll.ciqfunctions.udf.CIQ(A851, "IQ_PRICE_VOL_HIST_6MTH", F851)</f>
        <v>76.220399999999998</v>
      </c>
      <c r="K851">
        <f>_xll.ciqfunctions.udf.CIQ(A851, "IQ_LASTSALEPRICE", WORKDAY(F851,-1))</f>
        <v>7.57</v>
      </c>
      <c r="L851">
        <f>_xll.ciqfunctions.udf.CIQ(A851, "IQ_LASTSALEPRICE", F851)</f>
        <v>7.36</v>
      </c>
      <c r="M851">
        <f>_xll.ciqfunctions.udf.CIQ(A851, "IQ_LASTSALEPRICE", WORKDAY(F851,5))</f>
        <v>3.44</v>
      </c>
      <c r="N851">
        <f t="shared" si="26"/>
        <v>-2.8133134708572507E-2</v>
      </c>
      <c r="O851">
        <f t="shared" si="27"/>
        <v>-0.78872159606405046</v>
      </c>
      <c r="P851">
        <f>LN(_xll.ciqfunctions.udf.CIQ("XBI", "IQ_LASTSALEPRICE", WORKDAY(F851,-1))/_xll.ciqfunctions.udf.CIQ("XBI", "IQ_LASTSALEPRICE", WORKDAY(F851,1)))</f>
        <v>-2.2207216323334847E-2</v>
      </c>
      <c r="Q851">
        <f>LN(_xll.ciqfunctions.udf.CIQ("XBI", "IQ_LASTSALEPRICE", WORKDAY(F851,-1))/_xll.ciqfunctions.udf.CIQ("XBI", "IQ_LASTSALEPRICE", WORKDAY(F851,5)))</f>
        <v>-3.1959952106617021E-2</v>
      </c>
      <c r="R851">
        <f>_xll.ciqfunctions.udf.CIQ(A851, "IQ_SHORT_INTEREST_PERCENT", F851)</f>
        <v>7.2902800000000001</v>
      </c>
      <c r="S851">
        <f>_xll.ciqfunctions.udf.CIQ(A851, "IQ_BETA_1YR_RSQ", F851)</f>
        <v>2.65E-3</v>
      </c>
      <c r="T851">
        <f>_xll.ciqfunctions.udf.CIQ(A851, "IQ_VALUE_TRADED", F851)</f>
        <v>7.5663600000000004</v>
      </c>
    </row>
    <row r="852" spans="1:20" x14ac:dyDescent="0.3">
      <c r="A852" t="s">
        <v>2402</v>
      </c>
      <c r="B852" s="2">
        <v>5.85</v>
      </c>
      <c r="C852" t="s">
        <v>2403</v>
      </c>
      <c r="D852" t="s">
        <v>2404</v>
      </c>
      <c r="E852" t="s">
        <v>89</v>
      </c>
      <c r="F852" s="1">
        <v>45404</v>
      </c>
      <c r="G852" t="s">
        <v>2405</v>
      </c>
      <c r="H852">
        <v>3</v>
      </c>
      <c r="I852">
        <f>_xll.ciqfunctions.udf.CIQ(A852, "IQ_MARKETCAP", F852)</f>
        <v>5.6169000000000002</v>
      </c>
      <c r="J852">
        <f>_xll.ciqfunctions.udf.CIQ(A852, "IQ_PRICE_VOL_HIST_6MTH", F852)</f>
        <v>228.6311</v>
      </c>
      <c r="K852">
        <f>_xll.ciqfunctions.udf.CIQ(A852, "IQ_LASTSALEPRICE", WORKDAY(F852,-1))</f>
        <v>38.961039999999997</v>
      </c>
      <c r="L852">
        <f>_xll.ciqfunctions.udf.CIQ(A852, "IQ_LASTSALEPRICE", F852)</f>
        <v>38.961039999999997</v>
      </c>
      <c r="M852">
        <f>_xll.ciqfunctions.udf.CIQ(A852, "IQ_LASTSALEPRICE", WORKDAY(F852,5))</f>
        <v>43.956040000000002</v>
      </c>
      <c r="N852">
        <f t="shared" si="26"/>
        <v>0</v>
      </c>
      <c r="O852">
        <f t="shared" si="27"/>
        <v>0.12062787112194448</v>
      </c>
      <c r="P852">
        <f>LN(_xll.ciqfunctions.udf.CIQ("XBI", "IQ_LASTSALEPRICE", WORKDAY(F852,-1))/_xll.ciqfunctions.udf.CIQ("XBI", "IQ_LASTSALEPRICE", WORKDAY(F852,1)))</f>
        <v>-2.2207216323334847E-2</v>
      </c>
      <c r="Q852">
        <f>LN(_xll.ciqfunctions.udf.CIQ("XBI", "IQ_LASTSALEPRICE", WORKDAY(F852,-1))/_xll.ciqfunctions.udf.CIQ("XBI", "IQ_LASTSALEPRICE", WORKDAY(F852,5)))</f>
        <v>-3.1959952106617021E-2</v>
      </c>
      <c r="R852">
        <f>_xll.ciqfunctions.udf.CIQ(A852, "IQ_SHORT_INTEREST_PERCENT", F852)</f>
        <v>0.69588000000000005</v>
      </c>
      <c r="S852">
        <f>_xll.ciqfunctions.udf.CIQ(A852, "IQ_BETA_1YR_RSQ", F852)</f>
        <v>8.3899999999999999E-3</v>
      </c>
      <c r="T852">
        <f>_xll.ciqfunctions.udf.CIQ(A852, "IQ_VALUE_TRADED", F852)</f>
        <v>0.25979000000000002</v>
      </c>
    </row>
    <row r="853" spans="1:20" x14ac:dyDescent="0.3">
      <c r="A853" t="s">
        <v>2406</v>
      </c>
      <c r="B853" s="2">
        <v>10.28</v>
      </c>
      <c r="C853" t="s">
        <v>2407</v>
      </c>
      <c r="D853" t="s">
        <v>2408</v>
      </c>
      <c r="E853" t="s">
        <v>89</v>
      </c>
      <c r="F853" s="1">
        <v>45404</v>
      </c>
      <c r="G853" t="s">
        <v>2409</v>
      </c>
      <c r="H853">
        <v>9</v>
      </c>
      <c r="I853">
        <f>_xll.ciqfunctions.udf.CIQ(A853, "IQ_MARKETCAP", F853)</f>
        <v>7.0478399999999999</v>
      </c>
      <c r="J853">
        <f>_xll.ciqfunctions.udf.CIQ(A853, "IQ_PRICE_VOL_HIST_6MTH", F853)</f>
        <v>93.582899999999995</v>
      </c>
      <c r="K853">
        <f>_xll.ciqfunctions.udf.CIQ(A853, "IQ_LASTSALEPRICE", WORKDAY(F853,-1))</f>
        <v>10.38</v>
      </c>
      <c r="L853">
        <f>_xll.ciqfunctions.udf.CIQ(A853, "IQ_LASTSALEPRICE", F853)</f>
        <v>10.275</v>
      </c>
      <c r="M853">
        <f>_xll.ciqfunctions.udf.CIQ(A853, "IQ_LASTSALEPRICE", WORKDAY(F853,5))</f>
        <v>10.5</v>
      </c>
      <c r="N853">
        <f t="shared" si="26"/>
        <v>-1.0167117355444313E-2</v>
      </c>
      <c r="O853">
        <f t="shared" si="27"/>
        <v>1.1494379425734991E-2</v>
      </c>
      <c r="P853">
        <f>LN(_xll.ciqfunctions.udf.CIQ("XBI", "IQ_LASTSALEPRICE", WORKDAY(F853,-1))/_xll.ciqfunctions.udf.CIQ("XBI", "IQ_LASTSALEPRICE", WORKDAY(F853,1)))</f>
        <v>-2.2207216323334847E-2</v>
      </c>
      <c r="Q853">
        <f>LN(_xll.ciqfunctions.udf.CIQ("XBI", "IQ_LASTSALEPRICE", WORKDAY(F853,-1))/_xll.ciqfunctions.udf.CIQ("XBI", "IQ_LASTSALEPRICE", WORKDAY(F853,5)))</f>
        <v>-3.1959952106617021E-2</v>
      </c>
      <c r="R853">
        <f>_xll.ciqfunctions.udf.CIQ(A853, "IQ_SHORT_INTEREST_PERCENT", F853)</f>
        <v>2.39682</v>
      </c>
      <c r="S853">
        <f>_xll.ciqfunctions.udf.CIQ(A853, "IQ_BETA_1YR_RSQ", F853)</f>
        <v>5.0560000000000001E-2</v>
      </c>
      <c r="T853">
        <f>_xll.ciqfunctions.udf.CIQ(A853, "IQ_VALUE_TRADED", F853)</f>
        <v>0.47476000000000002</v>
      </c>
    </row>
    <row r="854" spans="1:20" x14ac:dyDescent="0.3">
      <c r="A854" t="s">
        <v>2410</v>
      </c>
      <c r="B854" s="2">
        <v>2</v>
      </c>
      <c r="C854" t="s">
        <v>2411</v>
      </c>
      <c r="D854" t="s">
        <v>2412</v>
      </c>
      <c r="E854" t="s">
        <v>89</v>
      </c>
      <c r="F854" s="1">
        <v>45404</v>
      </c>
      <c r="G854" t="s">
        <v>2413</v>
      </c>
      <c r="H854">
        <v>83</v>
      </c>
      <c r="I854">
        <f>_xll.ciqfunctions.udf.CIQ(A854, "IQ_MARKETCAP", F854)</f>
        <v>181.22987000000001</v>
      </c>
      <c r="J854">
        <f>_xll.ciqfunctions.udf.CIQ(A854, "IQ_PRICE_VOL_HIST_6MTH", F854)</f>
        <v>105.03660000000001</v>
      </c>
      <c r="K854">
        <f>_xll.ciqfunctions.udf.CIQ(A854, "IQ_LASTSALEPRICE", WORKDAY(F854,-1))</f>
        <v>1.95</v>
      </c>
      <c r="L854">
        <f>_xll.ciqfunctions.udf.CIQ(A854, "IQ_LASTSALEPRICE", F854)</f>
        <v>2</v>
      </c>
      <c r="M854">
        <f>_xll.ciqfunctions.udf.CIQ(A854, "IQ_LASTSALEPRICE", WORKDAY(F854,5))</f>
        <v>1.59</v>
      </c>
      <c r="N854">
        <f t="shared" si="26"/>
        <v>2.5317807984290001E-2</v>
      </c>
      <c r="O854">
        <f t="shared" si="27"/>
        <v>-0.20409535634351517</v>
      </c>
      <c r="P854">
        <f>LN(_xll.ciqfunctions.udf.CIQ("XBI", "IQ_LASTSALEPRICE", WORKDAY(F854,-1))/_xll.ciqfunctions.udf.CIQ("XBI", "IQ_LASTSALEPRICE", WORKDAY(F854,1)))</f>
        <v>-2.2207216323334847E-2</v>
      </c>
      <c r="Q854">
        <f>LN(_xll.ciqfunctions.udf.CIQ("XBI", "IQ_LASTSALEPRICE", WORKDAY(F854,-1))/_xll.ciqfunctions.udf.CIQ("XBI", "IQ_LASTSALEPRICE", WORKDAY(F854,5)))</f>
        <v>-3.1959952106617021E-2</v>
      </c>
      <c r="R854">
        <f>_xll.ciqfunctions.udf.CIQ(A854, "IQ_SHORT_INTEREST_PERCENT", F854)</f>
        <v>8.48325</v>
      </c>
      <c r="S854">
        <f>_xll.ciqfunctions.udf.CIQ(A854, "IQ_BETA_1YR_RSQ", F854)</f>
        <v>2.528E-2</v>
      </c>
      <c r="T854">
        <f>_xll.ciqfunctions.udf.CIQ(A854, "IQ_VALUE_TRADED", F854)</f>
        <v>0.65069999999999995</v>
      </c>
    </row>
    <row r="855" spans="1:20" x14ac:dyDescent="0.3">
      <c r="A855" t="s">
        <v>1268</v>
      </c>
      <c r="B855" s="2">
        <v>4.9400000000000004</v>
      </c>
      <c r="C855" t="s">
        <v>2414</v>
      </c>
      <c r="D855" t="s">
        <v>2415</v>
      </c>
      <c r="E855" t="s">
        <v>160</v>
      </c>
      <c r="F855" s="1">
        <v>45404</v>
      </c>
      <c r="G855" t="s">
        <v>2416</v>
      </c>
      <c r="H855">
        <v>945</v>
      </c>
      <c r="I855">
        <f>_xll.ciqfunctions.udf.CIQ(A855, "IQ_MARKETCAP", F855)</f>
        <v>3344.3968500000001</v>
      </c>
      <c r="J855">
        <f>_xll.ciqfunctions.udf.CIQ(A855, "IQ_PRICE_VOL_HIST_6MTH", F855)</f>
        <v>132.51519999999999</v>
      </c>
      <c r="K855">
        <f>_xll.ciqfunctions.udf.CIQ(A855, "IQ_LASTSALEPRICE", WORKDAY(F855,-1))</f>
        <v>5.27</v>
      </c>
      <c r="L855">
        <f>_xll.ciqfunctions.udf.CIQ(A855, "IQ_LASTSALEPRICE", F855)</f>
        <v>4.9400000000000004</v>
      </c>
      <c r="M855">
        <f>_xll.ciqfunctions.udf.CIQ(A855, "IQ_LASTSALEPRICE", WORKDAY(F855,5))</f>
        <v>8.99</v>
      </c>
      <c r="N855">
        <f t="shared" si="26"/>
        <v>-6.4665031353439706E-2</v>
      </c>
      <c r="O855">
        <f t="shared" si="27"/>
        <v>0.53408248593025809</v>
      </c>
      <c r="P855">
        <f>LN(_xll.ciqfunctions.udf.CIQ("XBI", "IQ_LASTSALEPRICE", WORKDAY(F855,-1))/_xll.ciqfunctions.udf.CIQ("XBI", "IQ_LASTSALEPRICE", WORKDAY(F855,1)))</f>
        <v>-2.2207216323334847E-2</v>
      </c>
      <c r="Q855">
        <f>LN(_xll.ciqfunctions.udf.CIQ("XBI", "IQ_LASTSALEPRICE", WORKDAY(F855,-1))/_xll.ciqfunctions.udf.CIQ("XBI", "IQ_LASTSALEPRICE", WORKDAY(F855,5)))</f>
        <v>-3.1959952106617021E-2</v>
      </c>
      <c r="R855">
        <f>_xll.ciqfunctions.udf.CIQ(A855, "IQ_SHORT_INTEREST_PERCENT", F855)</f>
        <v>8.0893599999999992</v>
      </c>
      <c r="S855">
        <f>_xll.ciqfunctions.udf.CIQ(A855, "IQ_BETA_1YR_RSQ", F855)</f>
        <v>6.8300000000000001E-3</v>
      </c>
      <c r="T855">
        <f>_xll.ciqfunctions.udf.CIQ(A855, "IQ_VALUE_TRADED", F855)</f>
        <v>27.014430000000001</v>
      </c>
    </row>
    <row r="856" spans="1:20" x14ac:dyDescent="0.3">
      <c r="A856" t="s">
        <v>2406</v>
      </c>
      <c r="B856" s="2">
        <v>9.42</v>
      </c>
      <c r="C856" t="s">
        <v>2417</v>
      </c>
      <c r="D856" t="s">
        <v>2418</v>
      </c>
      <c r="E856" t="s">
        <v>22</v>
      </c>
      <c r="F856" s="1">
        <v>45405</v>
      </c>
      <c r="G856" t="s">
        <v>2419</v>
      </c>
      <c r="H856">
        <v>9</v>
      </c>
      <c r="I856">
        <f>_xll.ciqfunctions.udf.CIQ(A856, "IQ_MARKETCAP", F856)</f>
        <v>6.4630900000000002</v>
      </c>
      <c r="J856">
        <f>_xll.ciqfunctions.udf.CIQ(A856, "IQ_PRICE_VOL_HIST_6MTH", F856)</f>
        <v>94.360799999999998</v>
      </c>
      <c r="K856">
        <f>_xll.ciqfunctions.udf.CIQ(A856, "IQ_LASTSALEPRICE", WORKDAY(F856,-1))</f>
        <v>10.275</v>
      </c>
      <c r="L856">
        <f>_xll.ciqfunctions.udf.CIQ(A856, "IQ_LASTSALEPRICE", F856)</f>
        <v>9.4224999999999994</v>
      </c>
      <c r="M856">
        <f>_xll.ciqfunctions.udf.CIQ(A856, "IQ_LASTSALEPRICE", WORKDAY(F856,5))</f>
        <v>10.0625</v>
      </c>
      <c r="N856">
        <f t="shared" si="26"/>
        <v>-8.6613314223144985E-2</v>
      </c>
      <c r="O856">
        <f t="shared" si="27"/>
        <v>-2.0898117637616575E-2</v>
      </c>
      <c r="P856">
        <f>LN(_xll.ciqfunctions.udf.CIQ("XBI", "IQ_LASTSALEPRICE", WORKDAY(F856,-1))/_xll.ciqfunctions.udf.CIQ("XBI", "IQ_LASTSALEPRICE", WORKDAY(F856,1)))</f>
        <v>-2.2660872002690183E-3</v>
      </c>
      <c r="Q856">
        <f>LN(_xll.ciqfunctions.udf.CIQ("XBI", "IQ_LASTSALEPRICE", WORKDAY(F856,-1))/_xll.ciqfunctions.udf.CIQ("XBI", "IQ_LASTSALEPRICE", WORKDAY(F856,5)))</f>
        <v>-1.03344745867457E-2</v>
      </c>
      <c r="R856">
        <f>_xll.ciqfunctions.udf.CIQ(A856, "IQ_SHORT_INTEREST_PERCENT", F856)</f>
        <v>2.39682</v>
      </c>
      <c r="S856">
        <f>_xll.ciqfunctions.udf.CIQ(A856, "IQ_BETA_1YR_RSQ", F856)</f>
        <v>5.0560000000000001E-2</v>
      </c>
      <c r="T856">
        <f>_xll.ciqfunctions.udf.CIQ(A856, "IQ_VALUE_TRADED", F856)</f>
        <v>0.44982</v>
      </c>
    </row>
    <row r="857" spans="1:20" x14ac:dyDescent="0.3">
      <c r="A857" t="s">
        <v>1362</v>
      </c>
      <c r="B857" s="2">
        <v>0.78</v>
      </c>
      <c r="C857" t="s">
        <v>1363</v>
      </c>
      <c r="D857" t="s">
        <v>2420</v>
      </c>
      <c r="E857" t="s">
        <v>124</v>
      </c>
      <c r="F857" s="1">
        <v>45405</v>
      </c>
      <c r="G857" t="s">
        <v>2421</v>
      </c>
      <c r="H857">
        <v>111</v>
      </c>
      <c r="I857">
        <f>_xll.ciqfunctions.udf.CIQ(A857, "IQ_MARKETCAP", F857)</f>
        <v>77.738560000000007</v>
      </c>
      <c r="J857">
        <f>_xll.ciqfunctions.udf.CIQ(A857, "IQ_PRICE_VOL_HIST_6MTH", F857)</f>
        <v>66.458399999999997</v>
      </c>
      <c r="K857">
        <f>_xll.ciqfunctions.udf.CIQ(A857, "IQ_LASTSALEPRICE", WORKDAY(F857,-1))</f>
        <v>0.75360000000000005</v>
      </c>
      <c r="L857">
        <f>_xll.ciqfunctions.udf.CIQ(A857, "IQ_LASTSALEPRICE", F857)</f>
        <v>0.77500000000000002</v>
      </c>
      <c r="M857">
        <f>_xll.ciqfunctions.udf.CIQ(A857, "IQ_LASTSALEPRICE", WORKDAY(F857,5))</f>
        <v>0.65674999999999994</v>
      </c>
      <c r="N857">
        <f t="shared" si="26"/>
        <v>2.8001306091193605E-2</v>
      </c>
      <c r="O857">
        <f t="shared" si="27"/>
        <v>-0.13755829469650421</v>
      </c>
      <c r="P857">
        <f>LN(_xll.ciqfunctions.udf.CIQ("XBI", "IQ_LASTSALEPRICE", WORKDAY(F857,-1))/_xll.ciqfunctions.udf.CIQ("XBI", "IQ_LASTSALEPRICE", WORKDAY(F857,1)))</f>
        <v>-2.2660872002690183E-3</v>
      </c>
      <c r="Q857">
        <f>LN(_xll.ciqfunctions.udf.CIQ("XBI", "IQ_LASTSALEPRICE", WORKDAY(F857,-1))/_xll.ciqfunctions.udf.CIQ("XBI", "IQ_LASTSALEPRICE", WORKDAY(F857,5)))</f>
        <v>-1.03344745867457E-2</v>
      </c>
      <c r="R857">
        <f>_xll.ciqfunctions.udf.CIQ(A857, "IQ_SHORT_INTEREST_PERCENT", F857)</f>
        <v>0.32117000000000001</v>
      </c>
      <c r="S857">
        <f>_xll.ciqfunctions.udf.CIQ(A857, "IQ_BETA_1YR_RSQ", F857)</f>
        <v>2.904E-2</v>
      </c>
      <c r="T857">
        <f>_xll.ciqfunctions.udf.CIQ(A857, "IQ_VALUE_TRADED", F857)</f>
        <v>1.9476199999999999</v>
      </c>
    </row>
    <row r="858" spans="1:20" x14ac:dyDescent="0.3">
      <c r="A858" t="s">
        <v>2422</v>
      </c>
      <c r="B858" s="2">
        <v>1.49</v>
      </c>
      <c r="C858" t="s">
        <v>2423</v>
      </c>
      <c r="D858" t="s">
        <v>318</v>
      </c>
      <c r="E858" t="s">
        <v>76</v>
      </c>
      <c r="F858" s="1">
        <v>45405</v>
      </c>
      <c r="G858" t="s">
        <v>2424</v>
      </c>
      <c r="H858">
        <v>17</v>
      </c>
      <c r="I858" t="str">
        <f>_xll.ciqfunctions.udf.CIQ(A858, "IQ_MARKETCAP", F858)</f>
        <v>(Invalid Identifier)</v>
      </c>
      <c r="J858" t="str">
        <f>_xll.ciqfunctions.udf.CIQ(A858, "IQ_PRICE_VOL_HIST_6MTH", F858)</f>
        <v>(Invalid Identifier)</v>
      </c>
      <c r="K858" t="str">
        <f>_xll.ciqfunctions.udf.CIQ(A858, "IQ_LASTSALEPRICE", WORKDAY(F858,-1))</f>
        <v>(Invalid Identifier)</v>
      </c>
      <c r="L858" t="str">
        <f>_xll.ciqfunctions.udf.CIQ(A858, "IQ_LASTSALEPRICE", F858)</f>
        <v>(Invalid Identifier)</v>
      </c>
      <c r="M858" t="str">
        <f>_xll.ciqfunctions.udf.CIQ(A858, "IQ_LASTSALEPRICE", WORKDAY(F858,5))</f>
        <v>(Invalid Identifier)</v>
      </c>
      <c r="N858" t="e">
        <f t="shared" si="26"/>
        <v>#VALUE!</v>
      </c>
      <c r="O858" t="e">
        <f t="shared" si="27"/>
        <v>#VALUE!</v>
      </c>
      <c r="P858">
        <f>LN(_xll.ciqfunctions.udf.CIQ("XBI", "IQ_LASTSALEPRICE", WORKDAY(F858,-1))/_xll.ciqfunctions.udf.CIQ("XBI", "IQ_LASTSALEPRICE", WORKDAY(F858,1)))</f>
        <v>-2.2660872002690183E-3</v>
      </c>
      <c r="Q858">
        <f>LN(_xll.ciqfunctions.udf.CIQ("XBI", "IQ_LASTSALEPRICE", WORKDAY(F858,-1))/_xll.ciqfunctions.udf.CIQ("XBI", "IQ_LASTSALEPRICE", WORKDAY(F858,5)))</f>
        <v>-1.03344745867457E-2</v>
      </c>
      <c r="R858" t="str">
        <f>_xll.ciqfunctions.udf.CIQ(A858, "IQ_SHORT_INTEREST_PERCENT", F858)</f>
        <v>(Invalid Identifier)</v>
      </c>
      <c r="S858" t="str">
        <f>_xll.ciqfunctions.udf.CIQ(A858, "IQ_BETA_1YR_RSQ", F858)</f>
        <v>(Invalid Identifier)</v>
      </c>
      <c r="T858" t="str">
        <f>_xll.ciqfunctions.udf.CIQ(A858, "IQ_VALUE_TRADED", F858)</f>
        <v>(Invalid Identifier)</v>
      </c>
    </row>
    <row r="859" spans="1:20" x14ac:dyDescent="0.3">
      <c r="A859" t="s">
        <v>902</v>
      </c>
      <c r="B859" s="2">
        <v>1.78</v>
      </c>
      <c r="C859" t="s">
        <v>1112</v>
      </c>
      <c r="D859" t="s">
        <v>1113</v>
      </c>
      <c r="E859" t="s">
        <v>89</v>
      </c>
      <c r="F859" s="1">
        <v>45405</v>
      </c>
      <c r="G859" t="s">
        <v>2425</v>
      </c>
      <c r="H859">
        <v>9</v>
      </c>
      <c r="I859">
        <f>_xll.ciqfunctions.udf.CIQ(A859, "IQ_MARKETCAP", F859)</f>
        <v>5.0616700000000003</v>
      </c>
      <c r="J859">
        <f>_xll.ciqfunctions.udf.CIQ(A859, "IQ_PRICE_VOL_HIST_6MTH", F859)</f>
        <v>67.531999999999996</v>
      </c>
      <c r="K859">
        <f>_xll.ciqfunctions.udf.CIQ(A859, "IQ_LASTSALEPRICE", WORKDAY(F859,-1))</f>
        <v>1.99</v>
      </c>
      <c r="L859">
        <f>_xll.ciqfunctions.udf.CIQ(A859, "IQ_LASTSALEPRICE", F859)</f>
        <v>1.78</v>
      </c>
      <c r="M859">
        <f>_xll.ciqfunctions.udf.CIQ(A859, "IQ_LASTSALEPRICE", WORKDAY(F859,5))</f>
        <v>1.8376999999999999</v>
      </c>
      <c r="N859">
        <f t="shared" si="26"/>
        <v>-0.11152127443240727</v>
      </c>
      <c r="O859">
        <f t="shared" si="27"/>
        <v>-7.9619849017159419E-2</v>
      </c>
      <c r="P859">
        <f>LN(_xll.ciqfunctions.udf.CIQ("XBI", "IQ_LASTSALEPRICE", WORKDAY(F859,-1))/_xll.ciqfunctions.udf.CIQ("XBI", "IQ_LASTSALEPRICE", WORKDAY(F859,1)))</f>
        <v>-2.2660872002690183E-3</v>
      </c>
      <c r="Q859">
        <f>LN(_xll.ciqfunctions.udf.CIQ("XBI", "IQ_LASTSALEPRICE", WORKDAY(F859,-1))/_xll.ciqfunctions.udf.CIQ("XBI", "IQ_LASTSALEPRICE", WORKDAY(F859,5)))</f>
        <v>-1.03344745867457E-2</v>
      </c>
      <c r="R859">
        <f>_xll.ciqfunctions.udf.CIQ(A859, "IQ_SHORT_INTEREST_PERCENT", F859)</f>
        <v>2.15896</v>
      </c>
      <c r="S859">
        <f>_xll.ciqfunctions.udf.CIQ(A859, "IQ_BETA_1YR_RSQ", F859)</f>
        <v>0.10808</v>
      </c>
      <c r="T859">
        <f>_xll.ciqfunctions.udf.CIQ(A859, "IQ_VALUE_TRADED", F859)</f>
        <v>9.3699899999999996</v>
      </c>
    </row>
    <row r="860" spans="1:20" x14ac:dyDescent="0.3">
      <c r="A860" t="s">
        <v>1818</v>
      </c>
      <c r="B860" s="2">
        <v>140.09</v>
      </c>
      <c r="C860" t="s">
        <v>2426</v>
      </c>
      <c r="D860" t="s">
        <v>2427</v>
      </c>
      <c r="E860" t="s">
        <v>76</v>
      </c>
      <c r="F860" s="1">
        <v>45405</v>
      </c>
      <c r="G860" t="s">
        <v>2428</v>
      </c>
      <c r="H860">
        <v>99</v>
      </c>
      <c r="I860">
        <f>_xll.ciqfunctions.udf.CIQ(A860, "IQ_MARKETCAP", F860)</f>
        <v>14090.321830000001</v>
      </c>
      <c r="J860">
        <f>_xll.ciqfunctions.udf.CIQ(A860, "IQ_PRICE_VOL_HIST_6MTH", F860)</f>
        <v>25.981300000000001</v>
      </c>
      <c r="K860">
        <f>_xll.ciqfunctions.udf.CIQ(A860, "IQ_LASTSALEPRICE", WORKDAY(F860,-1))</f>
        <v>133.66</v>
      </c>
      <c r="L860">
        <f>_xll.ciqfunctions.udf.CIQ(A860, "IQ_LASTSALEPRICE", F860)</f>
        <v>140.09</v>
      </c>
      <c r="M860">
        <f>_xll.ciqfunctions.udf.CIQ(A860, "IQ_LASTSALEPRICE", WORKDAY(F860,5))</f>
        <v>137.54</v>
      </c>
      <c r="N860">
        <f t="shared" si="26"/>
        <v>4.6985811125098587E-2</v>
      </c>
      <c r="O860">
        <f t="shared" si="27"/>
        <v>2.8615521808766042E-2</v>
      </c>
      <c r="P860">
        <f>LN(_xll.ciqfunctions.udf.CIQ("XBI", "IQ_LASTSALEPRICE", WORKDAY(F860,-1))/_xll.ciqfunctions.udf.CIQ("XBI", "IQ_LASTSALEPRICE", WORKDAY(F860,1)))</f>
        <v>-2.2660872002690183E-3</v>
      </c>
      <c r="Q860">
        <f>LN(_xll.ciqfunctions.udf.CIQ("XBI", "IQ_LASTSALEPRICE", WORKDAY(F860,-1))/_xll.ciqfunctions.udf.CIQ("XBI", "IQ_LASTSALEPRICE", WORKDAY(F860,5)))</f>
        <v>-1.03344745867457E-2</v>
      </c>
      <c r="R860">
        <f>_xll.ciqfunctions.udf.CIQ(A860, "IQ_SHORT_INTEREST_PERCENT", F860)</f>
        <v>2.4121100000000002</v>
      </c>
      <c r="S860">
        <f>_xll.ciqfunctions.udf.CIQ(A860, "IQ_BETA_1YR_RSQ", F860)</f>
        <v>0.11564000000000001</v>
      </c>
      <c r="T860">
        <f>_xll.ciqfunctions.udf.CIQ(A860, "IQ_VALUE_TRADED", F860)</f>
        <v>225.23921999999999</v>
      </c>
    </row>
    <row r="861" spans="1:20" x14ac:dyDescent="0.3">
      <c r="A861" t="s">
        <v>351</v>
      </c>
      <c r="B861" s="2">
        <v>13.38</v>
      </c>
      <c r="C861" t="s">
        <v>2426</v>
      </c>
      <c r="D861" t="s">
        <v>2427</v>
      </c>
      <c r="E861" t="s">
        <v>76</v>
      </c>
      <c r="F861" s="1">
        <v>45405</v>
      </c>
      <c r="G861" t="s">
        <v>2428</v>
      </c>
      <c r="I861">
        <f>_xll.ciqfunctions.udf.CIQ(A861, "IQ_MARKETCAP", F861)</f>
        <v>6467145.3338200003</v>
      </c>
      <c r="J861">
        <f>_xll.ciqfunctions.udf.CIQ(A861, "IQ_PRICE_VOL_HIST_6MTH", F861)</f>
        <v>19.169699999999999</v>
      </c>
      <c r="K861">
        <f>_xll.ciqfunctions.udf.CIQ(A861, "IQ_LASTSALEPRICE", WORKDAY(F861,-1))</f>
        <v>13.36</v>
      </c>
      <c r="L861">
        <f>_xll.ciqfunctions.udf.CIQ(A861, "IQ_LASTSALEPRICE", F861)</f>
        <v>13.38</v>
      </c>
      <c r="M861">
        <f>_xll.ciqfunctions.udf.CIQ(A861, "IQ_LASTSALEPRICE", WORKDAY(F861,5))</f>
        <v>13.08</v>
      </c>
      <c r="N861">
        <f t="shared" si="26"/>
        <v>1.4958865915829297E-3</v>
      </c>
      <c r="O861">
        <f t="shared" si="27"/>
        <v>-2.1180822079447024E-2</v>
      </c>
      <c r="P861">
        <f>LN(_xll.ciqfunctions.udf.CIQ("XBI", "IQ_LASTSALEPRICE", WORKDAY(F861,-1))/_xll.ciqfunctions.udf.CIQ("XBI", "IQ_LASTSALEPRICE", WORKDAY(F861,1)))</f>
        <v>-2.2660872002690183E-3</v>
      </c>
      <c r="Q861">
        <f>LN(_xll.ciqfunctions.udf.CIQ("XBI", "IQ_LASTSALEPRICE", WORKDAY(F861,-1))/_xll.ciqfunctions.udf.CIQ("XBI", "IQ_LASTSALEPRICE", WORKDAY(F861,5)))</f>
        <v>-1.03344745867457E-2</v>
      </c>
      <c r="R861">
        <f>_xll.ciqfunctions.udf.CIQ(A861, "IQ_SHORT_INTEREST_PERCENT", F861)</f>
        <v>0</v>
      </c>
      <c r="S861">
        <f>_xll.ciqfunctions.udf.CIQ(A861, "IQ_BETA_1YR_RSQ", F861)</f>
        <v>0</v>
      </c>
      <c r="T861">
        <f>_xll.ciqfunctions.udf.CIQ(A861, "IQ_VALUE_TRADED", F861)</f>
        <v>22.778580000000002</v>
      </c>
    </row>
    <row r="862" spans="1:20" x14ac:dyDescent="0.3">
      <c r="A862" t="s">
        <v>2429</v>
      </c>
      <c r="B862" s="2">
        <v>13.88</v>
      </c>
      <c r="C862" t="s">
        <v>2430</v>
      </c>
      <c r="D862" t="s">
        <v>1086</v>
      </c>
      <c r="E862" t="s">
        <v>22</v>
      </c>
      <c r="F862" s="1">
        <v>45405</v>
      </c>
      <c r="G862" t="s">
        <v>2431</v>
      </c>
      <c r="H862">
        <v>27</v>
      </c>
      <c r="I862">
        <f>_xll.ciqfunctions.udf.CIQ(A862, "IQ_MARKETCAP", F862)</f>
        <v>372.85723000000002</v>
      </c>
      <c r="J862">
        <f>_xll.ciqfunctions.udf.CIQ(A862, "IQ_PRICE_VOL_HIST_6MTH", F862)</f>
        <v>0</v>
      </c>
      <c r="K862">
        <f>_xll.ciqfunctions.udf.CIQ(A862, "IQ_LASTSALEPRICE", WORKDAY(F862,-1))</f>
        <v>13.64</v>
      </c>
      <c r="L862">
        <f>_xll.ciqfunctions.udf.CIQ(A862, "IQ_LASTSALEPRICE", F862)</f>
        <v>13.88</v>
      </c>
      <c r="M862">
        <f>_xll.ciqfunctions.udf.CIQ(A862, "IQ_LASTSALEPRICE", WORKDAY(F862,5))</f>
        <v>15.51</v>
      </c>
      <c r="N862">
        <f t="shared" si="26"/>
        <v>1.7442302663342388E-2</v>
      </c>
      <c r="O862">
        <f t="shared" si="27"/>
        <v>0.12847832477313131</v>
      </c>
      <c r="P862">
        <f>LN(_xll.ciqfunctions.udf.CIQ("XBI", "IQ_LASTSALEPRICE", WORKDAY(F862,-1))/_xll.ciqfunctions.udf.CIQ("XBI", "IQ_LASTSALEPRICE", WORKDAY(F862,1)))</f>
        <v>-2.2660872002690183E-3</v>
      </c>
      <c r="Q862">
        <f>LN(_xll.ciqfunctions.udf.CIQ("XBI", "IQ_LASTSALEPRICE", WORKDAY(F862,-1))/_xll.ciqfunctions.udf.CIQ("XBI", "IQ_LASTSALEPRICE", WORKDAY(F862,5)))</f>
        <v>-1.03344745867457E-2</v>
      </c>
      <c r="R862">
        <f>_xll.ciqfunctions.udf.CIQ(A862, "IQ_SHORT_INTEREST_PERCENT", F862)</f>
        <v>8.9213000000000005</v>
      </c>
      <c r="S862">
        <f>_xll.ciqfunctions.udf.CIQ(A862, "IQ_BETA_1YR_RSQ", F862)</f>
        <v>2.5999999999999998E-4</v>
      </c>
      <c r="T862">
        <f>_xll.ciqfunctions.udf.CIQ(A862, "IQ_VALUE_TRADED", F862)</f>
        <v>1.18509</v>
      </c>
    </row>
    <row r="863" spans="1:20" x14ac:dyDescent="0.3">
      <c r="A863" t="s">
        <v>1976</v>
      </c>
      <c r="B863" s="2">
        <v>6.44</v>
      </c>
      <c r="C863" t="s">
        <v>2432</v>
      </c>
      <c r="D863" t="s">
        <v>188</v>
      </c>
      <c r="E863" t="s">
        <v>89</v>
      </c>
      <c r="F863" s="1">
        <v>45405</v>
      </c>
      <c r="G863" t="s">
        <v>2433</v>
      </c>
      <c r="H863">
        <v>45</v>
      </c>
      <c r="I863">
        <f>_xll.ciqfunctions.udf.CIQ(A863, "IQ_MARKETCAP", F863)</f>
        <v>279.15701999999999</v>
      </c>
      <c r="J863">
        <f>_xll.ciqfunctions.udf.CIQ(A863, "IQ_PRICE_VOL_HIST_6MTH", F863)</f>
        <v>116.7671</v>
      </c>
      <c r="K863">
        <f>_xll.ciqfunctions.udf.CIQ(A863, "IQ_LASTSALEPRICE", WORKDAY(F863,-1))</f>
        <v>6.09</v>
      </c>
      <c r="L863">
        <f>_xll.ciqfunctions.udf.CIQ(A863, "IQ_LASTSALEPRICE", F863)</f>
        <v>6.44</v>
      </c>
      <c r="M863">
        <f>_xll.ciqfunctions.udf.CIQ(A863, "IQ_LASTSALEPRICE", WORKDAY(F863,5))</f>
        <v>6.24</v>
      </c>
      <c r="N863">
        <f t="shared" si="26"/>
        <v>5.5880458394456628E-2</v>
      </c>
      <c r="O863">
        <f t="shared" si="27"/>
        <v>2.4332100659530721E-2</v>
      </c>
      <c r="P863">
        <f>LN(_xll.ciqfunctions.udf.CIQ("XBI", "IQ_LASTSALEPRICE", WORKDAY(F863,-1))/_xll.ciqfunctions.udf.CIQ("XBI", "IQ_LASTSALEPRICE", WORKDAY(F863,1)))</f>
        <v>-2.2660872002690183E-3</v>
      </c>
      <c r="Q863">
        <f>LN(_xll.ciqfunctions.udf.CIQ("XBI", "IQ_LASTSALEPRICE", WORKDAY(F863,-1))/_xll.ciqfunctions.udf.CIQ("XBI", "IQ_LASTSALEPRICE", WORKDAY(F863,5)))</f>
        <v>-1.03344745867457E-2</v>
      </c>
      <c r="R863">
        <f>_xll.ciqfunctions.udf.CIQ(A863, "IQ_SHORT_INTEREST_PERCENT", F863)</f>
        <v>1.0889</v>
      </c>
      <c r="S863">
        <f>_xll.ciqfunctions.udf.CIQ(A863, "IQ_BETA_1YR_RSQ", F863)</f>
        <v>6.0400000000000002E-3</v>
      </c>
      <c r="T863">
        <f>_xll.ciqfunctions.udf.CIQ(A863, "IQ_VALUE_TRADED", F863)</f>
        <v>2.53729</v>
      </c>
    </row>
    <row r="864" spans="1:20" x14ac:dyDescent="0.3">
      <c r="A864" t="s">
        <v>2079</v>
      </c>
      <c r="B864" s="2">
        <v>10.14</v>
      </c>
      <c r="C864" t="s">
        <v>2434</v>
      </c>
      <c r="D864" t="s">
        <v>2435</v>
      </c>
      <c r="E864" t="s">
        <v>76</v>
      </c>
      <c r="F864" s="1">
        <v>45405</v>
      </c>
      <c r="G864" t="s">
        <v>2436</v>
      </c>
      <c r="H864">
        <v>26</v>
      </c>
      <c r="I864">
        <f>_xll.ciqfunctions.udf.CIQ(A864, "IQ_MARKETCAP", F864)</f>
        <v>190.37835000000001</v>
      </c>
      <c r="J864">
        <f>_xll.ciqfunctions.udf.CIQ(A864, "IQ_PRICE_VOL_HIST_6MTH", F864)</f>
        <v>80.815200000000004</v>
      </c>
      <c r="K864">
        <f>_xll.ciqfunctions.udf.CIQ(A864, "IQ_LASTSALEPRICE", WORKDAY(F864,-1))</f>
        <v>10.625</v>
      </c>
      <c r="L864">
        <f>_xll.ciqfunctions.udf.CIQ(A864, "IQ_LASTSALEPRICE", F864)</f>
        <v>10.14</v>
      </c>
      <c r="M864">
        <f>_xll.ciqfunctions.udf.CIQ(A864, "IQ_LASTSALEPRICE", WORKDAY(F864,5))</f>
        <v>11.84</v>
      </c>
      <c r="N864">
        <f t="shared" si="26"/>
        <v>-4.672171664744338E-2</v>
      </c>
      <c r="O864">
        <f t="shared" si="27"/>
        <v>0.10827391464537905</v>
      </c>
      <c r="P864">
        <f>LN(_xll.ciqfunctions.udf.CIQ("XBI", "IQ_LASTSALEPRICE", WORKDAY(F864,-1))/_xll.ciqfunctions.udf.CIQ("XBI", "IQ_LASTSALEPRICE", WORKDAY(F864,1)))</f>
        <v>-2.2660872002690183E-3</v>
      </c>
      <c r="Q864">
        <f>LN(_xll.ciqfunctions.udf.CIQ("XBI", "IQ_LASTSALEPRICE", WORKDAY(F864,-1))/_xll.ciqfunctions.udf.CIQ("XBI", "IQ_LASTSALEPRICE", WORKDAY(F864,5)))</f>
        <v>-1.03344745867457E-2</v>
      </c>
      <c r="R864">
        <f>_xll.ciqfunctions.udf.CIQ(A864, "IQ_SHORT_INTEREST_PERCENT", F864)</f>
        <v>8.1275999999999993</v>
      </c>
      <c r="S864">
        <f>_xll.ciqfunctions.udf.CIQ(A864, "IQ_BETA_1YR_RSQ", F864)</f>
        <v>4.7469999999999998E-2</v>
      </c>
      <c r="T864">
        <f>_xll.ciqfunctions.udf.CIQ(A864, "IQ_VALUE_TRADED", F864)</f>
        <v>1.81114</v>
      </c>
    </row>
    <row r="865" spans="1:20" x14ac:dyDescent="0.3">
      <c r="A865" t="s">
        <v>42</v>
      </c>
      <c r="B865" s="2">
        <v>97.28</v>
      </c>
      <c r="C865" t="s">
        <v>430</v>
      </c>
      <c r="D865" t="s">
        <v>431</v>
      </c>
      <c r="E865" t="s">
        <v>160</v>
      </c>
      <c r="F865" s="1">
        <v>45405</v>
      </c>
      <c r="G865" t="s">
        <v>2437</v>
      </c>
      <c r="I865">
        <f>_xll.ciqfunctions.udf.CIQ(A865, "IQ_MARKETCAP", F865)</f>
        <v>1427.29144</v>
      </c>
      <c r="J865">
        <f>_xll.ciqfunctions.udf.CIQ(A865, "IQ_PRICE_VOL_HIST_6MTH", F865)</f>
        <v>54.971499999999999</v>
      </c>
      <c r="K865">
        <f>_xll.ciqfunctions.udf.CIQ(A865, "IQ_LASTSALEPRICE", WORKDAY(F865,-1))</f>
        <v>4.88</v>
      </c>
      <c r="L865">
        <f>_xll.ciqfunctions.udf.CIQ(A865, "IQ_LASTSALEPRICE", F865)</f>
        <v>4.5999999999999996</v>
      </c>
      <c r="M865">
        <f>_xll.ciqfunctions.udf.CIQ(A865, "IQ_LASTSALEPRICE", WORKDAY(F865,5))</f>
        <v>4.3600000000000003</v>
      </c>
      <c r="N865">
        <f t="shared" si="26"/>
        <v>-5.9088916370006558E-2</v>
      </c>
      <c r="O865">
        <f t="shared" si="27"/>
        <v>-0.11267316250411274</v>
      </c>
      <c r="P865">
        <f>LN(_xll.ciqfunctions.udf.CIQ("XBI", "IQ_LASTSALEPRICE", WORKDAY(F865,-1))/_xll.ciqfunctions.udf.CIQ("XBI", "IQ_LASTSALEPRICE", WORKDAY(F865,1)))</f>
        <v>-2.2660872002690183E-3</v>
      </c>
      <c r="Q865">
        <f>LN(_xll.ciqfunctions.udf.CIQ("XBI", "IQ_LASTSALEPRICE", WORKDAY(F865,-1))/_xll.ciqfunctions.udf.CIQ("XBI", "IQ_LASTSALEPRICE", WORKDAY(F865,5)))</f>
        <v>-1.03344745867457E-2</v>
      </c>
      <c r="R865">
        <f>_xll.ciqfunctions.udf.CIQ(A865, "IQ_SHORT_INTEREST_PERCENT", F865)</f>
        <v>0</v>
      </c>
      <c r="S865">
        <f>_xll.ciqfunctions.udf.CIQ(A865, "IQ_BETA_1YR_RSQ", F865)</f>
        <v>5.6999999999999998E-4</v>
      </c>
      <c r="T865">
        <f>_xll.ciqfunctions.udf.CIQ(A865, "IQ_VALUE_TRADED", F865)</f>
        <v>9.887E-2</v>
      </c>
    </row>
    <row r="866" spans="1:20" x14ac:dyDescent="0.3">
      <c r="A866" t="s">
        <v>2438</v>
      </c>
      <c r="B866" s="2">
        <v>16.64</v>
      </c>
      <c r="C866" t="s">
        <v>2439</v>
      </c>
      <c r="D866" t="s">
        <v>2440</v>
      </c>
      <c r="E866" t="s">
        <v>160</v>
      </c>
      <c r="F866" s="1">
        <v>45405</v>
      </c>
      <c r="G866" t="s">
        <v>2441</v>
      </c>
      <c r="H866">
        <v>102</v>
      </c>
      <c r="I866">
        <f>_xll.ciqfunctions.udf.CIQ(A866, "IQ_MARKETCAP", F866)</f>
        <v>1453.9559899999999</v>
      </c>
      <c r="J866">
        <f>_xll.ciqfunctions.udf.CIQ(A866, "IQ_PRICE_VOL_HIST_6MTH", F866)</f>
        <v>60.4801</v>
      </c>
      <c r="K866">
        <f>_xll.ciqfunctions.udf.CIQ(A866, "IQ_LASTSALEPRICE", WORKDAY(F866,-1))</f>
        <v>15.38</v>
      </c>
      <c r="L866">
        <f>_xll.ciqfunctions.udf.CIQ(A866, "IQ_LASTSALEPRICE", F866)</f>
        <v>16.64</v>
      </c>
      <c r="M866">
        <f>_xll.ciqfunctions.udf.CIQ(A866, "IQ_LASTSALEPRICE", WORKDAY(F866,5))</f>
        <v>17.100000000000001</v>
      </c>
      <c r="N866">
        <f t="shared" si="26"/>
        <v>7.8741471315564665E-2</v>
      </c>
      <c r="O866">
        <f t="shared" si="27"/>
        <v>0.10601049943111633</v>
      </c>
      <c r="P866">
        <f>LN(_xll.ciqfunctions.udf.CIQ("XBI", "IQ_LASTSALEPRICE", WORKDAY(F866,-1))/_xll.ciqfunctions.udf.CIQ("XBI", "IQ_LASTSALEPRICE", WORKDAY(F866,1)))</f>
        <v>-2.2660872002690183E-3</v>
      </c>
      <c r="Q866">
        <f>LN(_xll.ciqfunctions.udf.CIQ("XBI", "IQ_LASTSALEPRICE", WORKDAY(F866,-1))/_xll.ciqfunctions.udf.CIQ("XBI", "IQ_LASTSALEPRICE", WORKDAY(F866,5)))</f>
        <v>-1.03344745867457E-2</v>
      </c>
      <c r="R866">
        <f>_xll.ciqfunctions.udf.CIQ(A866, "IQ_SHORT_INTEREST_PERCENT", F866)</f>
        <v>10.282679999999999</v>
      </c>
      <c r="S866">
        <f>_xll.ciqfunctions.udf.CIQ(A866, "IQ_BETA_1YR_RSQ", F866)</f>
        <v>0.17463999999999999</v>
      </c>
      <c r="T866">
        <f>_xll.ciqfunctions.udf.CIQ(A866, "IQ_VALUE_TRADED", F866)</f>
        <v>111.5693</v>
      </c>
    </row>
    <row r="867" spans="1:20" x14ac:dyDescent="0.3">
      <c r="A867" t="s">
        <v>618</v>
      </c>
      <c r="B867" s="2">
        <v>30.54</v>
      </c>
      <c r="C867" t="s">
        <v>2442</v>
      </c>
      <c r="D867" t="s">
        <v>2443</v>
      </c>
      <c r="E867" t="s">
        <v>184</v>
      </c>
      <c r="F867" s="1">
        <v>45406</v>
      </c>
      <c r="G867" t="s">
        <v>2444</v>
      </c>
      <c r="I867">
        <f>_xll.ciqfunctions.udf.CIQ(A867, "IQ_MARKETCAP", F867)</f>
        <v>178960.90718000001</v>
      </c>
      <c r="J867">
        <f>_xll.ciqfunctions.udf.CIQ(A867, "IQ_PRICE_VOL_HIST_6MTH", F867)</f>
        <v>0</v>
      </c>
      <c r="K867">
        <f>_xll.ciqfunctions.udf.CIQ(A867, "IQ_LASTSALEPRICE", WORKDAY(F867,-1))</f>
        <v>0</v>
      </c>
      <c r="L867">
        <f>_xll.ciqfunctions.udf.CIQ(A867, "IQ_LASTSALEPRICE", F867)</f>
        <v>0</v>
      </c>
      <c r="M867">
        <f>_xll.ciqfunctions.udf.CIQ(A867, "IQ_LASTSALEPRICE", WORKDAY(F867,5))</f>
        <v>0</v>
      </c>
      <c r="N867" t="e">
        <f t="shared" si="26"/>
        <v>#DIV/0!</v>
      </c>
      <c r="O867" t="e">
        <f t="shared" si="27"/>
        <v>#DIV/0!</v>
      </c>
      <c r="P867">
        <f>LN(_xll.ciqfunctions.udf.CIQ("XBI", "IQ_LASTSALEPRICE", WORKDAY(F867,-1))/_xll.ciqfunctions.udf.CIQ("XBI", "IQ_LASTSALEPRICE", WORKDAY(F867,1)))</f>
        <v>2.9598949463775191E-2</v>
      </c>
      <c r="Q867">
        <f>LN(_xll.ciqfunctions.udf.CIQ("XBI", "IQ_LASTSALEPRICE", WORKDAY(F867,-1))/_xll.ciqfunctions.udf.CIQ("XBI", "IQ_LASTSALEPRICE", WORKDAY(F867,5)))</f>
        <v>-3.0696515492133869E-2</v>
      </c>
      <c r="R867">
        <f>_xll.ciqfunctions.udf.CIQ(A867, "IQ_SHORT_INTEREST_PERCENT", F867)</f>
        <v>0</v>
      </c>
      <c r="S867">
        <f>_xll.ciqfunctions.udf.CIQ(A867, "IQ_BETA_1YR_RSQ", F867)</f>
        <v>0</v>
      </c>
      <c r="T867">
        <f>_xll.ciqfunctions.udf.CIQ(A867, "IQ_VALUE_TRADED", F867)</f>
        <v>0</v>
      </c>
    </row>
    <row r="868" spans="1:20" x14ac:dyDescent="0.3">
      <c r="A868" t="s">
        <v>2445</v>
      </c>
      <c r="B868" s="2">
        <v>8.5</v>
      </c>
      <c r="C868" t="s">
        <v>2442</v>
      </c>
      <c r="D868" t="s">
        <v>2443</v>
      </c>
      <c r="E868" t="s">
        <v>184</v>
      </c>
      <c r="F868" s="1">
        <v>45406</v>
      </c>
      <c r="G868" t="s">
        <v>2444</v>
      </c>
      <c r="H868">
        <v>12</v>
      </c>
      <c r="I868">
        <f>_xll.ciqfunctions.udf.CIQ(A868, "IQ_MARKETCAP", F868)</f>
        <v>106.57989000000001</v>
      </c>
      <c r="J868">
        <f>_xll.ciqfunctions.udf.CIQ(A868, "IQ_PRICE_VOL_HIST_6MTH", F868)</f>
        <v>100.3754</v>
      </c>
      <c r="K868">
        <f>_xll.ciqfunctions.udf.CIQ(A868, "IQ_LASTSALEPRICE", WORKDAY(F868,-1))</f>
        <v>7.65</v>
      </c>
      <c r="L868">
        <f>_xll.ciqfunctions.udf.CIQ(A868, "IQ_LASTSALEPRICE", F868)</f>
        <v>8.5</v>
      </c>
      <c r="M868">
        <f>_xll.ciqfunctions.udf.CIQ(A868, "IQ_LASTSALEPRICE", WORKDAY(F868,5))</f>
        <v>8.99</v>
      </c>
      <c r="N868">
        <f t="shared" si="26"/>
        <v>0.10536051565782635</v>
      </c>
      <c r="O868">
        <f t="shared" si="27"/>
        <v>0.16140720064508449</v>
      </c>
      <c r="P868">
        <f>LN(_xll.ciqfunctions.udf.CIQ("XBI", "IQ_LASTSALEPRICE", WORKDAY(F868,-1))/_xll.ciqfunctions.udf.CIQ("XBI", "IQ_LASTSALEPRICE", WORKDAY(F868,1)))</f>
        <v>2.9598949463775191E-2</v>
      </c>
      <c r="Q868">
        <f>LN(_xll.ciqfunctions.udf.CIQ("XBI", "IQ_LASTSALEPRICE", WORKDAY(F868,-1))/_xll.ciqfunctions.udf.CIQ("XBI", "IQ_LASTSALEPRICE", WORKDAY(F868,5)))</f>
        <v>-3.0696515492133869E-2</v>
      </c>
      <c r="R868">
        <f>_xll.ciqfunctions.udf.CIQ(A868, "IQ_SHORT_INTEREST_PERCENT", F868)</f>
        <v>0.25258999999999998</v>
      </c>
      <c r="S868">
        <f>_xll.ciqfunctions.udf.CIQ(A868, "IQ_BETA_1YR_RSQ", F868)</f>
        <v>2.1059999999999999E-2</v>
      </c>
      <c r="T868">
        <f>_xll.ciqfunctions.udf.CIQ(A868, "IQ_VALUE_TRADED", F868)</f>
        <v>8.8772599999999997</v>
      </c>
    </row>
    <row r="869" spans="1:20" x14ac:dyDescent="0.3">
      <c r="A869" t="s">
        <v>56</v>
      </c>
      <c r="B869" s="2">
        <v>13.54</v>
      </c>
      <c r="C869" t="s">
        <v>2446</v>
      </c>
      <c r="D869" t="s">
        <v>2447</v>
      </c>
      <c r="E869" t="s">
        <v>36</v>
      </c>
      <c r="F869" s="1">
        <v>45406</v>
      </c>
      <c r="G869" t="s">
        <v>2448</v>
      </c>
      <c r="H869">
        <v>301</v>
      </c>
      <c r="I869">
        <f>_xll.ciqfunctions.udf.CIQ(A869, "IQ_MARKETCAP", F869)</f>
        <v>3785.3353699999998</v>
      </c>
      <c r="J869">
        <f>_xll.ciqfunctions.udf.CIQ(A869, "IQ_PRICE_VOL_HIST_6MTH", F869)</f>
        <v>47.122700000000002</v>
      </c>
      <c r="K869">
        <f>_xll.ciqfunctions.udf.CIQ(A869, "IQ_LASTSALEPRICE", WORKDAY(F869,-1))</f>
        <v>13.4</v>
      </c>
      <c r="L869">
        <f>_xll.ciqfunctions.udf.CIQ(A869, "IQ_LASTSALEPRICE", F869)</f>
        <v>13.54</v>
      </c>
      <c r="M869">
        <f>_xll.ciqfunctions.udf.CIQ(A869, "IQ_LASTSALEPRICE", WORKDAY(F869,5))</f>
        <v>14.48</v>
      </c>
      <c r="N869">
        <f t="shared" si="26"/>
        <v>1.0393560527263082E-2</v>
      </c>
      <c r="O869">
        <f t="shared" si="27"/>
        <v>7.7513680000704674E-2</v>
      </c>
      <c r="P869">
        <f>LN(_xll.ciqfunctions.udf.CIQ("XBI", "IQ_LASTSALEPRICE", WORKDAY(F869,-1))/_xll.ciqfunctions.udf.CIQ("XBI", "IQ_LASTSALEPRICE", WORKDAY(F869,1)))</f>
        <v>2.9598949463775191E-2</v>
      </c>
      <c r="Q869">
        <f>LN(_xll.ciqfunctions.udf.CIQ("XBI", "IQ_LASTSALEPRICE", WORKDAY(F869,-1))/_xll.ciqfunctions.udf.CIQ("XBI", "IQ_LASTSALEPRICE", WORKDAY(F869,5)))</f>
        <v>-3.0696515492133869E-2</v>
      </c>
      <c r="R869">
        <f>_xll.ciqfunctions.udf.CIQ(A869, "IQ_SHORT_INTEREST_PERCENT", F869)</f>
        <v>5.7110000000000001E-2</v>
      </c>
      <c r="S869">
        <f>_xll.ciqfunctions.udf.CIQ(A869, "IQ_BETA_1YR_RSQ", F869)</f>
        <v>7.7400000000000004E-3</v>
      </c>
      <c r="T869">
        <f>_xll.ciqfunctions.udf.CIQ(A869, "IQ_VALUE_TRADED", F869)</f>
        <v>2.5873499999999998</v>
      </c>
    </row>
    <row r="870" spans="1:20" x14ac:dyDescent="0.3">
      <c r="A870" t="s">
        <v>131</v>
      </c>
      <c r="B870" s="2">
        <v>2.59</v>
      </c>
      <c r="C870" t="s">
        <v>2449</v>
      </c>
      <c r="D870" t="s">
        <v>2450</v>
      </c>
      <c r="E870" t="s">
        <v>197</v>
      </c>
      <c r="F870" s="1">
        <v>45406</v>
      </c>
      <c r="G870" t="s">
        <v>2451</v>
      </c>
      <c r="H870">
        <v>145</v>
      </c>
      <c r="I870">
        <f>_xll.ciqfunctions.udf.CIQ(A870, "IQ_MARKETCAP", F870)</f>
        <v>534.97555</v>
      </c>
      <c r="J870">
        <f>_xll.ciqfunctions.udf.CIQ(A870, "IQ_PRICE_VOL_HIST_6MTH", F870)</f>
        <v>55.907499999999999</v>
      </c>
      <c r="K870">
        <f>_xll.ciqfunctions.udf.CIQ(A870, "IQ_LASTSALEPRICE", WORKDAY(F870,-1))</f>
        <v>2.5099999999999998</v>
      </c>
      <c r="L870">
        <f>_xll.ciqfunctions.udf.CIQ(A870, "IQ_LASTSALEPRICE", F870)</f>
        <v>2.59</v>
      </c>
      <c r="M870">
        <f>_xll.ciqfunctions.udf.CIQ(A870, "IQ_LASTSALEPRICE", WORKDAY(F870,5))</f>
        <v>2.6</v>
      </c>
      <c r="N870">
        <f t="shared" si="26"/>
        <v>3.1375122567753835E-2</v>
      </c>
      <c r="O870">
        <f t="shared" si="27"/>
        <v>3.5228691883744029E-2</v>
      </c>
      <c r="P870">
        <f>LN(_xll.ciqfunctions.udf.CIQ("XBI", "IQ_LASTSALEPRICE", WORKDAY(F870,-1))/_xll.ciqfunctions.udf.CIQ("XBI", "IQ_LASTSALEPRICE", WORKDAY(F870,1)))</f>
        <v>2.9598949463775191E-2</v>
      </c>
      <c r="Q870">
        <f>LN(_xll.ciqfunctions.udf.CIQ("XBI", "IQ_LASTSALEPRICE", WORKDAY(F870,-1))/_xll.ciqfunctions.udf.CIQ("XBI", "IQ_LASTSALEPRICE", WORKDAY(F870,5)))</f>
        <v>-3.0696515492133869E-2</v>
      </c>
      <c r="R870">
        <f>_xll.ciqfunctions.udf.CIQ(A870, "IQ_SHORT_INTEREST_PERCENT", F870)</f>
        <v>0</v>
      </c>
      <c r="S870">
        <f>_xll.ciqfunctions.udf.CIQ(A870, "IQ_BETA_1YR_RSQ", F870)</f>
        <v>0</v>
      </c>
      <c r="T870">
        <f>_xll.ciqfunctions.udf.CIQ(A870, "IQ_VALUE_TRADED", F870)</f>
        <v>3.6383999999999999</v>
      </c>
    </row>
    <row r="871" spans="1:20" x14ac:dyDescent="0.3">
      <c r="A871" t="s">
        <v>2213</v>
      </c>
      <c r="B871" s="2">
        <v>24.65</v>
      </c>
      <c r="C871" t="s">
        <v>2214</v>
      </c>
      <c r="D871" t="s">
        <v>1663</v>
      </c>
      <c r="E871" t="s">
        <v>76</v>
      </c>
      <c r="F871" s="1">
        <v>45406</v>
      </c>
      <c r="G871" t="s">
        <v>2452</v>
      </c>
      <c r="H871">
        <v>165</v>
      </c>
      <c r="I871">
        <f>_xll.ciqfunctions.udf.CIQ(A871, "IQ_MARKETCAP", F871)</f>
        <v>4170.3901100000003</v>
      </c>
      <c r="J871">
        <f>_xll.ciqfunctions.udf.CIQ(A871, "IQ_PRICE_VOL_HIST_6MTH", F871)</f>
        <v>40.331699999999998</v>
      </c>
      <c r="K871">
        <f>_xll.ciqfunctions.udf.CIQ(A871, "IQ_LASTSALEPRICE", WORKDAY(F871,-1))</f>
        <v>24.26</v>
      </c>
      <c r="L871">
        <f>_xll.ciqfunctions.udf.CIQ(A871, "IQ_LASTSALEPRICE", F871)</f>
        <v>24.65</v>
      </c>
      <c r="M871">
        <f>_xll.ciqfunctions.udf.CIQ(A871, "IQ_LASTSALEPRICE", WORKDAY(F871,5))</f>
        <v>24.01</v>
      </c>
      <c r="N871">
        <f t="shared" si="26"/>
        <v>1.5947996972794927E-2</v>
      </c>
      <c r="O871">
        <f t="shared" si="27"/>
        <v>-1.0358493282742229E-2</v>
      </c>
      <c r="P871">
        <f>LN(_xll.ciqfunctions.udf.CIQ("XBI", "IQ_LASTSALEPRICE", WORKDAY(F871,-1))/_xll.ciqfunctions.udf.CIQ("XBI", "IQ_LASTSALEPRICE", WORKDAY(F871,1)))</f>
        <v>2.9598949463775191E-2</v>
      </c>
      <c r="Q871">
        <f>LN(_xll.ciqfunctions.udf.CIQ("XBI", "IQ_LASTSALEPRICE", WORKDAY(F871,-1))/_xll.ciqfunctions.udf.CIQ("XBI", "IQ_LASTSALEPRICE", WORKDAY(F871,5)))</f>
        <v>-3.0696515492133869E-2</v>
      </c>
      <c r="R871">
        <f>_xll.ciqfunctions.udf.CIQ(A871, "IQ_SHORT_INTEREST_PERCENT", F871)</f>
        <v>7.9898600000000002</v>
      </c>
      <c r="S871">
        <f>_xll.ciqfunctions.udf.CIQ(A871, "IQ_BETA_1YR_RSQ", F871)</f>
        <v>2.3290000000000002E-2</v>
      </c>
      <c r="T871">
        <f>_xll.ciqfunctions.udf.CIQ(A871, "IQ_VALUE_TRADED", F871)</f>
        <v>42.817520000000002</v>
      </c>
    </row>
    <row r="872" spans="1:20" x14ac:dyDescent="0.3">
      <c r="A872" t="s">
        <v>19</v>
      </c>
      <c r="B872" s="2">
        <v>1.87</v>
      </c>
      <c r="C872" t="s">
        <v>1759</v>
      </c>
      <c r="D872" t="s">
        <v>1760</v>
      </c>
      <c r="E872" t="s">
        <v>124</v>
      </c>
      <c r="F872" s="1">
        <v>45406</v>
      </c>
      <c r="G872" t="s">
        <v>2453</v>
      </c>
      <c r="H872">
        <v>214</v>
      </c>
      <c r="I872">
        <f>_xll.ciqfunctions.udf.CIQ(A872, "IQ_MARKETCAP", F872)</f>
        <v>313.06166999999999</v>
      </c>
      <c r="J872">
        <f>_xll.ciqfunctions.udf.CIQ(A872, "IQ_PRICE_VOL_HIST_6MTH", F872)</f>
        <v>98.924000000000007</v>
      </c>
      <c r="K872">
        <f>_xll.ciqfunctions.udf.CIQ(A872, "IQ_LASTSALEPRICE", WORKDAY(F872,-1))</f>
        <v>1.97</v>
      </c>
      <c r="L872">
        <f>_xll.ciqfunctions.udf.CIQ(A872, "IQ_LASTSALEPRICE", F872)</f>
        <v>1.87</v>
      </c>
      <c r="M872">
        <f>_xll.ciqfunctions.udf.CIQ(A872, "IQ_LASTSALEPRICE", WORKDAY(F872,5))</f>
        <v>2.0499999999999998</v>
      </c>
      <c r="N872">
        <f t="shared" si="26"/>
        <v>-5.209511188340181E-2</v>
      </c>
      <c r="O872">
        <f t="shared" si="27"/>
        <v>3.9806250400419574E-2</v>
      </c>
      <c r="P872">
        <f>LN(_xll.ciqfunctions.udf.CIQ("XBI", "IQ_LASTSALEPRICE", WORKDAY(F872,-1))/_xll.ciqfunctions.udf.CIQ("XBI", "IQ_LASTSALEPRICE", WORKDAY(F872,1)))</f>
        <v>2.9598949463775191E-2</v>
      </c>
      <c r="Q872">
        <f>LN(_xll.ciqfunctions.udf.CIQ("XBI", "IQ_LASTSALEPRICE", WORKDAY(F872,-1))/_xll.ciqfunctions.udf.CIQ("XBI", "IQ_LASTSALEPRICE", WORKDAY(F872,5)))</f>
        <v>-3.0696515492133869E-2</v>
      </c>
      <c r="R872">
        <f>_xll.ciqfunctions.udf.CIQ(A872, "IQ_SHORT_INTEREST_PERCENT", F872)</f>
        <v>3.52501</v>
      </c>
      <c r="S872">
        <f>_xll.ciqfunctions.udf.CIQ(A872, "IQ_BETA_1YR_RSQ", F872)</f>
        <v>0.11802</v>
      </c>
      <c r="T872">
        <f>_xll.ciqfunctions.udf.CIQ(A872, "IQ_VALUE_TRADED", F872)</f>
        <v>1.57589</v>
      </c>
    </row>
    <row r="873" spans="1:20" x14ac:dyDescent="0.3">
      <c r="A873" t="s">
        <v>2454</v>
      </c>
      <c r="B873" s="2">
        <v>10.5</v>
      </c>
      <c r="C873" t="s">
        <v>2455</v>
      </c>
      <c r="D873" t="s">
        <v>2456</v>
      </c>
      <c r="E873" t="s">
        <v>76</v>
      </c>
      <c r="F873" s="1">
        <v>45406</v>
      </c>
      <c r="G873" t="s">
        <v>2457</v>
      </c>
      <c r="H873">
        <v>3</v>
      </c>
      <c r="I873">
        <f>_xll.ciqfunctions.udf.CIQ(A873, "IQ_MARKETCAP", F873)</f>
        <v>13.380940000000001</v>
      </c>
      <c r="J873">
        <f>_xll.ciqfunctions.udf.CIQ(A873, "IQ_PRICE_VOL_HIST_6MTH", F873)</f>
        <v>243.09540000000001</v>
      </c>
      <c r="K873">
        <f>_xll.ciqfunctions.udf.CIQ(A873, "IQ_LASTSALEPRICE", WORKDAY(F873,-1))</f>
        <v>10.694649999999999</v>
      </c>
      <c r="L873">
        <f>_xll.ciqfunctions.udf.CIQ(A873, "IQ_LASTSALEPRICE", F873)</f>
        <v>10.4975</v>
      </c>
      <c r="M873">
        <f>_xll.ciqfunctions.udf.CIQ(A873, "IQ_LASTSALEPRICE", WORKDAY(F873,5))</f>
        <v>11.275</v>
      </c>
      <c r="N873">
        <f t="shared" si="26"/>
        <v>-1.8606482849966768E-2</v>
      </c>
      <c r="O873">
        <f t="shared" si="27"/>
        <v>5.2844268962563994E-2</v>
      </c>
      <c r="P873">
        <f>LN(_xll.ciqfunctions.udf.CIQ("XBI", "IQ_LASTSALEPRICE", WORKDAY(F873,-1))/_xll.ciqfunctions.udf.CIQ("XBI", "IQ_LASTSALEPRICE", WORKDAY(F873,1)))</f>
        <v>2.9598949463775191E-2</v>
      </c>
      <c r="Q873">
        <f>LN(_xll.ciqfunctions.udf.CIQ("XBI", "IQ_LASTSALEPRICE", WORKDAY(F873,-1))/_xll.ciqfunctions.udf.CIQ("XBI", "IQ_LASTSALEPRICE", WORKDAY(F873,5)))</f>
        <v>-3.0696515492133869E-2</v>
      </c>
      <c r="R873">
        <f>_xll.ciqfunctions.udf.CIQ(A873, "IQ_SHORT_INTEREST_PERCENT", F873)</f>
        <v>2.3266900000000001</v>
      </c>
      <c r="S873">
        <f>_xll.ciqfunctions.udf.CIQ(A873, "IQ_BETA_1YR_RSQ", F873)</f>
        <v>3.0000000000000001E-5</v>
      </c>
      <c r="T873">
        <f>_xll.ciqfunctions.udf.CIQ(A873, "IQ_VALUE_TRADED", F873)</f>
        <v>8.1089999999999995E-2</v>
      </c>
    </row>
    <row r="874" spans="1:20" x14ac:dyDescent="0.3">
      <c r="A874" t="s">
        <v>1710</v>
      </c>
      <c r="B874" s="2">
        <v>6.05</v>
      </c>
      <c r="C874" t="s">
        <v>2458</v>
      </c>
      <c r="D874" t="s">
        <v>2459</v>
      </c>
      <c r="E874" t="s">
        <v>160</v>
      </c>
      <c r="F874" s="1">
        <v>45406</v>
      </c>
      <c r="G874" t="s">
        <v>2460</v>
      </c>
      <c r="H874">
        <v>314</v>
      </c>
      <c r="I874">
        <f>_xll.ciqfunctions.udf.CIQ(A874, "IQ_MARKETCAP", F874)</f>
        <v>1866.75308</v>
      </c>
      <c r="J874">
        <f>_xll.ciqfunctions.udf.CIQ(A874, "IQ_PRICE_VOL_HIST_6MTH", F874)</f>
        <v>48.257899999999999</v>
      </c>
      <c r="K874">
        <f>_xll.ciqfunctions.udf.CIQ(A874, "IQ_LASTSALEPRICE", WORKDAY(F874,-1))</f>
        <v>5.4</v>
      </c>
      <c r="L874">
        <f>_xll.ciqfunctions.udf.CIQ(A874, "IQ_LASTSALEPRICE", F874)</f>
        <v>6.05</v>
      </c>
      <c r="M874">
        <f>_xll.ciqfunctions.udf.CIQ(A874, "IQ_LASTSALEPRICE", WORKDAY(F874,5))</f>
        <v>6.12</v>
      </c>
      <c r="N874">
        <f t="shared" si="26"/>
        <v>0.11365931847252128</v>
      </c>
      <c r="O874">
        <f t="shared" si="27"/>
        <v>0.12516314295400599</v>
      </c>
      <c r="P874">
        <f>LN(_xll.ciqfunctions.udf.CIQ("XBI", "IQ_LASTSALEPRICE", WORKDAY(F874,-1))/_xll.ciqfunctions.udf.CIQ("XBI", "IQ_LASTSALEPRICE", WORKDAY(F874,1)))</f>
        <v>2.9598949463775191E-2</v>
      </c>
      <c r="Q874">
        <f>LN(_xll.ciqfunctions.udf.CIQ("XBI", "IQ_LASTSALEPRICE", WORKDAY(F874,-1))/_xll.ciqfunctions.udf.CIQ("XBI", "IQ_LASTSALEPRICE", WORKDAY(F874,5)))</f>
        <v>-3.0696515492133869E-2</v>
      </c>
      <c r="R874">
        <f>_xll.ciqfunctions.udf.CIQ(A874, "IQ_SHORT_INTEREST_PERCENT", F874)</f>
        <v>0.90883999999999998</v>
      </c>
      <c r="S874">
        <f>_xll.ciqfunctions.udf.CIQ(A874, "IQ_BETA_1YR_RSQ", F874)</f>
        <v>5.1610000000000003E-2</v>
      </c>
      <c r="T874">
        <f>_xll.ciqfunctions.udf.CIQ(A874, "IQ_VALUE_TRADED", F874)</f>
        <v>18.55227</v>
      </c>
    </row>
    <row r="875" spans="1:20" x14ac:dyDescent="0.3">
      <c r="A875" t="s">
        <v>851</v>
      </c>
      <c r="B875" s="2">
        <v>5.49</v>
      </c>
      <c r="C875" t="s">
        <v>2461</v>
      </c>
      <c r="D875" t="s">
        <v>2462</v>
      </c>
      <c r="E875" t="s">
        <v>197</v>
      </c>
      <c r="F875" s="1">
        <v>45406</v>
      </c>
      <c r="G875" t="s">
        <v>2463</v>
      </c>
      <c r="H875">
        <v>13</v>
      </c>
      <c r="I875">
        <f>_xll.ciqfunctions.udf.CIQ(A875, "IQ_MARKETCAP", F875)</f>
        <v>58.963230000000003</v>
      </c>
      <c r="J875">
        <f>_xll.ciqfunctions.udf.CIQ(A875, "IQ_PRICE_VOL_HIST_6MTH", F875)</f>
        <v>114.4365</v>
      </c>
      <c r="K875">
        <f>_xll.ciqfunctions.udf.CIQ(A875, "IQ_LASTSALEPRICE", WORKDAY(F875,-1))</f>
        <v>4.59</v>
      </c>
      <c r="L875">
        <f>_xll.ciqfunctions.udf.CIQ(A875, "IQ_LASTSALEPRICE", F875)</f>
        <v>5.49</v>
      </c>
      <c r="M875">
        <f>_xll.ciqfunctions.udf.CIQ(A875, "IQ_LASTSALEPRICE", WORKDAY(F875,5))</f>
        <v>5.96</v>
      </c>
      <c r="N875">
        <f t="shared" si="26"/>
        <v>0.17904823144898563</v>
      </c>
      <c r="O875">
        <f t="shared" si="27"/>
        <v>0.2611904570048047</v>
      </c>
      <c r="P875">
        <f>LN(_xll.ciqfunctions.udf.CIQ("XBI", "IQ_LASTSALEPRICE", WORKDAY(F875,-1))/_xll.ciqfunctions.udf.CIQ("XBI", "IQ_LASTSALEPRICE", WORKDAY(F875,1)))</f>
        <v>2.9598949463775191E-2</v>
      </c>
      <c r="Q875">
        <f>LN(_xll.ciqfunctions.udf.CIQ("XBI", "IQ_LASTSALEPRICE", WORKDAY(F875,-1))/_xll.ciqfunctions.udf.CIQ("XBI", "IQ_LASTSALEPRICE", WORKDAY(F875,5)))</f>
        <v>-3.0696515492133869E-2</v>
      </c>
      <c r="R875">
        <f>_xll.ciqfunctions.udf.CIQ(A875, "IQ_SHORT_INTEREST_PERCENT", F875)</f>
        <v>0.31291000000000002</v>
      </c>
      <c r="S875">
        <f>_xll.ciqfunctions.udf.CIQ(A875, "IQ_BETA_1YR_RSQ", F875)</f>
        <v>0.11831</v>
      </c>
      <c r="T875">
        <f>_xll.ciqfunctions.udf.CIQ(A875, "IQ_VALUE_TRADED", F875)</f>
        <v>0.42116999999999999</v>
      </c>
    </row>
    <row r="876" spans="1:20" x14ac:dyDescent="0.3">
      <c r="A876" t="s">
        <v>42</v>
      </c>
      <c r="B876" s="2">
        <v>98.35</v>
      </c>
      <c r="C876" t="s">
        <v>2464</v>
      </c>
      <c r="D876" t="s">
        <v>2465</v>
      </c>
      <c r="E876" t="s">
        <v>27</v>
      </c>
      <c r="F876" s="1">
        <v>45406</v>
      </c>
      <c r="G876" t="s">
        <v>2466</v>
      </c>
      <c r="I876">
        <f>_xll.ciqfunctions.udf.CIQ(A876, "IQ_MARKETCAP", F876)</f>
        <v>1349.7212500000001</v>
      </c>
      <c r="J876">
        <f>_xll.ciqfunctions.udf.CIQ(A876, "IQ_PRICE_VOL_HIST_6MTH", F876)</f>
        <v>55.567500000000003</v>
      </c>
      <c r="K876">
        <f>_xll.ciqfunctions.udf.CIQ(A876, "IQ_LASTSALEPRICE", WORKDAY(F876,-1))</f>
        <v>4.5999999999999996</v>
      </c>
      <c r="L876">
        <f>_xll.ciqfunctions.udf.CIQ(A876, "IQ_LASTSALEPRICE", F876)</f>
        <v>4.3499999999999996</v>
      </c>
      <c r="M876">
        <f>_xll.ciqfunctions.udf.CIQ(A876, "IQ_LASTSALEPRICE", WORKDAY(F876,5))</f>
        <v>4.3600000000000003</v>
      </c>
      <c r="N876">
        <f t="shared" si="26"/>
        <v>-5.5880458394456614E-2</v>
      </c>
      <c r="O876">
        <f t="shared" si="27"/>
        <v>-5.3584246134106166E-2</v>
      </c>
      <c r="P876">
        <f>LN(_xll.ciqfunctions.udf.CIQ("XBI", "IQ_LASTSALEPRICE", WORKDAY(F876,-1))/_xll.ciqfunctions.udf.CIQ("XBI", "IQ_LASTSALEPRICE", WORKDAY(F876,1)))</f>
        <v>2.9598949463775191E-2</v>
      </c>
      <c r="Q876">
        <f>LN(_xll.ciqfunctions.udf.CIQ("XBI", "IQ_LASTSALEPRICE", WORKDAY(F876,-1))/_xll.ciqfunctions.udf.CIQ("XBI", "IQ_LASTSALEPRICE", WORKDAY(F876,5)))</f>
        <v>-3.0696515492133869E-2</v>
      </c>
      <c r="R876">
        <f>_xll.ciqfunctions.udf.CIQ(A876, "IQ_SHORT_INTEREST_PERCENT", F876)</f>
        <v>0</v>
      </c>
      <c r="S876">
        <f>_xll.ciqfunctions.udf.CIQ(A876, "IQ_BETA_1YR_RSQ", F876)</f>
        <v>5.6999999999999998E-4</v>
      </c>
      <c r="T876">
        <f>_xll.ciqfunctions.udf.CIQ(A876, "IQ_VALUE_TRADED", F876)</f>
        <v>3.3419999999999998E-2</v>
      </c>
    </row>
    <row r="877" spans="1:20" x14ac:dyDescent="0.3">
      <c r="A877" t="s">
        <v>688</v>
      </c>
      <c r="B877" s="2">
        <v>3.19</v>
      </c>
      <c r="C877" t="s">
        <v>689</v>
      </c>
      <c r="D877" t="s">
        <v>690</v>
      </c>
      <c r="E877" t="s">
        <v>22</v>
      </c>
      <c r="F877" s="1">
        <v>45406</v>
      </c>
      <c r="G877" t="s">
        <v>2467</v>
      </c>
      <c r="H877">
        <v>35</v>
      </c>
      <c r="I877">
        <f>_xll.ciqfunctions.udf.CIQ(A877, "IQ_MARKETCAP", F877)</f>
        <v>51.740870000000001</v>
      </c>
      <c r="J877">
        <f>_xll.ciqfunctions.udf.CIQ(A877, "IQ_PRICE_VOL_HIST_6MTH", F877)</f>
        <v>77.170599999999993</v>
      </c>
      <c r="K877">
        <f>_xll.ciqfunctions.udf.CIQ(A877, "IQ_LASTSALEPRICE", WORKDAY(F877,-1))</f>
        <v>3.39</v>
      </c>
      <c r="L877">
        <f>_xll.ciqfunctions.udf.CIQ(A877, "IQ_LASTSALEPRICE", F877)</f>
        <v>3.19</v>
      </c>
      <c r="M877">
        <f>_xll.ciqfunctions.udf.CIQ(A877, "IQ_LASTSALEPRICE", WORKDAY(F877,5))</f>
        <v>2.97</v>
      </c>
      <c r="N877">
        <f t="shared" si="26"/>
        <v>-6.0809004595605745E-2</v>
      </c>
      <c r="O877">
        <f t="shared" si="27"/>
        <v>-0.13226796857775061</v>
      </c>
      <c r="P877">
        <f>LN(_xll.ciqfunctions.udf.CIQ("XBI", "IQ_LASTSALEPRICE", WORKDAY(F877,-1))/_xll.ciqfunctions.udf.CIQ("XBI", "IQ_LASTSALEPRICE", WORKDAY(F877,1)))</f>
        <v>2.9598949463775191E-2</v>
      </c>
      <c r="Q877">
        <f>LN(_xll.ciqfunctions.udf.CIQ("XBI", "IQ_LASTSALEPRICE", WORKDAY(F877,-1))/_xll.ciqfunctions.udf.CIQ("XBI", "IQ_LASTSALEPRICE", WORKDAY(F877,5)))</f>
        <v>-3.0696515492133869E-2</v>
      </c>
      <c r="R877">
        <f>_xll.ciqfunctions.udf.CIQ(A877, "IQ_SHORT_INTEREST_PERCENT", F877)</f>
        <v>0.92230999999999996</v>
      </c>
      <c r="S877">
        <f>_xll.ciqfunctions.udf.CIQ(A877, "IQ_BETA_1YR_RSQ", F877)</f>
        <v>5.4000000000000001E-4</v>
      </c>
      <c r="T877">
        <f>_xll.ciqfunctions.udf.CIQ(A877, "IQ_VALUE_TRADED", F877)</f>
        <v>0.46833000000000002</v>
      </c>
    </row>
    <row r="878" spans="1:20" x14ac:dyDescent="0.3">
      <c r="A878" t="s">
        <v>2216</v>
      </c>
      <c r="B878" s="2">
        <v>9.5</v>
      </c>
      <c r="C878" t="s">
        <v>2468</v>
      </c>
      <c r="D878" t="s">
        <v>2469</v>
      </c>
      <c r="E878" t="s">
        <v>197</v>
      </c>
      <c r="F878" s="1">
        <v>45406</v>
      </c>
      <c r="G878" t="s">
        <v>2470</v>
      </c>
      <c r="H878">
        <v>31</v>
      </c>
      <c r="I878">
        <f>_xll.ciqfunctions.udf.CIQ(A878, "IQ_MARKETCAP", F878)</f>
        <v>293.30407000000002</v>
      </c>
      <c r="J878">
        <f>_xll.ciqfunctions.udf.CIQ(A878, "IQ_PRICE_VOL_HIST_6MTH", F878)</f>
        <v>125.8634</v>
      </c>
      <c r="K878">
        <f>_xll.ciqfunctions.udf.CIQ(A878, "IQ_LASTSALEPRICE", WORKDAY(F878,-1))</f>
        <v>9.82</v>
      </c>
      <c r="L878">
        <f>_xll.ciqfunctions.udf.CIQ(A878, "IQ_LASTSALEPRICE", F878)</f>
        <v>9.5</v>
      </c>
      <c r="M878">
        <f>_xll.ciqfunctions.udf.CIQ(A878, "IQ_LASTSALEPRICE", WORKDAY(F878,5))</f>
        <v>8.23</v>
      </c>
      <c r="N878">
        <f t="shared" si="26"/>
        <v>-3.3129323759879446E-2</v>
      </c>
      <c r="O878">
        <f t="shared" si="27"/>
        <v>-0.17663510767739604</v>
      </c>
      <c r="P878">
        <f>LN(_xll.ciqfunctions.udf.CIQ("XBI", "IQ_LASTSALEPRICE", WORKDAY(F878,-1))/_xll.ciqfunctions.udf.CIQ("XBI", "IQ_LASTSALEPRICE", WORKDAY(F878,1)))</f>
        <v>2.9598949463775191E-2</v>
      </c>
      <c r="Q878">
        <f>LN(_xll.ciqfunctions.udf.CIQ("XBI", "IQ_LASTSALEPRICE", WORKDAY(F878,-1))/_xll.ciqfunctions.udf.CIQ("XBI", "IQ_LASTSALEPRICE", WORKDAY(F878,5)))</f>
        <v>-3.0696515492133869E-2</v>
      </c>
      <c r="R878">
        <f>_xll.ciqfunctions.udf.CIQ(A878, "IQ_SHORT_INTEREST_PERCENT", F878)</f>
        <v>3.3216199999999998</v>
      </c>
      <c r="S878">
        <f>_xll.ciqfunctions.udf.CIQ(A878, "IQ_BETA_1YR_RSQ", F878)</f>
        <v>5.4099999999999999E-3</v>
      </c>
      <c r="T878">
        <f>_xll.ciqfunctions.udf.CIQ(A878, "IQ_VALUE_TRADED", F878)</f>
        <v>3.0421800000000001</v>
      </c>
    </row>
    <row r="879" spans="1:20" x14ac:dyDescent="0.3">
      <c r="A879" t="s">
        <v>1268</v>
      </c>
      <c r="B879" s="2">
        <v>5.1100000000000003</v>
      </c>
      <c r="C879" t="s">
        <v>2471</v>
      </c>
      <c r="D879" t="s">
        <v>2472</v>
      </c>
      <c r="E879" t="s">
        <v>76</v>
      </c>
      <c r="F879" s="1">
        <v>45407</v>
      </c>
      <c r="G879" t="s">
        <v>2473</v>
      </c>
      <c r="H879">
        <v>945</v>
      </c>
      <c r="I879">
        <f>_xll.ciqfunctions.udf.CIQ(A879, "IQ_MARKETCAP", F879)</f>
        <v>3459.4874300000001</v>
      </c>
      <c r="J879">
        <f>_xll.ciqfunctions.udf.CIQ(A879, "IQ_PRICE_VOL_HIST_6MTH", F879)</f>
        <v>129.1174</v>
      </c>
      <c r="K879">
        <f>_xll.ciqfunctions.udf.CIQ(A879, "IQ_LASTSALEPRICE", WORKDAY(F879,-1))</f>
        <v>4.82</v>
      </c>
      <c r="L879">
        <f>_xll.ciqfunctions.udf.CIQ(A879, "IQ_LASTSALEPRICE", F879)</f>
        <v>5.1100000000000003</v>
      </c>
      <c r="M879">
        <f>_xll.ciqfunctions.udf.CIQ(A879, "IQ_LASTSALEPRICE", WORKDAY(F879,5))</f>
        <v>8.9700000000000006</v>
      </c>
      <c r="N879">
        <f t="shared" si="26"/>
        <v>5.8425476153104138E-2</v>
      </c>
      <c r="O879">
        <f t="shared" si="27"/>
        <v>0.6211117480081958</v>
      </c>
      <c r="P879">
        <f>LN(_xll.ciqfunctions.udf.CIQ("XBI", "IQ_LASTSALEPRICE", WORKDAY(F879,-1))/_xll.ciqfunctions.udf.CIQ("XBI", "IQ_LASTSALEPRICE", WORKDAY(F879,1)))</f>
        <v>5.3753936995357549E-3</v>
      </c>
      <c r="Q879">
        <f>LN(_xll.ciqfunctions.udf.CIQ("XBI", "IQ_LASTSALEPRICE", WORKDAY(F879,-1))/_xll.ciqfunctions.udf.CIQ("XBI", "IQ_LASTSALEPRICE", WORKDAY(F879,5)))</f>
        <v>-5.1090748262935623E-2</v>
      </c>
      <c r="R879">
        <f>_xll.ciqfunctions.udf.CIQ(A879, "IQ_SHORT_INTEREST_PERCENT", F879)</f>
        <v>8.1001700000000003</v>
      </c>
      <c r="S879">
        <f>_xll.ciqfunctions.udf.CIQ(A879, "IQ_BETA_1YR_RSQ", F879)</f>
        <v>6.8300000000000001E-3</v>
      </c>
      <c r="T879">
        <f>_xll.ciqfunctions.udf.CIQ(A879, "IQ_VALUE_TRADED", F879)</f>
        <v>43.721290000000003</v>
      </c>
    </row>
    <row r="880" spans="1:20" x14ac:dyDescent="0.3">
      <c r="A880" t="s">
        <v>1855</v>
      </c>
      <c r="B880" s="2">
        <v>4.7</v>
      </c>
      <c r="C880" t="s">
        <v>2474</v>
      </c>
      <c r="D880" t="s">
        <v>2475</v>
      </c>
      <c r="E880" t="s">
        <v>124</v>
      </c>
      <c r="F880" s="1">
        <v>45407</v>
      </c>
      <c r="G880" t="s">
        <v>2476</v>
      </c>
      <c r="H880">
        <v>30</v>
      </c>
      <c r="I880">
        <f>_xll.ciqfunctions.udf.CIQ(A880, "IQ_MARKETCAP", F880)</f>
        <v>127.01848</v>
      </c>
      <c r="J880">
        <f>_xll.ciqfunctions.udf.CIQ(A880, "IQ_PRICE_VOL_HIST_6MTH", F880)</f>
        <v>74.975999999999999</v>
      </c>
      <c r="K880">
        <f>_xll.ciqfunctions.udf.CIQ(A880, "IQ_LASTSALEPRICE", WORKDAY(F880,-1))</f>
        <v>4.72</v>
      </c>
      <c r="L880">
        <f>_xll.ciqfunctions.udf.CIQ(A880, "IQ_LASTSALEPRICE", F880)</f>
        <v>4.7</v>
      </c>
      <c r="M880">
        <f>_xll.ciqfunctions.udf.CIQ(A880, "IQ_LASTSALEPRICE", WORKDAY(F880,5))</f>
        <v>4.41</v>
      </c>
      <c r="N880">
        <f t="shared" si="26"/>
        <v>-4.2462908814509849E-3</v>
      </c>
      <c r="O880">
        <f t="shared" si="27"/>
        <v>-6.7934110138709314E-2</v>
      </c>
      <c r="P880">
        <f>LN(_xll.ciqfunctions.udf.CIQ("XBI", "IQ_LASTSALEPRICE", WORKDAY(F880,-1))/_xll.ciqfunctions.udf.CIQ("XBI", "IQ_LASTSALEPRICE", WORKDAY(F880,1)))</f>
        <v>5.3753936995357549E-3</v>
      </c>
      <c r="Q880">
        <f>LN(_xll.ciqfunctions.udf.CIQ("XBI", "IQ_LASTSALEPRICE", WORKDAY(F880,-1))/_xll.ciqfunctions.udf.CIQ("XBI", "IQ_LASTSALEPRICE", WORKDAY(F880,5)))</f>
        <v>-5.1090748262935623E-2</v>
      </c>
      <c r="R880">
        <f>_xll.ciqfunctions.udf.CIQ(A880, "IQ_SHORT_INTEREST_PERCENT", F880)</f>
        <v>4.7830599999999999</v>
      </c>
      <c r="S880">
        <f>_xll.ciqfunctions.udf.CIQ(A880, "IQ_BETA_1YR_RSQ", F880)</f>
        <v>2.0899999999999998E-3</v>
      </c>
      <c r="T880">
        <f>_xll.ciqfunctions.udf.CIQ(A880, "IQ_VALUE_TRADED", F880)</f>
        <v>0.91557999999999995</v>
      </c>
    </row>
    <row r="881" spans="1:20" x14ac:dyDescent="0.3">
      <c r="A881" t="s">
        <v>2477</v>
      </c>
      <c r="B881" s="2">
        <v>14.76</v>
      </c>
      <c r="C881" t="s">
        <v>2478</v>
      </c>
      <c r="D881" t="s">
        <v>2479</v>
      </c>
      <c r="E881" t="s">
        <v>22</v>
      </c>
      <c r="F881" s="1">
        <v>45407</v>
      </c>
      <c r="G881" t="s">
        <v>2480</v>
      </c>
      <c r="H881">
        <v>353</v>
      </c>
      <c r="I881">
        <f>_xll.ciqfunctions.udf.CIQ(A881, "IQ_MARKETCAP", F881)</f>
        <v>5180.7034400000002</v>
      </c>
      <c r="J881">
        <f>_xll.ciqfunctions.udf.CIQ(A881, "IQ_PRICE_VOL_HIST_6MTH", F881)</f>
        <v>37.934699999999999</v>
      </c>
      <c r="K881">
        <f>_xll.ciqfunctions.udf.CIQ(A881, "IQ_LASTSALEPRICE", WORKDAY(F881,-1))</f>
        <v>14.9</v>
      </c>
      <c r="L881">
        <f>_xll.ciqfunctions.udf.CIQ(A881, "IQ_LASTSALEPRICE", F881)</f>
        <v>14.76</v>
      </c>
      <c r="M881">
        <f>_xll.ciqfunctions.udf.CIQ(A881, "IQ_LASTSALEPRICE", WORKDAY(F881,5))</f>
        <v>13.86</v>
      </c>
      <c r="N881">
        <f t="shared" si="26"/>
        <v>-9.4403937790870727E-3</v>
      </c>
      <c r="O881">
        <f t="shared" si="27"/>
        <v>-7.2354219189656371E-2</v>
      </c>
      <c r="P881">
        <f>LN(_xll.ciqfunctions.udf.CIQ("XBI", "IQ_LASTSALEPRICE", WORKDAY(F881,-1))/_xll.ciqfunctions.udf.CIQ("XBI", "IQ_LASTSALEPRICE", WORKDAY(F881,1)))</f>
        <v>5.3753936995357549E-3</v>
      </c>
      <c r="Q881">
        <f>LN(_xll.ciqfunctions.udf.CIQ("XBI", "IQ_LASTSALEPRICE", WORKDAY(F881,-1))/_xll.ciqfunctions.udf.CIQ("XBI", "IQ_LASTSALEPRICE", WORKDAY(F881,5)))</f>
        <v>-5.1090748262935623E-2</v>
      </c>
      <c r="R881">
        <f>_xll.ciqfunctions.udf.CIQ(A881, "IQ_SHORT_INTEREST_PERCENT", F881)</f>
        <v>0.46399000000000001</v>
      </c>
      <c r="S881">
        <f>_xll.ciqfunctions.udf.CIQ(A881, "IQ_BETA_1YR_RSQ", F881)</f>
        <v>8.6999999999999994E-2</v>
      </c>
      <c r="T881">
        <f>_xll.ciqfunctions.udf.CIQ(A881, "IQ_VALUE_TRADED", F881)</f>
        <v>3.7088299999999998</v>
      </c>
    </row>
    <row r="882" spans="1:20" x14ac:dyDescent="0.3">
      <c r="A882" t="s">
        <v>1362</v>
      </c>
      <c r="B882" s="2">
        <v>0.84</v>
      </c>
      <c r="C882" t="s">
        <v>2481</v>
      </c>
      <c r="D882" t="s">
        <v>2482</v>
      </c>
      <c r="E882" t="s">
        <v>76</v>
      </c>
      <c r="F882" s="1">
        <v>45407</v>
      </c>
      <c r="G882" t="s">
        <v>2483</v>
      </c>
      <c r="H882">
        <v>111</v>
      </c>
      <c r="I882">
        <f>_xll.ciqfunctions.udf.CIQ(A882, "IQ_MARKETCAP", F882)</f>
        <v>84.36891</v>
      </c>
      <c r="J882">
        <f>_xll.ciqfunctions.udf.CIQ(A882, "IQ_PRICE_VOL_HIST_6MTH", F882)</f>
        <v>66.825299999999999</v>
      </c>
      <c r="K882">
        <f>_xll.ciqfunctions.udf.CIQ(A882, "IQ_LASTSALEPRICE", WORKDAY(F882,-1))</f>
        <v>0.79010000000000002</v>
      </c>
      <c r="L882">
        <f>_xll.ciqfunctions.udf.CIQ(A882, "IQ_LASTSALEPRICE", F882)</f>
        <v>0.84109999999999996</v>
      </c>
      <c r="M882">
        <f>_xll.ciqfunctions.udf.CIQ(A882, "IQ_LASTSALEPRICE", WORKDAY(F882,5))</f>
        <v>0.70509999999999995</v>
      </c>
      <c r="N882">
        <f t="shared" si="26"/>
        <v>6.2551039239703884E-2</v>
      </c>
      <c r="O882">
        <f t="shared" si="27"/>
        <v>-0.11381988300369278</v>
      </c>
      <c r="P882">
        <f>LN(_xll.ciqfunctions.udf.CIQ("XBI", "IQ_LASTSALEPRICE", WORKDAY(F882,-1))/_xll.ciqfunctions.udf.CIQ("XBI", "IQ_LASTSALEPRICE", WORKDAY(F882,1)))</f>
        <v>5.3753936995357549E-3</v>
      </c>
      <c r="Q882">
        <f>LN(_xll.ciqfunctions.udf.CIQ("XBI", "IQ_LASTSALEPRICE", WORKDAY(F882,-1))/_xll.ciqfunctions.udf.CIQ("XBI", "IQ_LASTSALEPRICE", WORKDAY(F882,5)))</f>
        <v>-5.1090748262935623E-2</v>
      </c>
      <c r="R882">
        <f>_xll.ciqfunctions.udf.CIQ(A882, "IQ_SHORT_INTEREST_PERCENT", F882)</f>
        <v>0.25699</v>
      </c>
      <c r="S882">
        <f>_xll.ciqfunctions.udf.CIQ(A882, "IQ_BETA_1YR_RSQ", F882)</f>
        <v>2.904E-2</v>
      </c>
      <c r="T882">
        <f>_xll.ciqfunctions.udf.CIQ(A882, "IQ_VALUE_TRADED", F882)</f>
        <v>0.74831999999999999</v>
      </c>
    </row>
    <row r="883" spans="1:20" x14ac:dyDescent="0.3">
      <c r="A883" t="s">
        <v>1168</v>
      </c>
      <c r="B883" s="2">
        <v>4.8899999999999997</v>
      </c>
      <c r="C883" t="s">
        <v>2484</v>
      </c>
      <c r="D883" t="s">
        <v>2485</v>
      </c>
      <c r="E883" t="s">
        <v>76</v>
      </c>
      <c r="F883" s="1">
        <v>45407</v>
      </c>
      <c r="G883" t="s">
        <v>2486</v>
      </c>
      <c r="H883">
        <v>7</v>
      </c>
      <c r="I883">
        <f>_xll.ciqfunctions.udf.CIQ(A883, "IQ_MARKETCAP", F883)</f>
        <v>26.841439999999999</v>
      </c>
      <c r="J883">
        <f>_xll.ciqfunctions.udf.CIQ(A883, "IQ_PRICE_VOL_HIST_6MTH", F883)</f>
        <v>196.73480000000001</v>
      </c>
      <c r="K883">
        <f>_xll.ciqfunctions.udf.CIQ(A883, "IQ_LASTSALEPRICE", WORKDAY(F883,-1))</f>
        <v>50.54</v>
      </c>
      <c r="L883">
        <f>_xll.ciqfunctions.udf.CIQ(A883, "IQ_LASTSALEPRICE", F883)</f>
        <v>48.89</v>
      </c>
      <c r="M883">
        <f>_xll.ciqfunctions.udf.CIQ(A883, "IQ_LASTSALEPRICE", WORKDAY(F883,5))</f>
        <v>49.99</v>
      </c>
      <c r="N883">
        <f t="shared" si="26"/>
        <v>-3.3192225369493983E-2</v>
      </c>
      <c r="O883">
        <f t="shared" si="27"/>
        <v>-1.0942116534569101E-2</v>
      </c>
      <c r="P883">
        <f>LN(_xll.ciqfunctions.udf.CIQ("XBI", "IQ_LASTSALEPRICE", WORKDAY(F883,-1))/_xll.ciqfunctions.udf.CIQ("XBI", "IQ_LASTSALEPRICE", WORKDAY(F883,1)))</f>
        <v>5.3753936995357549E-3</v>
      </c>
      <c r="Q883">
        <f>LN(_xll.ciqfunctions.udf.CIQ("XBI", "IQ_LASTSALEPRICE", WORKDAY(F883,-1))/_xll.ciqfunctions.udf.CIQ("XBI", "IQ_LASTSALEPRICE", WORKDAY(F883,5)))</f>
        <v>-5.1090748262935623E-2</v>
      </c>
      <c r="R883">
        <f>_xll.ciqfunctions.udf.CIQ(A883, "IQ_SHORT_INTEREST_PERCENT", F883)</f>
        <v>2.0273699999999999</v>
      </c>
      <c r="S883">
        <f>_xll.ciqfunctions.udf.CIQ(A883, "IQ_BETA_1YR_RSQ", F883)</f>
        <v>1.14E-2</v>
      </c>
      <c r="T883">
        <f>_xll.ciqfunctions.udf.CIQ(A883, "IQ_VALUE_TRADED", F883)</f>
        <v>0.38388</v>
      </c>
    </row>
    <row r="884" spans="1:20" x14ac:dyDescent="0.3">
      <c r="A884" t="s">
        <v>855</v>
      </c>
      <c r="B884" s="2">
        <v>10.88</v>
      </c>
      <c r="C884" t="s">
        <v>2487</v>
      </c>
      <c r="D884" t="s">
        <v>2488</v>
      </c>
      <c r="E884" t="s">
        <v>76</v>
      </c>
      <c r="F884" s="1">
        <v>45407</v>
      </c>
      <c r="G884" t="s">
        <v>2489</v>
      </c>
      <c r="H884">
        <v>682</v>
      </c>
      <c r="I884">
        <f>_xll.ciqfunctions.udf.CIQ(A884, "IQ_MARKETCAP", F884)</f>
        <v>8767.60455</v>
      </c>
      <c r="J884">
        <f>_xll.ciqfunctions.udf.CIQ(A884, "IQ_PRICE_VOL_HIST_6MTH", F884)</f>
        <v>38.499099999999999</v>
      </c>
      <c r="K884">
        <f>_xll.ciqfunctions.udf.CIQ(A884, "IQ_LASTSALEPRICE", WORKDAY(F884,-1))</f>
        <v>10.9</v>
      </c>
      <c r="L884">
        <f>_xll.ciqfunctions.udf.CIQ(A884, "IQ_LASTSALEPRICE", F884)</f>
        <v>10.88</v>
      </c>
      <c r="M884">
        <f>_xll.ciqfunctions.udf.CIQ(A884, "IQ_LASTSALEPRICE", WORKDAY(F884,5))</f>
        <v>11.24</v>
      </c>
      <c r="N884">
        <f t="shared" si="26"/>
        <v>-1.8365478073013922E-3</v>
      </c>
      <c r="O884">
        <f t="shared" si="27"/>
        <v>3.0716055230446949E-2</v>
      </c>
      <c r="P884">
        <f>LN(_xll.ciqfunctions.udf.CIQ("XBI", "IQ_LASTSALEPRICE", WORKDAY(F884,-1))/_xll.ciqfunctions.udf.CIQ("XBI", "IQ_LASTSALEPRICE", WORKDAY(F884,1)))</f>
        <v>5.3753936995357549E-3</v>
      </c>
      <c r="Q884">
        <f>LN(_xll.ciqfunctions.udf.CIQ("XBI", "IQ_LASTSALEPRICE", WORKDAY(F884,-1))/_xll.ciqfunctions.udf.CIQ("XBI", "IQ_LASTSALEPRICE", WORKDAY(F884,5)))</f>
        <v>-5.1090748262935623E-2</v>
      </c>
      <c r="R884">
        <f>_xll.ciqfunctions.udf.CIQ(A884, "IQ_SHORT_INTEREST_PERCENT", F884)</f>
        <v>5.6002599999999996</v>
      </c>
      <c r="S884">
        <f>_xll.ciqfunctions.udf.CIQ(A884, "IQ_BETA_1YR_RSQ", F884)</f>
        <v>0.11755</v>
      </c>
      <c r="T884">
        <f>_xll.ciqfunctions.udf.CIQ(A884, "IQ_VALUE_TRADED", F884)</f>
        <v>40.470669999999998</v>
      </c>
    </row>
    <row r="885" spans="1:20" x14ac:dyDescent="0.3">
      <c r="A885" t="s">
        <v>1539</v>
      </c>
      <c r="B885" s="2">
        <v>20.45</v>
      </c>
      <c r="C885" t="s">
        <v>2490</v>
      </c>
      <c r="D885" t="s">
        <v>273</v>
      </c>
      <c r="E885" t="s">
        <v>22</v>
      </c>
      <c r="F885" s="1">
        <v>45407</v>
      </c>
      <c r="G885" t="s">
        <v>2491</v>
      </c>
      <c r="H885">
        <v>6</v>
      </c>
      <c r="I885">
        <f>_xll.ciqfunctions.udf.CIQ(A885, "IQ_MARKETCAP", F885)</f>
        <v>61.896830000000001</v>
      </c>
      <c r="J885">
        <f>_xll.ciqfunctions.udf.CIQ(A885, "IQ_PRICE_VOL_HIST_6MTH", F885)</f>
        <v>89.315399999999997</v>
      </c>
      <c r="K885">
        <f>_xll.ciqfunctions.udf.CIQ(A885, "IQ_LASTSALEPRICE", WORKDAY(F885,-1))</f>
        <v>20.725000000000001</v>
      </c>
      <c r="L885">
        <f>_xll.ciqfunctions.udf.CIQ(A885, "IQ_LASTSALEPRICE", F885)</f>
        <v>20.45</v>
      </c>
      <c r="M885">
        <f>_xll.ciqfunctions.udf.CIQ(A885, "IQ_LASTSALEPRICE", WORKDAY(F885,5))</f>
        <v>21.15</v>
      </c>
      <c r="N885">
        <f t="shared" si="26"/>
        <v>-1.3357818532547987E-2</v>
      </c>
      <c r="O885">
        <f t="shared" si="27"/>
        <v>2.0299204470928159E-2</v>
      </c>
      <c r="P885">
        <f>LN(_xll.ciqfunctions.udf.CIQ("XBI", "IQ_LASTSALEPRICE", WORKDAY(F885,-1))/_xll.ciqfunctions.udf.CIQ("XBI", "IQ_LASTSALEPRICE", WORKDAY(F885,1)))</f>
        <v>5.3753936995357549E-3</v>
      </c>
      <c r="Q885">
        <f>LN(_xll.ciqfunctions.udf.CIQ("XBI", "IQ_LASTSALEPRICE", WORKDAY(F885,-1))/_xll.ciqfunctions.udf.CIQ("XBI", "IQ_LASTSALEPRICE", WORKDAY(F885,5)))</f>
        <v>-5.1090748262935623E-2</v>
      </c>
      <c r="R885">
        <f>_xll.ciqfunctions.udf.CIQ(A885, "IQ_SHORT_INTEREST_PERCENT", F885)</f>
        <v>0.86853000000000002</v>
      </c>
      <c r="S885">
        <f>_xll.ciqfunctions.udf.CIQ(A885, "IQ_BETA_1YR_RSQ", F885)</f>
        <v>0.1542</v>
      </c>
      <c r="T885">
        <f>_xll.ciqfunctions.udf.CIQ(A885, "IQ_VALUE_TRADED", F885)</f>
        <v>0.10918</v>
      </c>
    </row>
    <row r="886" spans="1:20" x14ac:dyDescent="0.3">
      <c r="A886" t="s">
        <v>1707</v>
      </c>
      <c r="B886" s="2">
        <v>1.98</v>
      </c>
      <c r="C886" t="s">
        <v>1708</v>
      </c>
      <c r="D886" t="s">
        <v>1576</v>
      </c>
      <c r="E886" t="s">
        <v>22</v>
      </c>
      <c r="F886" s="1">
        <v>45407</v>
      </c>
      <c r="G886" t="s">
        <v>2492</v>
      </c>
      <c r="H886">
        <v>124</v>
      </c>
      <c r="I886">
        <f>_xll.ciqfunctions.udf.CIQ(A886, "IQ_MARKETCAP", F886)</f>
        <v>45.155169999999998</v>
      </c>
      <c r="J886">
        <f>_xll.ciqfunctions.udf.CIQ(A886, "IQ_PRICE_VOL_HIST_6MTH", F886)</f>
        <v>182.8366</v>
      </c>
      <c r="K886">
        <f>_xll.ciqfunctions.udf.CIQ(A886, "IQ_LASTSALEPRICE", WORKDAY(F886,-1))</f>
        <v>1.71</v>
      </c>
      <c r="L886">
        <f>_xll.ciqfunctions.udf.CIQ(A886, "IQ_LASTSALEPRICE", F886)</f>
        <v>1.98</v>
      </c>
      <c r="M886">
        <f>_xll.ciqfunctions.udf.CIQ(A886, "IQ_LASTSALEPRICE", WORKDAY(F886,5))</f>
        <v>1.32</v>
      </c>
      <c r="N886">
        <f t="shared" si="26"/>
        <v>0.14660347419187544</v>
      </c>
      <c r="O886">
        <f t="shared" si="27"/>
        <v>-0.25886163391628891</v>
      </c>
      <c r="P886">
        <f>LN(_xll.ciqfunctions.udf.CIQ("XBI", "IQ_LASTSALEPRICE", WORKDAY(F886,-1))/_xll.ciqfunctions.udf.CIQ("XBI", "IQ_LASTSALEPRICE", WORKDAY(F886,1)))</f>
        <v>5.3753936995357549E-3</v>
      </c>
      <c r="Q886">
        <f>LN(_xll.ciqfunctions.udf.CIQ("XBI", "IQ_LASTSALEPRICE", WORKDAY(F886,-1))/_xll.ciqfunctions.udf.CIQ("XBI", "IQ_LASTSALEPRICE", WORKDAY(F886,5)))</f>
        <v>-5.1090748262935623E-2</v>
      </c>
      <c r="R886">
        <f>_xll.ciqfunctions.udf.CIQ(A886, "IQ_SHORT_INTEREST_PERCENT", F886)</f>
        <v>1.85819</v>
      </c>
      <c r="S886">
        <f>_xll.ciqfunctions.udf.CIQ(A886, "IQ_BETA_1YR_RSQ", F886)</f>
        <v>5.13E-3</v>
      </c>
      <c r="T886">
        <f>_xll.ciqfunctions.udf.CIQ(A886, "IQ_VALUE_TRADED", F886)</f>
        <v>4.0952200000000003</v>
      </c>
    </row>
    <row r="887" spans="1:20" x14ac:dyDescent="0.3">
      <c r="A887" t="s">
        <v>401</v>
      </c>
      <c r="B887" s="2">
        <v>24.69</v>
      </c>
      <c r="C887" t="s">
        <v>2493</v>
      </c>
      <c r="D887" t="s">
        <v>765</v>
      </c>
      <c r="E887" t="s">
        <v>160</v>
      </c>
      <c r="F887" s="1">
        <v>45408</v>
      </c>
      <c r="G887" t="s">
        <v>2494</v>
      </c>
      <c r="I887">
        <f>_xll.ciqfunctions.udf.CIQ(A887, "IQ_MARKETCAP", F887)</f>
        <v>143828.54879</v>
      </c>
      <c r="J887">
        <f>_xll.ciqfunctions.udf.CIQ(A887, "IQ_PRICE_VOL_HIST_6MTH", F887)</f>
        <v>26.1615</v>
      </c>
      <c r="K887">
        <f>_xll.ciqfunctions.udf.CIQ(A887, "IQ_LASTSALEPRICE", WORKDAY(F887,-1))</f>
        <v>25.26</v>
      </c>
      <c r="L887">
        <f>_xll.ciqfunctions.udf.CIQ(A887, "IQ_LASTSALEPRICE", F887)</f>
        <v>25.4</v>
      </c>
      <c r="M887">
        <f>_xll.ciqfunctions.udf.CIQ(A887, "IQ_LASTSALEPRICE", WORKDAY(F887,5))</f>
        <v>27.81</v>
      </c>
      <c r="N887">
        <f t="shared" si="26"/>
        <v>5.5270571021457928E-3</v>
      </c>
      <c r="O887">
        <f t="shared" si="27"/>
        <v>9.6173551323528228E-2</v>
      </c>
      <c r="P887">
        <f>LN(_xll.ciqfunctions.udf.CIQ("XBI", "IQ_LASTSALEPRICE", WORKDAY(F887,-1))/_xll.ciqfunctions.udf.CIQ("XBI", "IQ_LASTSALEPRICE", WORKDAY(F887,1)))</f>
        <v>-3.9351685247057365E-2</v>
      </c>
      <c r="Q887">
        <f>LN(_xll.ciqfunctions.udf.CIQ("XBI", "IQ_LASTSALEPRICE", WORKDAY(F887,-1))/_xll.ciqfunctions.udf.CIQ("XBI", "IQ_LASTSALEPRICE", WORKDAY(F887,5)))</f>
        <v>-9.0188841943293949E-2</v>
      </c>
      <c r="R887">
        <f>_xll.ciqfunctions.udf.CIQ(A887, "IQ_SHORT_INTEREST_PERCENT", F887)</f>
        <v>1.20198</v>
      </c>
      <c r="S887">
        <f>_xll.ciqfunctions.udf.CIQ(A887, "IQ_BETA_1YR_RSQ", F887)</f>
        <v>2.4830000000000001E-2</v>
      </c>
      <c r="T887">
        <f>_xll.ciqfunctions.udf.CIQ(A887, "IQ_VALUE_TRADED", F887)</f>
        <v>1181.7720099999999</v>
      </c>
    </row>
    <row r="888" spans="1:20" x14ac:dyDescent="0.3">
      <c r="A888" t="s">
        <v>478</v>
      </c>
      <c r="B888" s="2">
        <v>64.06</v>
      </c>
      <c r="C888" t="s">
        <v>1082</v>
      </c>
      <c r="D888" t="s">
        <v>994</v>
      </c>
      <c r="E888" t="s">
        <v>160</v>
      </c>
      <c r="F888" s="1">
        <v>45408</v>
      </c>
      <c r="G888" t="s">
        <v>2495</v>
      </c>
      <c r="I888">
        <f>_xll.ciqfunctions.udf.CIQ(A888, "IQ_MARKETCAP", F888)</f>
        <v>81452.951669999995</v>
      </c>
      <c r="J888">
        <f>_xll.ciqfunctions.udf.CIQ(A888, "IQ_PRICE_VOL_HIST_6MTH", F888)</f>
        <v>25.1053</v>
      </c>
      <c r="K888">
        <f>_xll.ciqfunctions.udf.CIQ(A888, "IQ_LASTSALEPRICE", WORKDAY(F888,-1))</f>
        <v>65.27</v>
      </c>
      <c r="L888">
        <f>_xll.ciqfunctions.udf.CIQ(A888, "IQ_LASTSALEPRICE", F888)</f>
        <v>65.42</v>
      </c>
      <c r="M888">
        <f>_xll.ciqfunctions.udf.CIQ(A888, "IQ_LASTSALEPRICE", WORKDAY(F888,5))</f>
        <v>64.78</v>
      </c>
      <c r="N888">
        <f t="shared" si="26"/>
        <v>2.2955094631117814E-3</v>
      </c>
      <c r="O888">
        <f t="shared" si="27"/>
        <v>-7.5355989039426943E-3</v>
      </c>
      <c r="P888">
        <f>LN(_xll.ciqfunctions.udf.CIQ("XBI", "IQ_LASTSALEPRICE", WORKDAY(F888,-1))/_xll.ciqfunctions.udf.CIQ("XBI", "IQ_LASTSALEPRICE", WORKDAY(F888,1)))</f>
        <v>-3.9351685247057365E-2</v>
      </c>
      <c r="Q888">
        <f>LN(_xll.ciqfunctions.udf.CIQ("XBI", "IQ_LASTSALEPRICE", WORKDAY(F888,-1))/_xll.ciqfunctions.udf.CIQ("XBI", "IQ_LASTSALEPRICE", WORKDAY(F888,5)))</f>
        <v>-9.0188841943293949E-2</v>
      </c>
      <c r="R888">
        <f>_xll.ciqfunctions.udf.CIQ(A888, "IQ_SHORT_INTEREST_PERCENT", F888)</f>
        <v>1.7012700000000001</v>
      </c>
      <c r="S888">
        <f>_xll.ciqfunctions.udf.CIQ(A888, "IQ_BETA_1YR_RSQ", F888)</f>
        <v>7.102E-2</v>
      </c>
      <c r="T888">
        <f>_xll.ciqfunctions.udf.CIQ(A888, "IQ_VALUE_TRADED", F888)</f>
        <v>810.05823999999996</v>
      </c>
    </row>
    <row r="889" spans="1:20" x14ac:dyDescent="0.3">
      <c r="A889" t="s">
        <v>1970</v>
      </c>
      <c r="B889" s="2">
        <v>12.63</v>
      </c>
      <c r="C889" t="s">
        <v>2496</v>
      </c>
      <c r="D889" t="s">
        <v>2497</v>
      </c>
      <c r="E889" t="s">
        <v>124</v>
      </c>
      <c r="F889" s="1">
        <v>45408</v>
      </c>
      <c r="G889" t="s">
        <v>2498</v>
      </c>
      <c r="H889">
        <v>25</v>
      </c>
      <c r="I889">
        <f>_xll.ciqfunctions.udf.CIQ(A889, "IQ_MARKETCAP", F889)</f>
        <v>57.614919999999998</v>
      </c>
      <c r="J889">
        <f>_xll.ciqfunctions.udf.CIQ(A889, "IQ_PRICE_VOL_HIST_6MTH", F889)</f>
        <v>83.985399999999998</v>
      </c>
      <c r="K889">
        <f>_xll.ciqfunctions.udf.CIQ(A889, "IQ_LASTSALEPRICE", WORKDAY(F889,-1))</f>
        <v>13</v>
      </c>
      <c r="L889">
        <f>_xll.ciqfunctions.udf.CIQ(A889, "IQ_LASTSALEPRICE", F889)</f>
        <v>12.63</v>
      </c>
      <c r="M889">
        <f>_xll.ciqfunctions.udf.CIQ(A889, "IQ_LASTSALEPRICE", WORKDAY(F889,5))</f>
        <v>12.51</v>
      </c>
      <c r="N889">
        <f t="shared" si="26"/>
        <v>-2.887442109913696E-2</v>
      </c>
      <c r="O889">
        <f t="shared" si="27"/>
        <v>-3.8421032982716964E-2</v>
      </c>
      <c r="P889">
        <f>LN(_xll.ciqfunctions.udf.CIQ("XBI", "IQ_LASTSALEPRICE", WORKDAY(F889,-1))/_xll.ciqfunctions.udf.CIQ("XBI", "IQ_LASTSALEPRICE", WORKDAY(F889,1)))</f>
        <v>-3.9351685247057365E-2</v>
      </c>
      <c r="Q889">
        <f>LN(_xll.ciqfunctions.udf.CIQ("XBI", "IQ_LASTSALEPRICE", WORKDAY(F889,-1))/_xll.ciqfunctions.udf.CIQ("XBI", "IQ_LASTSALEPRICE", WORKDAY(F889,5)))</f>
        <v>-9.0188841943293949E-2</v>
      </c>
      <c r="R889">
        <f>_xll.ciqfunctions.udf.CIQ(A889, "IQ_SHORT_INTEREST_PERCENT", F889)</f>
        <v>0.17906</v>
      </c>
      <c r="S889">
        <f>_xll.ciqfunctions.udf.CIQ(A889, "IQ_BETA_1YR_RSQ", F889)</f>
        <v>2.5530000000000001E-2</v>
      </c>
      <c r="T889">
        <f>_xll.ciqfunctions.udf.CIQ(A889, "IQ_VALUE_TRADED", F889)</f>
        <v>2.5273599999999998</v>
      </c>
    </row>
    <row r="890" spans="1:20" x14ac:dyDescent="0.3">
      <c r="A890" t="s">
        <v>989</v>
      </c>
      <c r="B890" s="2">
        <v>143.86000000000001</v>
      </c>
      <c r="C890" t="s">
        <v>2496</v>
      </c>
      <c r="D890" t="s">
        <v>2497</v>
      </c>
      <c r="E890" t="s">
        <v>124</v>
      </c>
      <c r="F890" s="1">
        <v>45408</v>
      </c>
      <c r="G890" t="s">
        <v>2498</v>
      </c>
      <c r="I890">
        <f>_xll.ciqfunctions.udf.CIQ(A890, "IQ_MARKETCAP", F890)</f>
        <v>352165.69550999999</v>
      </c>
      <c r="J890">
        <f>_xll.ciqfunctions.udf.CIQ(A890, "IQ_PRICE_VOL_HIST_6MTH", F890)</f>
        <v>13.5345</v>
      </c>
      <c r="K890">
        <f>_xll.ciqfunctions.udf.CIQ(A890, "IQ_LASTSALEPRICE", WORKDAY(F890,-1))</f>
        <v>146.82</v>
      </c>
      <c r="L890">
        <f>_xll.ciqfunctions.udf.CIQ(A890, "IQ_LASTSALEPRICE", F890)</f>
        <v>146.13999999999999</v>
      </c>
      <c r="M890">
        <f>_xll.ciqfunctions.udf.CIQ(A890, "IQ_LASTSALEPRICE", WORKDAY(F890,5))</f>
        <v>149.27000000000001</v>
      </c>
      <c r="N890">
        <f t="shared" si="26"/>
        <v>-4.6422803195635956E-3</v>
      </c>
      <c r="O890">
        <f t="shared" si="27"/>
        <v>1.6549399962513072E-2</v>
      </c>
      <c r="P890">
        <f>LN(_xll.ciqfunctions.udf.CIQ("XBI", "IQ_LASTSALEPRICE", WORKDAY(F890,-1))/_xll.ciqfunctions.udf.CIQ("XBI", "IQ_LASTSALEPRICE", WORKDAY(F890,1)))</f>
        <v>-3.9351685247057365E-2</v>
      </c>
      <c r="Q890">
        <f>LN(_xll.ciqfunctions.udf.CIQ("XBI", "IQ_LASTSALEPRICE", WORKDAY(F890,-1))/_xll.ciqfunctions.udf.CIQ("XBI", "IQ_LASTSALEPRICE", WORKDAY(F890,5)))</f>
        <v>-9.0188841943293949E-2</v>
      </c>
      <c r="R890">
        <f>_xll.ciqfunctions.udf.CIQ(A890, "IQ_SHORT_INTEREST_PERCENT", F890)</f>
        <v>0.68735000000000002</v>
      </c>
      <c r="S890">
        <f>_xll.ciqfunctions.udf.CIQ(A890, "IQ_BETA_1YR_RSQ", F890)</f>
        <v>0.12025</v>
      </c>
      <c r="T890">
        <f>_xll.ciqfunctions.udf.CIQ(A890, "IQ_VALUE_TRADED", F890)</f>
        <v>903.58099000000004</v>
      </c>
    </row>
    <row r="891" spans="1:20" x14ac:dyDescent="0.3">
      <c r="A891" t="s">
        <v>2499</v>
      </c>
      <c r="B891" s="2">
        <v>12.37</v>
      </c>
      <c r="C891" t="s">
        <v>2500</v>
      </c>
      <c r="D891" t="s">
        <v>273</v>
      </c>
      <c r="E891" t="s">
        <v>76</v>
      </c>
      <c r="F891" s="1">
        <v>45409</v>
      </c>
      <c r="G891" t="s">
        <v>2501</v>
      </c>
      <c r="H891">
        <v>21</v>
      </c>
      <c r="I891">
        <f>_xll.ciqfunctions.udf.CIQ(A891, "IQ_MARKETCAP", F891)</f>
        <v>261.69950999999998</v>
      </c>
      <c r="J891">
        <f>_xll.ciqfunctions.udf.CIQ(A891, "IQ_PRICE_VOL_HIST_6MTH", F891)</f>
        <v>64.58</v>
      </c>
      <c r="K891">
        <f>_xll.ciqfunctions.udf.CIQ(A891, "IQ_LASTSALEPRICE", WORKDAY(F891,-1))</f>
        <v>12.37</v>
      </c>
      <c r="L891">
        <f>_xll.ciqfunctions.udf.CIQ(A891, "IQ_LASTSALEPRICE", F891)</f>
        <v>12.37</v>
      </c>
      <c r="M891">
        <f>_xll.ciqfunctions.udf.CIQ(A891, "IQ_LASTSALEPRICE", WORKDAY(F891,5))</f>
        <v>15.17</v>
      </c>
      <c r="N891">
        <f t="shared" si="26"/>
        <v>0</v>
      </c>
      <c r="O891">
        <f t="shared" si="27"/>
        <v>0.20404560695604446</v>
      </c>
      <c r="P891">
        <f>LN(_xll.ciqfunctions.udf.CIQ("XBI", "IQ_LASTSALEPRICE", WORKDAY(F891,-1))/_xll.ciqfunctions.udf.CIQ("XBI", "IQ_LASTSALEPRICE", WORKDAY(F891,1)))</f>
        <v>-2.4023402510880663E-2</v>
      </c>
      <c r="Q891">
        <f>LN(_xll.ciqfunctions.udf.CIQ("XBI", "IQ_LASTSALEPRICE", WORKDAY(F891,-1))/_xll.ciqfunctions.udf.CIQ("XBI", "IQ_LASTSALEPRICE", WORKDAY(F891,5)))</f>
        <v>-7.4860559207117219E-2</v>
      </c>
      <c r="R891">
        <f>_xll.ciqfunctions.udf.CIQ(A891, "IQ_SHORT_INTEREST_PERCENT", F891)</f>
        <v>12.972950000000001</v>
      </c>
      <c r="S891">
        <f>_xll.ciqfunctions.udf.CIQ(A891, "IQ_BETA_1YR_RSQ", F891)</f>
        <v>5.9859999999999997E-2</v>
      </c>
      <c r="T891">
        <f>_xll.ciqfunctions.udf.CIQ(A891, "IQ_VALUE_TRADED", F891)</f>
        <v>0</v>
      </c>
    </row>
    <row r="892" spans="1:20" x14ac:dyDescent="0.3">
      <c r="A892" t="s">
        <v>433</v>
      </c>
      <c r="B892" s="2">
        <v>75.02</v>
      </c>
      <c r="C892" t="s">
        <v>2502</v>
      </c>
      <c r="D892" t="s">
        <v>2503</v>
      </c>
      <c r="E892" t="s">
        <v>36</v>
      </c>
      <c r="F892" s="1">
        <v>45411</v>
      </c>
      <c r="G892" t="s">
        <v>2504</v>
      </c>
      <c r="I892">
        <f>_xll.ciqfunctions.udf.CIQ(A892, "IQ_MARKETCAP", F892)</f>
        <v>186399.78554000001</v>
      </c>
      <c r="J892">
        <f>_xll.ciqfunctions.udf.CIQ(A892, "IQ_PRICE_VOL_HIST_6MTH", F892)</f>
        <v>22.403199999999998</v>
      </c>
      <c r="K892">
        <f>_xll.ciqfunctions.udf.CIQ(A892, "IQ_LASTSALEPRICE", WORKDAY(F892,-1))</f>
        <v>119.88</v>
      </c>
      <c r="L892">
        <f>_xll.ciqfunctions.udf.CIQ(A892, "IQ_LASTSALEPRICE", F892)</f>
        <v>120.24</v>
      </c>
      <c r="M892">
        <f>_xll.ciqfunctions.udf.CIQ(A892, "IQ_LASTSALEPRICE", WORKDAY(F892,5))</f>
        <v>120.5</v>
      </c>
      <c r="N892">
        <f t="shared" si="26"/>
        <v>2.9985029962566329E-3</v>
      </c>
      <c r="O892">
        <f t="shared" si="27"/>
        <v>5.1585104822471648E-3</v>
      </c>
      <c r="P892">
        <f>LN(_xll.ciqfunctions.udf.CIQ("XBI", "IQ_LASTSALEPRICE", WORKDAY(F892,-1))/_xll.ciqfunctions.udf.CIQ("XBI", "IQ_LASTSALEPRICE", WORKDAY(F892,1)))</f>
        <v>-1.344378108601244E-2</v>
      </c>
      <c r="Q892">
        <f>LN(_xll.ciqfunctions.udf.CIQ("XBI", "IQ_LASTSALEPRICE", WORKDAY(F892,-1))/_xll.ciqfunctions.udf.CIQ("XBI", "IQ_LASTSALEPRICE", WORKDAY(F892,5)))</f>
        <v>-8.1506573922158723E-2</v>
      </c>
      <c r="R892">
        <f>_xll.ciqfunctions.udf.CIQ(A892, "IQ_SHORT_INTEREST_PERCENT", F892)</f>
        <v>0</v>
      </c>
      <c r="S892">
        <f>_xll.ciqfunctions.udf.CIQ(A892, "IQ_BETA_1YR_RSQ", F892)</f>
        <v>0.19694</v>
      </c>
      <c r="T892">
        <f>_xll.ciqfunctions.udf.CIQ(A892, "IQ_VALUE_TRADED", F892)</f>
        <v>445.38614999999999</v>
      </c>
    </row>
    <row r="893" spans="1:20" x14ac:dyDescent="0.3">
      <c r="A893" t="s">
        <v>1901</v>
      </c>
      <c r="B893" s="2">
        <v>32.700000000000003</v>
      </c>
      <c r="C893" t="s">
        <v>2502</v>
      </c>
      <c r="D893" t="s">
        <v>2503</v>
      </c>
      <c r="E893" t="s">
        <v>36</v>
      </c>
      <c r="F893" s="1">
        <v>45411</v>
      </c>
      <c r="G893" t="s">
        <v>2504</v>
      </c>
      <c r="I893">
        <f>_xll.ciqfunctions.udf.CIQ(A893, "IQ_MARKETCAP", F893)</f>
        <v>9606688.4769000001</v>
      </c>
      <c r="J893">
        <f>_xll.ciqfunctions.udf.CIQ(A893, "IQ_PRICE_VOL_HIST_6MTH", F893)</f>
        <v>0</v>
      </c>
      <c r="K893">
        <f>_xll.ciqfunctions.udf.CIQ(A893, "IQ_LASTSALEPRICE", WORKDAY(F893,-1))</f>
        <v>0</v>
      </c>
      <c r="L893">
        <f>_xll.ciqfunctions.udf.CIQ(A893, "IQ_LASTSALEPRICE", F893)</f>
        <v>0</v>
      </c>
      <c r="M893">
        <f>_xll.ciqfunctions.udf.CIQ(A893, "IQ_LASTSALEPRICE", WORKDAY(F893,5))</f>
        <v>0</v>
      </c>
      <c r="N893" t="e">
        <f t="shared" si="26"/>
        <v>#DIV/0!</v>
      </c>
      <c r="O893" t="e">
        <f t="shared" si="27"/>
        <v>#DIV/0!</v>
      </c>
      <c r="P893">
        <f>LN(_xll.ciqfunctions.udf.CIQ("XBI", "IQ_LASTSALEPRICE", WORKDAY(F893,-1))/_xll.ciqfunctions.udf.CIQ("XBI", "IQ_LASTSALEPRICE", WORKDAY(F893,1)))</f>
        <v>-1.344378108601244E-2</v>
      </c>
      <c r="Q893">
        <f>LN(_xll.ciqfunctions.udf.CIQ("XBI", "IQ_LASTSALEPRICE", WORKDAY(F893,-1))/_xll.ciqfunctions.udf.CIQ("XBI", "IQ_LASTSALEPRICE", WORKDAY(F893,5)))</f>
        <v>-8.1506573922158723E-2</v>
      </c>
      <c r="R893">
        <f>_xll.ciqfunctions.udf.CIQ(A893, "IQ_SHORT_INTEREST_PERCENT", F893)</f>
        <v>0</v>
      </c>
      <c r="S893">
        <f>_xll.ciqfunctions.udf.CIQ(A893, "IQ_BETA_1YR_RSQ", F893)</f>
        <v>0</v>
      </c>
      <c r="T893">
        <f>_xll.ciqfunctions.udf.CIQ(A893, "IQ_VALUE_TRADED", F893)</f>
        <v>0</v>
      </c>
    </row>
    <row r="894" spans="1:20" x14ac:dyDescent="0.3">
      <c r="A894" t="s">
        <v>1516</v>
      </c>
      <c r="B894" s="2">
        <v>3.74</v>
      </c>
      <c r="C894" t="s">
        <v>2505</v>
      </c>
      <c r="D894" t="s">
        <v>2506</v>
      </c>
      <c r="E894" t="s">
        <v>160</v>
      </c>
      <c r="F894" s="1">
        <v>45411</v>
      </c>
      <c r="G894" t="s">
        <v>2507</v>
      </c>
      <c r="H894">
        <v>99</v>
      </c>
      <c r="I894">
        <f>_xll.ciqfunctions.udf.CIQ(A894, "IQ_MARKETCAP", F894)</f>
        <v>340.02892000000003</v>
      </c>
      <c r="J894">
        <f>_xll.ciqfunctions.udf.CIQ(A894, "IQ_PRICE_VOL_HIST_6MTH", F894)</f>
        <v>93.246099999999998</v>
      </c>
      <c r="K894">
        <f>_xll.ciqfunctions.udf.CIQ(A894, "IQ_LASTSALEPRICE", WORKDAY(F894,-1))</f>
        <v>4.07</v>
      </c>
      <c r="L894">
        <f>_xll.ciqfunctions.udf.CIQ(A894, "IQ_LASTSALEPRICE", F894)</f>
        <v>3.7349999999999999</v>
      </c>
      <c r="M894">
        <f>_xll.ciqfunctions.udf.CIQ(A894, "IQ_LASTSALEPRICE", WORKDAY(F894,5))</f>
        <v>3.5</v>
      </c>
      <c r="N894">
        <f t="shared" si="26"/>
        <v>-8.5895180869723101E-2</v>
      </c>
      <c r="O894">
        <f t="shared" si="27"/>
        <v>-0.15088003095913574</v>
      </c>
      <c r="P894">
        <f>LN(_xll.ciqfunctions.udf.CIQ("XBI", "IQ_LASTSALEPRICE", WORKDAY(F894,-1))/_xll.ciqfunctions.udf.CIQ("XBI", "IQ_LASTSALEPRICE", WORKDAY(F894,1)))</f>
        <v>-1.344378108601244E-2</v>
      </c>
      <c r="Q894">
        <f>LN(_xll.ciqfunctions.udf.CIQ("XBI", "IQ_LASTSALEPRICE", WORKDAY(F894,-1))/_xll.ciqfunctions.udf.CIQ("XBI", "IQ_LASTSALEPRICE", WORKDAY(F894,5)))</f>
        <v>-8.1506573922158723E-2</v>
      </c>
      <c r="R894">
        <f>_xll.ciqfunctions.udf.CIQ(A894, "IQ_SHORT_INTEREST_PERCENT", F894)</f>
        <v>4.4031399999999996</v>
      </c>
      <c r="S894">
        <f>_xll.ciqfunctions.udf.CIQ(A894, "IQ_BETA_1YR_RSQ", F894)</f>
        <v>1.01E-3</v>
      </c>
      <c r="T894">
        <f>_xll.ciqfunctions.udf.CIQ(A894, "IQ_VALUE_TRADED", F894)</f>
        <v>28.563469999999999</v>
      </c>
    </row>
    <row r="895" spans="1:20" x14ac:dyDescent="0.3">
      <c r="A895" t="s">
        <v>2508</v>
      </c>
      <c r="B895" s="2">
        <v>1.0900000000000001</v>
      </c>
      <c r="C895" t="s">
        <v>2509</v>
      </c>
      <c r="D895" t="s">
        <v>2510</v>
      </c>
      <c r="E895" t="s">
        <v>160</v>
      </c>
      <c r="F895" s="1">
        <v>45411</v>
      </c>
      <c r="G895" t="s">
        <v>2511</v>
      </c>
      <c r="H895">
        <v>11</v>
      </c>
      <c r="I895">
        <f>_xll.ciqfunctions.udf.CIQ(A895, "IQ_MARKETCAP", F895)</f>
        <v>183.05215999999999</v>
      </c>
      <c r="J895">
        <f>_xll.ciqfunctions.udf.CIQ(A895, "IQ_PRICE_VOL_HIST_6MTH", F895)</f>
        <v>108.8899</v>
      </c>
      <c r="K895">
        <f>_xll.ciqfunctions.udf.CIQ(A895, "IQ_LASTSALEPRICE", WORKDAY(F895,-1))</f>
        <v>34.950029999999998</v>
      </c>
      <c r="L895">
        <f>_xll.ciqfunctions.udf.CIQ(A895, "IQ_LASTSALEPRICE", F895)</f>
        <v>32.700029999999998</v>
      </c>
      <c r="M895">
        <f>_xll.ciqfunctions.udf.CIQ(A895, "IQ_LASTSALEPRICE", WORKDAY(F895,5))</f>
        <v>36.000039999999998</v>
      </c>
      <c r="N895">
        <f t="shared" si="26"/>
        <v>-6.6543331714570039E-2</v>
      </c>
      <c r="O895">
        <f t="shared" si="27"/>
        <v>2.9600722518054338E-2</v>
      </c>
      <c r="P895">
        <f>LN(_xll.ciqfunctions.udf.CIQ("XBI", "IQ_LASTSALEPRICE", WORKDAY(F895,-1))/_xll.ciqfunctions.udf.CIQ("XBI", "IQ_LASTSALEPRICE", WORKDAY(F895,1)))</f>
        <v>-1.344378108601244E-2</v>
      </c>
      <c r="Q895">
        <f>LN(_xll.ciqfunctions.udf.CIQ("XBI", "IQ_LASTSALEPRICE", WORKDAY(F895,-1))/_xll.ciqfunctions.udf.CIQ("XBI", "IQ_LASTSALEPRICE", WORKDAY(F895,5)))</f>
        <v>-8.1506573922158723E-2</v>
      </c>
      <c r="R895">
        <f>_xll.ciqfunctions.udf.CIQ(A895, "IQ_SHORT_INTEREST_PERCENT", F895)</f>
        <v>7.3031899999999998</v>
      </c>
      <c r="S895">
        <f>_xll.ciqfunctions.udf.CIQ(A895, "IQ_BETA_1YR_RSQ", F895)</f>
        <v>0.15032999999999999</v>
      </c>
      <c r="T895">
        <f>_xll.ciqfunctions.udf.CIQ(A895, "IQ_VALUE_TRADED", F895)</f>
        <v>23.868210000000001</v>
      </c>
    </row>
    <row r="896" spans="1:20" x14ac:dyDescent="0.3">
      <c r="A896" t="s">
        <v>2512</v>
      </c>
      <c r="B896" s="2">
        <v>4.8600000000000003</v>
      </c>
      <c r="C896" t="s">
        <v>2513</v>
      </c>
      <c r="D896" t="s">
        <v>2514</v>
      </c>
      <c r="E896" t="s">
        <v>184</v>
      </c>
      <c r="F896" s="1">
        <v>45411</v>
      </c>
      <c r="G896" t="s">
        <v>2515</v>
      </c>
      <c r="H896">
        <v>134</v>
      </c>
      <c r="I896">
        <f>_xll.ciqfunctions.udf.CIQ(A896, "IQ_MARKETCAP", F896)</f>
        <v>560.32308999999998</v>
      </c>
      <c r="J896">
        <f>_xll.ciqfunctions.udf.CIQ(A896, "IQ_PRICE_VOL_HIST_6MTH", F896)</f>
        <v>88.646500000000003</v>
      </c>
      <c r="K896">
        <f>_xll.ciqfunctions.udf.CIQ(A896, "IQ_LASTSALEPRICE", WORKDAY(F896,-1))</f>
        <v>4.4249999999999998</v>
      </c>
      <c r="L896">
        <f>_xll.ciqfunctions.udf.CIQ(A896, "IQ_LASTSALEPRICE", F896)</f>
        <v>4.8600000000000003</v>
      </c>
      <c r="M896">
        <f>_xll.ciqfunctions.udf.CIQ(A896, "IQ_LASTSALEPRICE", WORKDAY(F896,5))</f>
        <v>5.4</v>
      </c>
      <c r="N896">
        <f t="shared" si="26"/>
        <v>9.3768159452509769E-2</v>
      </c>
      <c r="O896">
        <f t="shared" si="27"/>
        <v>0.19912867511033591</v>
      </c>
      <c r="P896">
        <f>LN(_xll.ciqfunctions.udf.CIQ("XBI", "IQ_LASTSALEPRICE", WORKDAY(F896,-1))/_xll.ciqfunctions.udf.CIQ("XBI", "IQ_LASTSALEPRICE", WORKDAY(F896,1)))</f>
        <v>-1.344378108601244E-2</v>
      </c>
      <c r="Q896">
        <f>LN(_xll.ciqfunctions.udf.CIQ("XBI", "IQ_LASTSALEPRICE", WORKDAY(F896,-1))/_xll.ciqfunctions.udf.CIQ("XBI", "IQ_LASTSALEPRICE", WORKDAY(F896,5)))</f>
        <v>-8.1506573922158723E-2</v>
      </c>
      <c r="R896">
        <f>_xll.ciqfunctions.udf.CIQ(A896, "IQ_SHORT_INTEREST_PERCENT", F896)</f>
        <v>8.8588699999999996</v>
      </c>
      <c r="S896">
        <f>_xll.ciqfunctions.udf.CIQ(A896, "IQ_BETA_1YR_RSQ", F896)</f>
        <v>0.22345000000000001</v>
      </c>
      <c r="T896">
        <f>_xll.ciqfunctions.udf.CIQ(A896, "IQ_VALUE_TRADED", F896)</f>
        <v>6.1647699999999999</v>
      </c>
    </row>
    <row r="897" spans="1:20" x14ac:dyDescent="0.3">
      <c r="A897" t="s">
        <v>2516</v>
      </c>
      <c r="B897" s="2">
        <v>7.54</v>
      </c>
      <c r="C897" t="s">
        <v>2517</v>
      </c>
      <c r="D897" t="s">
        <v>2518</v>
      </c>
      <c r="E897" t="s">
        <v>76</v>
      </c>
      <c r="F897" s="1">
        <v>45411</v>
      </c>
      <c r="G897" t="s">
        <v>2519</v>
      </c>
      <c r="H897">
        <v>1</v>
      </c>
      <c r="I897">
        <f>_xll.ciqfunctions.udf.CIQ(A897, "IQ_MARKETCAP", F897)</f>
        <v>8.0801999999999996</v>
      </c>
      <c r="J897">
        <f>_xll.ciqfunctions.udf.CIQ(A897, "IQ_PRICE_VOL_HIST_6MTH", F897)</f>
        <v>146.5067</v>
      </c>
      <c r="K897">
        <f>_xll.ciqfunctions.udf.CIQ(A897, "IQ_LASTSALEPRICE", WORKDAY(F897,-1))</f>
        <v>0.11550000000000001</v>
      </c>
      <c r="L897">
        <f>_xll.ciqfunctions.udf.CIQ(A897, "IQ_LASTSALEPRICE", F897)</f>
        <v>6.3E-2</v>
      </c>
      <c r="M897">
        <f>_xll.ciqfunctions.udf.CIQ(A897, "IQ_LASTSALEPRICE", WORKDAY(F897,5))</f>
        <v>7.4999999999999997E-2</v>
      </c>
      <c r="N897">
        <f t="shared" si="26"/>
        <v>-0.6061358035703156</v>
      </c>
      <c r="O897">
        <f t="shared" si="27"/>
        <v>-0.43178241642553777</v>
      </c>
      <c r="P897">
        <f>LN(_xll.ciqfunctions.udf.CIQ("XBI", "IQ_LASTSALEPRICE", WORKDAY(F897,-1))/_xll.ciqfunctions.udf.CIQ("XBI", "IQ_LASTSALEPRICE", WORKDAY(F897,1)))</f>
        <v>-1.344378108601244E-2</v>
      </c>
      <c r="Q897">
        <f>LN(_xll.ciqfunctions.udf.CIQ("XBI", "IQ_LASTSALEPRICE", WORKDAY(F897,-1))/_xll.ciqfunctions.udf.CIQ("XBI", "IQ_LASTSALEPRICE", WORKDAY(F897,5)))</f>
        <v>-8.1506573922158723E-2</v>
      </c>
      <c r="R897">
        <f>_xll.ciqfunctions.udf.CIQ(A897, "IQ_SHORT_INTEREST_PERCENT", F897)</f>
        <v>0</v>
      </c>
      <c r="S897">
        <f>_xll.ciqfunctions.udf.CIQ(A897, "IQ_BETA_1YR_RSQ", F897)</f>
        <v>1.42E-3</v>
      </c>
      <c r="T897">
        <f>_xll.ciqfunctions.udf.CIQ(A897, "IQ_VALUE_TRADED", F897)</f>
        <v>0.73787999999999998</v>
      </c>
    </row>
    <row r="898" spans="1:20" x14ac:dyDescent="0.3">
      <c r="A898" t="s">
        <v>989</v>
      </c>
      <c r="B898" s="2">
        <v>144.53</v>
      </c>
      <c r="C898" t="s">
        <v>2517</v>
      </c>
      <c r="D898" t="s">
        <v>2518</v>
      </c>
      <c r="E898" t="s">
        <v>76</v>
      </c>
      <c r="F898" s="1">
        <v>45411</v>
      </c>
      <c r="G898" t="s">
        <v>2519</v>
      </c>
      <c r="I898">
        <f>_xll.ciqfunctions.udf.CIQ(A898, "IQ_MARKETCAP", F898)</f>
        <v>353804.34798999998</v>
      </c>
      <c r="J898">
        <f>_xll.ciqfunctions.udf.CIQ(A898, "IQ_PRICE_VOL_HIST_6MTH", F898)</f>
        <v>13.131399999999999</v>
      </c>
      <c r="K898">
        <f>_xll.ciqfunctions.udf.CIQ(A898, "IQ_LASTSALEPRICE", WORKDAY(F898,-1))</f>
        <v>146.13999999999999</v>
      </c>
      <c r="L898">
        <f>_xll.ciqfunctions.udf.CIQ(A898, "IQ_LASTSALEPRICE", F898)</f>
        <v>146.82</v>
      </c>
      <c r="M898">
        <f>_xll.ciqfunctions.udf.CIQ(A898, "IQ_LASTSALEPRICE", WORKDAY(F898,5))</f>
        <v>148.58000000000001</v>
      </c>
      <c r="N898">
        <f t="shared" si="26"/>
        <v>4.6422803195635323E-3</v>
      </c>
      <c r="O898">
        <f t="shared" si="27"/>
        <v>1.6558467360588542E-2</v>
      </c>
      <c r="P898">
        <f>LN(_xll.ciqfunctions.udf.CIQ("XBI", "IQ_LASTSALEPRICE", WORKDAY(F898,-1))/_xll.ciqfunctions.udf.CIQ("XBI", "IQ_LASTSALEPRICE", WORKDAY(F898,1)))</f>
        <v>-1.344378108601244E-2</v>
      </c>
      <c r="Q898">
        <f>LN(_xll.ciqfunctions.udf.CIQ("XBI", "IQ_LASTSALEPRICE", WORKDAY(F898,-1))/_xll.ciqfunctions.udf.CIQ("XBI", "IQ_LASTSALEPRICE", WORKDAY(F898,5)))</f>
        <v>-8.1506573922158723E-2</v>
      </c>
      <c r="R898">
        <f>_xll.ciqfunctions.udf.CIQ(A898, "IQ_SHORT_INTEREST_PERCENT", F898)</f>
        <v>0.68735000000000002</v>
      </c>
      <c r="S898">
        <f>_xll.ciqfunctions.udf.CIQ(A898, "IQ_BETA_1YR_RSQ", F898)</f>
        <v>0.12025</v>
      </c>
      <c r="T898">
        <f>_xll.ciqfunctions.udf.CIQ(A898, "IQ_VALUE_TRADED", F898)</f>
        <v>948.69034999999997</v>
      </c>
    </row>
    <row r="899" spans="1:20" x14ac:dyDescent="0.3">
      <c r="A899" t="s">
        <v>2520</v>
      </c>
      <c r="B899" s="2">
        <v>2.2000000000000002</v>
      </c>
      <c r="C899" t="s">
        <v>2521</v>
      </c>
      <c r="D899" t="s">
        <v>2522</v>
      </c>
      <c r="E899" t="s">
        <v>89</v>
      </c>
      <c r="F899" s="1">
        <v>45411</v>
      </c>
      <c r="G899" t="s">
        <v>2523</v>
      </c>
      <c r="H899">
        <v>15</v>
      </c>
      <c r="I899">
        <f>_xll.ciqfunctions.udf.CIQ(A899, "IQ_MARKETCAP", F899)</f>
        <v>31.470690000000001</v>
      </c>
      <c r="J899">
        <f>_xll.ciqfunctions.udf.CIQ(A899, "IQ_PRICE_VOL_HIST_6MTH", F899)</f>
        <v>180.6609</v>
      </c>
      <c r="K899">
        <f>_xll.ciqfunctions.udf.CIQ(A899, "IQ_LASTSALEPRICE", WORKDAY(F899,-1))</f>
        <v>2.5099999999999998</v>
      </c>
      <c r="L899">
        <f>_xll.ciqfunctions.udf.CIQ(A899, "IQ_LASTSALEPRICE", F899)</f>
        <v>2.1949999999999998</v>
      </c>
      <c r="M899">
        <f>_xll.ciqfunctions.udf.CIQ(A899, "IQ_LASTSALEPRICE", WORKDAY(F899,5))</f>
        <v>2.0099999999999998</v>
      </c>
      <c r="N899">
        <f t="shared" ref="N899:N962" si="28">LN(L899/K899)</f>
        <v>-0.13410070661655785</v>
      </c>
      <c r="O899">
        <f t="shared" ref="O899:O962" si="29">LN(M899/K899)</f>
        <v>-0.2221480310727082</v>
      </c>
      <c r="P899">
        <f>LN(_xll.ciqfunctions.udf.CIQ("XBI", "IQ_LASTSALEPRICE", WORKDAY(F899,-1))/_xll.ciqfunctions.udf.CIQ("XBI", "IQ_LASTSALEPRICE", WORKDAY(F899,1)))</f>
        <v>-1.344378108601244E-2</v>
      </c>
      <c r="Q899">
        <f>LN(_xll.ciqfunctions.udf.CIQ("XBI", "IQ_LASTSALEPRICE", WORKDAY(F899,-1))/_xll.ciqfunctions.udf.CIQ("XBI", "IQ_LASTSALEPRICE", WORKDAY(F899,5)))</f>
        <v>-8.1506573922158723E-2</v>
      </c>
      <c r="R899">
        <f>_xll.ciqfunctions.udf.CIQ(A899, "IQ_SHORT_INTEREST_PERCENT", F899)</f>
        <v>0</v>
      </c>
      <c r="S899">
        <f>_xll.ciqfunctions.udf.CIQ(A899, "IQ_BETA_1YR_RSQ", F899)</f>
        <v>0</v>
      </c>
      <c r="T899">
        <f>_xll.ciqfunctions.udf.CIQ(A899, "IQ_VALUE_TRADED", F899)</f>
        <v>0.37509999999999999</v>
      </c>
    </row>
    <row r="900" spans="1:20" x14ac:dyDescent="0.3">
      <c r="A900" t="s">
        <v>601</v>
      </c>
      <c r="B900" s="2">
        <v>1.54</v>
      </c>
      <c r="C900" t="s">
        <v>602</v>
      </c>
      <c r="D900" t="s">
        <v>603</v>
      </c>
      <c r="E900" t="s">
        <v>154</v>
      </c>
      <c r="F900" s="1">
        <v>45411</v>
      </c>
      <c r="G900" t="s">
        <v>2524</v>
      </c>
      <c r="H900">
        <v>44</v>
      </c>
      <c r="I900">
        <f>_xll.ciqfunctions.udf.CIQ(A900, "IQ_MARKETCAP", F900)</f>
        <v>25.494520000000001</v>
      </c>
      <c r="J900">
        <f>_xll.ciqfunctions.udf.CIQ(A900, "IQ_PRICE_VOL_HIST_6MTH", F900)</f>
        <v>128.51339999999999</v>
      </c>
      <c r="K900">
        <f>_xll.ciqfunctions.udf.CIQ(A900, "IQ_LASTSALEPRICE", WORKDAY(F900,-1))</f>
        <v>1.67</v>
      </c>
      <c r="L900">
        <f>_xll.ciqfunctions.udf.CIQ(A900, "IQ_LASTSALEPRICE", F900)</f>
        <v>1.54</v>
      </c>
      <c r="M900">
        <f>_xll.ciqfunctions.udf.CIQ(A900, "IQ_LASTSALEPRICE", WORKDAY(F900,5))</f>
        <v>1.59</v>
      </c>
      <c r="N900">
        <f t="shared" si="28"/>
        <v>-8.1041210003125891E-2</v>
      </c>
      <c r="O900">
        <f t="shared" si="29"/>
        <v>-4.9089610196523512E-2</v>
      </c>
      <c r="P900">
        <f>LN(_xll.ciqfunctions.udf.CIQ("XBI", "IQ_LASTSALEPRICE", WORKDAY(F900,-1))/_xll.ciqfunctions.udf.CIQ("XBI", "IQ_LASTSALEPRICE", WORKDAY(F900,1)))</f>
        <v>-1.344378108601244E-2</v>
      </c>
      <c r="Q900">
        <f>LN(_xll.ciqfunctions.udf.CIQ("XBI", "IQ_LASTSALEPRICE", WORKDAY(F900,-1))/_xll.ciqfunctions.udf.CIQ("XBI", "IQ_LASTSALEPRICE", WORKDAY(F900,5)))</f>
        <v>-8.1506573922158723E-2</v>
      </c>
      <c r="R900">
        <f>_xll.ciqfunctions.udf.CIQ(A900, "IQ_SHORT_INTEREST_PERCENT", F900)</f>
        <v>7.2311500000000004</v>
      </c>
      <c r="S900">
        <f>_xll.ciqfunctions.udf.CIQ(A900, "IQ_BETA_1YR_RSQ", F900)</f>
        <v>7.2989999999999999E-2</v>
      </c>
      <c r="T900">
        <f>_xll.ciqfunctions.udf.CIQ(A900, "IQ_VALUE_TRADED", F900)</f>
        <v>0.78766000000000003</v>
      </c>
    </row>
    <row r="901" spans="1:20" x14ac:dyDescent="0.3">
      <c r="A901" t="s">
        <v>1178</v>
      </c>
      <c r="B901" s="2">
        <v>1.21</v>
      </c>
      <c r="C901" t="s">
        <v>2525</v>
      </c>
      <c r="D901" t="s">
        <v>1680</v>
      </c>
      <c r="E901" t="s">
        <v>36</v>
      </c>
      <c r="F901" s="1">
        <v>45411</v>
      </c>
      <c r="G901" t="s">
        <v>2526</v>
      </c>
      <c r="H901">
        <v>105</v>
      </c>
      <c r="I901">
        <f>_xll.ciqfunctions.udf.CIQ(A901, "IQ_MARKETCAP", F901)</f>
        <v>69.883459999999999</v>
      </c>
      <c r="J901">
        <f>_xll.ciqfunctions.udf.CIQ(A901, "IQ_PRICE_VOL_HIST_6MTH", F901)</f>
        <v>118.6534</v>
      </c>
      <c r="K901">
        <f>_xll.ciqfunctions.udf.CIQ(A901, "IQ_LASTSALEPRICE", WORKDAY(F901,-1))</f>
        <v>1.46</v>
      </c>
      <c r="L901">
        <f>_xll.ciqfunctions.udf.CIQ(A901, "IQ_LASTSALEPRICE", F901)</f>
        <v>1.21</v>
      </c>
      <c r="M901">
        <f>_xll.ciqfunctions.udf.CIQ(A901, "IQ_LASTSALEPRICE", WORKDAY(F901,5))</f>
        <v>1.29</v>
      </c>
      <c r="N901">
        <f t="shared" si="28"/>
        <v>-0.18781607611159537</v>
      </c>
      <c r="O901">
        <f t="shared" si="29"/>
        <v>-0.12379421734666422</v>
      </c>
      <c r="P901">
        <f>LN(_xll.ciqfunctions.udf.CIQ("XBI", "IQ_LASTSALEPRICE", WORKDAY(F901,-1))/_xll.ciqfunctions.udf.CIQ("XBI", "IQ_LASTSALEPRICE", WORKDAY(F901,1)))</f>
        <v>-1.344378108601244E-2</v>
      </c>
      <c r="Q901">
        <f>LN(_xll.ciqfunctions.udf.CIQ("XBI", "IQ_LASTSALEPRICE", WORKDAY(F901,-1))/_xll.ciqfunctions.udf.CIQ("XBI", "IQ_LASTSALEPRICE", WORKDAY(F901,5)))</f>
        <v>-8.1506573922158723E-2</v>
      </c>
      <c r="R901">
        <f>_xll.ciqfunctions.udf.CIQ(A901, "IQ_SHORT_INTEREST_PERCENT", F901)</f>
        <v>9.8107000000000006</v>
      </c>
      <c r="S901">
        <f>_xll.ciqfunctions.udf.CIQ(A901, "IQ_BETA_1YR_RSQ", F901)</f>
        <v>1.8030000000000001E-2</v>
      </c>
      <c r="T901">
        <f>_xll.ciqfunctions.udf.CIQ(A901, "IQ_VALUE_TRADED", F901)</f>
        <v>4.0326399999999998</v>
      </c>
    </row>
    <row r="902" spans="1:20" x14ac:dyDescent="0.3">
      <c r="A902" t="s">
        <v>433</v>
      </c>
      <c r="B902" s="2">
        <v>75.02</v>
      </c>
      <c r="C902" t="s">
        <v>447</v>
      </c>
      <c r="D902" t="s">
        <v>369</v>
      </c>
      <c r="E902" t="s">
        <v>17</v>
      </c>
      <c r="F902" s="1">
        <v>45411</v>
      </c>
      <c r="G902" t="s">
        <v>2527</v>
      </c>
      <c r="I902">
        <f>_xll.ciqfunctions.udf.CIQ(A902, "IQ_MARKETCAP", F902)</f>
        <v>186399.78554000001</v>
      </c>
      <c r="J902">
        <f>_xll.ciqfunctions.udf.CIQ(A902, "IQ_PRICE_VOL_HIST_6MTH", F902)</f>
        <v>22.403199999999998</v>
      </c>
      <c r="K902">
        <f>_xll.ciqfunctions.udf.CIQ(A902, "IQ_LASTSALEPRICE", WORKDAY(F902,-1))</f>
        <v>119.88</v>
      </c>
      <c r="L902">
        <f>_xll.ciqfunctions.udf.CIQ(A902, "IQ_LASTSALEPRICE", F902)</f>
        <v>120.24</v>
      </c>
      <c r="M902">
        <f>_xll.ciqfunctions.udf.CIQ(A902, "IQ_LASTSALEPRICE", WORKDAY(F902,5))</f>
        <v>120.5</v>
      </c>
      <c r="N902">
        <f t="shared" si="28"/>
        <v>2.9985029962566329E-3</v>
      </c>
      <c r="O902">
        <f t="shared" si="29"/>
        <v>5.1585104822471648E-3</v>
      </c>
      <c r="P902">
        <f>LN(_xll.ciqfunctions.udf.CIQ("XBI", "IQ_LASTSALEPRICE", WORKDAY(F902,-1))/_xll.ciqfunctions.udf.CIQ("XBI", "IQ_LASTSALEPRICE", WORKDAY(F902,1)))</f>
        <v>-1.344378108601244E-2</v>
      </c>
      <c r="Q902">
        <f>LN(_xll.ciqfunctions.udf.CIQ("XBI", "IQ_LASTSALEPRICE", WORKDAY(F902,-1))/_xll.ciqfunctions.udf.CIQ("XBI", "IQ_LASTSALEPRICE", WORKDAY(F902,5)))</f>
        <v>-8.1506573922158723E-2</v>
      </c>
      <c r="R902">
        <f>_xll.ciqfunctions.udf.CIQ(A902, "IQ_SHORT_INTEREST_PERCENT", F902)</f>
        <v>0</v>
      </c>
      <c r="S902">
        <f>_xll.ciqfunctions.udf.CIQ(A902, "IQ_BETA_1YR_RSQ", F902)</f>
        <v>0.19694</v>
      </c>
      <c r="T902">
        <f>_xll.ciqfunctions.udf.CIQ(A902, "IQ_VALUE_TRADED", F902)</f>
        <v>445.38614999999999</v>
      </c>
    </row>
    <row r="903" spans="1:20" x14ac:dyDescent="0.3">
      <c r="A903" t="s">
        <v>449</v>
      </c>
      <c r="B903" s="2">
        <v>0.41</v>
      </c>
      <c r="C903" t="s">
        <v>447</v>
      </c>
      <c r="D903" t="s">
        <v>369</v>
      </c>
      <c r="E903" t="s">
        <v>17</v>
      </c>
      <c r="F903" s="1">
        <v>45411</v>
      </c>
      <c r="G903" t="s">
        <v>2527</v>
      </c>
      <c r="H903">
        <v>2</v>
      </c>
      <c r="I903">
        <f>_xll.ciqfunctions.udf.CIQ(A903, "IQ_MARKETCAP", F903)</f>
        <v>73.084919999999997</v>
      </c>
      <c r="J903">
        <f>_xll.ciqfunctions.udf.CIQ(A903, "IQ_PRICE_VOL_HIST_6MTH", F903)</f>
        <v>60.589199999999998</v>
      </c>
      <c r="K903">
        <f>_xll.ciqfunctions.udf.CIQ(A903, "IQ_LASTSALEPRICE", WORKDAY(F903,-1))</f>
        <v>0.34</v>
      </c>
      <c r="L903">
        <f>_xll.ciqfunctions.udf.CIQ(A903, "IQ_LASTSALEPRICE", F903)</f>
        <v>0.35</v>
      </c>
      <c r="M903">
        <f>_xll.ciqfunctions.udf.CIQ(A903, "IQ_LASTSALEPRICE", WORKDAY(F903,5))</f>
        <v>0.34499999999999997</v>
      </c>
      <c r="N903">
        <f t="shared" si="28"/>
        <v>2.8987536873252187E-2</v>
      </c>
      <c r="O903">
        <f t="shared" si="29"/>
        <v>1.4598799421152631E-2</v>
      </c>
      <c r="P903">
        <f>LN(_xll.ciqfunctions.udf.CIQ("XBI", "IQ_LASTSALEPRICE", WORKDAY(F903,-1))/_xll.ciqfunctions.udf.CIQ("XBI", "IQ_LASTSALEPRICE", WORKDAY(F903,1)))</f>
        <v>-1.344378108601244E-2</v>
      </c>
      <c r="Q903">
        <f>LN(_xll.ciqfunctions.udf.CIQ("XBI", "IQ_LASTSALEPRICE", WORKDAY(F903,-1))/_xll.ciqfunctions.udf.CIQ("XBI", "IQ_LASTSALEPRICE", WORKDAY(F903,5)))</f>
        <v>-8.1506573922158723E-2</v>
      </c>
      <c r="R903">
        <f>_xll.ciqfunctions.udf.CIQ(A903, "IQ_SHORT_INTEREST_PERCENT", F903)</f>
        <v>0</v>
      </c>
      <c r="S903">
        <f>_xll.ciqfunctions.udf.CIQ(A903, "IQ_BETA_1YR_RSQ", F903)</f>
        <v>2.0820000000000002E-2</v>
      </c>
      <c r="T903">
        <f>_xll.ciqfunctions.udf.CIQ(A903, "IQ_VALUE_TRADED", F903)</f>
        <v>4.4000000000000002E-4</v>
      </c>
    </row>
    <row r="904" spans="1:20" x14ac:dyDescent="0.3">
      <c r="A904" t="s">
        <v>162</v>
      </c>
      <c r="B904" s="2">
        <v>70.459999999999994</v>
      </c>
      <c r="C904" t="s">
        <v>2528</v>
      </c>
      <c r="D904" t="s">
        <v>2529</v>
      </c>
      <c r="E904" t="s">
        <v>36</v>
      </c>
      <c r="F904" s="1">
        <v>45411</v>
      </c>
      <c r="G904" t="s">
        <v>2530</v>
      </c>
      <c r="H904">
        <v>19</v>
      </c>
      <c r="I904">
        <f>_xll.ciqfunctions.udf.CIQ(A904, "IQ_MARKETCAP", F904)</f>
        <v>1265.3456200000001</v>
      </c>
      <c r="J904">
        <f>_xll.ciqfunctions.udf.CIQ(A904, "IQ_PRICE_VOL_HIST_6MTH", F904)</f>
        <v>43.168300000000002</v>
      </c>
      <c r="K904">
        <f>_xll.ciqfunctions.udf.CIQ(A904, "IQ_LASTSALEPRICE", WORKDAY(F904,-1))</f>
        <v>70.569999999999993</v>
      </c>
      <c r="L904">
        <f>_xll.ciqfunctions.udf.CIQ(A904, "IQ_LASTSALEPRICE", F904)</f>
        <v>70.459999999999994</v>
      </c>
      <c r="M904">
        <f>_xll.ciqfunctions.udf.CIQ(A904, "IQ_LASTSALEPRICE", WORKDAY(F904,5))</f>
        <v>72.83</v>
      </c>
      <c r="N904">
        <f t="shared" si="28"/>
        <v>-1.5599520996473265E-3</v>
      </c>
      <c r="O904">
        <f t="shared" si="29"/>
        <v>3.1522833217085058E-2</v>
      </c>
      <c r="P904">
        <f>LN(_xll.ciqfunctions.udf.CIQ("XBI", "IQ_LASTSALEPRICE", WORKDAY(F904,-1))/_xll.ciqfunctions.udf.CIQ("XBI", "IQ_LASTSALEPRICE", WORKDAY(F904,1)))</f>
        <v>-1.344378108601244E-2</v>
      </c>
      <c r="Q904">
        <f>LN(_xll.ciqfunctions.udf.CIQ("XBI", "IQ_LASTSALEPRICE", WORKDAY(F904,-1))/_xll.ciqfunctions.udf.CIQ("XBI", "IQ_LASTSALEPRICE", WORKDAY(F904,5)))</f>
        <v>-8.1506573922158723E-2</v>
      </c>
      <c r="R904">
        <f>_xll.ciqfunctions.udf.CIQ(A904, "IQ_SHORT_INTEREST_PERCENT", F904)</f>
        <v>4.6029200000000001</v>
      </c>
      <c r="S904">
        <f>_xll.ciqfunctions.udf.CIQ(A904, "IQ_BETA_1YR_RSQ", F904)</f>
        <v>0.30034</v>
      </c>
      <c r="T904">
        <f>_xll.ciqfunctions.udf.CIQ(A904, "IQ_VALUE_TRADED", F904)</f>
        <v>13.92712</v>
      </c>
    </row>
    <row r="905" spans="1:20" x14ac:dyDescent="0.3">
      <c r="A905" t="s">
        <v>130</v>
      </c>
      <c r="B905" s="2">
        <v>128.5</v>
      </c>
      <c r="C905" t="s">
        <v>2528</v>
      </c>
      <c r="D905" t="s">
        <v>2529</v>
      </c>
      <c r="E905" t="s">
        <v>36</v>
      </c>
      <c r="F905" s="1">
        <v>45411</v>
      </c>
      <c r="G905" t="s">
        <v>2530</v>
      </c>
      <c r="I905">
        <f>_xll.ciqfunctions.udf.CIQ(A905, "IQ_MARKETCAP", F905)</f>
        <v>329597.62794999999</v>
      </c>
      <c r="J905">
        <f>_xll.ciqfunctions.udf.CIQ(A905, "IQ_PRICE_VOL_HIST_6MTH", F905)</f>
        <v>16.663599999999999</v>
      </c>
      <c r="K905">
        <f>_xll.ciqfunctions.udf.CIQ(A905, "IQ_LASTSALEPRICE", WORKDAY(F905,-1))</f>
        <v>131.19999999999999</v>
      </c>
      <c r="L905">
        <f>_xll.ciqfunctions.udf.CIQ(A905, "IQ_LASTSALEPRICE", F905)</f>
        <v>130.12</v>
      </c>
      <c r="M905">
        <f>_xll.ciqfunctions.udf.CIQ(A905, "IQ_LASTSALEPRICE", WORKDAY(F905,5))</f>
        <v>127.57</v>
      </c>
      <c r="N905">
        <f t="shared" si="28"/>
        <v>-8.2657749048378002E-3</v>
      </c>
      <c r="O905">
        <f t="shared" si="29"/>
        <v>-2.8057642959789929E-2</v>
      </c>
      <c r="P905">
        <f>LN(_xll.ciqfunctions.udf.CIQ("XBI", "IQ_LASTSALEPRICE", WORKDAY(F905,-1))/_xll.ciqfunctions.udf.CIQ("XBI", "IQ_LASTSALEPRICE", WORKDAY(F905,1)))</f>
        <v>-1.344378108601244E-2</v>
      </c>
      <c r="Q905">
        <f>LN(_xll.ciqfunctions.udf.CIQ("XBI", "IQ_LASTSALEPRICE", WORKDAY(F905,-1))/_xll.ciqfunctions.udf.CIQ("XBI", "IQ_LASTSALEPRICE", WORKDAY(F905,5)))</f>
        <v>-8.1506573922158723E-2</v>
      </c>
      <c r="R905">
        <f>_xll.ciqfunctions.udf.CIQ(A905, "IQ_SHORT_INTEREST_PERCENT", F905)</f>
        <v>0.80654000000000003</v>
      </c>
      <c r="S905">
        <f>_xll.ciqfunctions.udf.CIQ(A905, "IQ_BETA_1YR_RSQ", F905)</f>
        <v>1.085E-2</v>
      </c>
      <c r="T905">
        <f>_xll.ciqfunctions.udf.CIQ(A905, "IQ_VALUE_TRADED", F905)</f>
        <v>888.63801999999998</v>
      </c>
    </row>
    <row r="906" spans="1:20" x14ac:dyDescent="0.3">
      <c r="A906" t="s">
        <v>504</v>
      </c>
      <c r="B906" s="2">
        <v>7.28</v>
      </c>
      <c r="C906" t="s">
        <v>899</v>
      </c>
      <c r="D906" t="s">
        <v>900</v>
      </c>
      <c r="E906" t="s">
        <v>27</v>
      </c>
      <c r="F906" s="1">
        <v>45411</v>
      </c>
      <c r="G906" t="s">
        <v>2531</v>
      </c>
      <c r="H906">
        <v>19</v>
      </c>
      <c r="I906">
        <f>_xll.ciqfunctions.udf.CIQ(A906, "IQ_MARKETCAP", F906)</f>
        <v>80.162260000000003</v>
      </c>
      <c r="J906">
        <f>_xll.ciqfunctions.udf.CIQ(A906, "IQ_PRICE_VOL_HIST_6MTH", F906)</f>
        <v>182.5694</v>
      </c>
      <c r="K906">
        <f>_xll.ciqfunctions.udf.CIQ(A906, "IQ_LASTSALEPRICE", WORKDAY(F906,-1))</f>
        <v>18.010000000000002</v>
      </c>
      <c r="L906">
        <f>_xll.ciqfunctions.udf.CIQ(A906, "IQ_LASTSALEPRICE", F906)</f>
        <v>7.28</v>
      </c>
      <c r="M906">
        <f>_xll.ciqfunctions.udf.CIQ(A906, "IQ_LASTSALEPRICE", WORKDAY(F906,5))</f>
        <v>5.39</v>
      </c>
      <c r="N906">
        <f t="shared" si="28"/>
        <v>-0.90579629697927022</v>
      </c>
      <c r="O906">
        <f t="shared" si="29"/>
        <v>-1.2063817742669591</v>
      </c>
      <c r="P906">
        <f>LN(_xll.ciqfunctions.udf.CIQ("XBI", "IQ_LASTSALEPRICE", WORKDAY(F906,-1))/_xll.ciqfunctions.udf.CIQ("XBI", "IQ_LASTSALEPRICE", WORKDAY(F906,1)))</f>
        <v>-1.344378108601244E-2</v>
      </c>
      <c r="Q906">
        <f>LN(_xll.ciqfunctions.udf.CIQ("XBI", "IQ_LASTSALEPRICE", WORKDAY(F906,-1))/_xll.ciqfunctions.udf.CIQ("XBI", "IQ_LASTSALEPRICE", WORKDAY(F906,5)))</f>
        <v>-8.1506573922158723E-2</v>
      </c>
      <c r="R906">
        <f>_xll.ciqfunctions.udf.CIQ(A906, "IQ_SHORT_INTEREST_PERCENT", F906)</f>
        <v>13.192920000000001</v>
      </c>
      <c r="S906">
        <f>_xll.ciqfunctions.udf.CIQ(A906, "IQ_BETA_1YR_RSQ", F906)</f>
        <v>4.7359999999999999E-2</v>
      </c>
      <c r="T906">
        <f>_xll.ciqfunctions.udf.CIQ(A906, "IQ_VALUE_TRADED", F906)</f>
        <v>69.854889999999997</v>
      </c>
    </row>
    <row r="907" spans="1:20" x14ac:dyDescent="0.3">
      <c r="A907" t="s">
        <v>1434</v>
      </c>
      <c r="B907" s="2">
        <v>5.0999999999999996</v>
      </c>
      <c r="C907" t="s">
        <v>1435</v>
      </c>
      <c r="D907" t="s">
        <v>1436</v>
      </c>
      <c r="E907" t="s">
        <v>22</v>
      </c>
      <c r="F907" s="1">
        <v>45411</v>
      </c>
      <c r="G907" t="s">
        <v>2532</v>
      </c>
      <c r="H907">
        <v>87</v>
      </c>
      <c r="I907">
        <f>_xll.ciqfunctions.udf.CIQ(A907, "IQ_MARKETCAP", F907)</f>
        <v>329.84138000000002</v>
      </c>
      <c r="J907">
        <f>_xll.ciqfunctions.udf.CIQ(A907, "IQ_PRICE_VOL_HIST_6MTH", F907)</f>
        <v>90.314599999999999</v>
      </c>
      <c r="K907">
        <f>_xll.ciqfunctions.udf.CIQ(A907, "IQ_LASTSALEPRICE", WORKDAY(F907,-1))</f>
        <v>4.91</v>
      </c>
      <c r="L907">
        <f>_xll.ciqfunctions.udf.CIQ(A907, "IQ_LASTSALEPRICE", F907)</f>
        <v>5.0999999999999996</v>
      </c>
      <c r="M907">
        <f>_xll.ciqfunctions.udf.CIQ(A907, "IQ_LASTSALEPRICE", WORKDAY(F907,5))</f>
        <v>5.79</v>
      </c>
      <c r="N907">
        <f t="shared" si="28"/>
        <v>3.7966597923850723E-2</v>
      </c>
      <c r="O907">
        <f t="shared" si="29"/>
        <v>0.16485834977847463</v>
      </c>
      <c r="P907">
        <f>LN(_xll.ciqfunctions.udf.CIQ("XBI", "IQ_LASTSALEPRICE", WORKDAY(F907,-1))/_xll.ciqfunctions.udf.CIQ("XBI", "IQ_LASTSALEPRICE", WORKDAY(F907,1)))</f>
        <v>-1.344378108601244E-2</v>
      </c>
      <c r="Q907">
        <f>LN(_xll.ciqfunctions.udf.CIQ("XBI", "IQ_LASTSALEPRICE", WORKDAY(F907,-1))/_xll.ciqfunctions.udf.CIQ("XBI", "IQ_LASTSALEPRICE", WORKDAY(F907,5)))</f>
        <v>-8.1506573922158723E-2</v>
      </c>
      <c r="R907">
        <f>_xll.ciqfunctions.udf.CIQ(A907, "IQ_SHORT_INTEREST_PERCENT", F907)</f>
        <v>6.79779</v>
      </c>
      <c r="S907">
        <f>_xll.ciqfunctions.udf.CIQ(A907, "IQ_BETA_1YR_RSQ", F907)</f>
        <v>1.0000000000000001E-5</v>
      </c>
      <c r="T907">
        <f>_xll.ciqfunctions.udf.CIQ(A907, "IQ_VALUE_TRADED", F907)</f>
        <v>2.5114100000000001</v>
      </c>
    </row>
    <row r="908" spans="1:20" x14ac:dyDescent="0.3">
      <c r="A908" t="s">
        <v>1613</v>
      </c>
      <c r="B908" s="2">
        <v>2.71</v>
      </c>
      <c r="C908" t="s">
        <v>1614</v>
      </c>
      <c r="D908" t="s">
        <v>1615</v>
      </c>
      <c r="E908" t="s">
        <v>76</v>
      </c>
      <c r="F908" s="1">
        <v>45411</v>
      </c>
      <c r="G908" t="s">
        <v>2533</v>
      </c>
      <c r="H908">
        <v>4</v>
      </c>
      <c r="I908">
        <f>_xll.ciqfunctions.udf.CIQ(A908, "IQ_MARKETCAP", F908)</f>
        <v>923.56799999999998</v>
      </c>
      <c r="J908">
        <f>_xll.ciqfunctions.udf.CIQ(A908, "IQ_PRICE_VOL_HIST_6MTH", F908)</f>
        <v>69.843599999999995</v>
      </c>
      <c r="K908">
        <f>_xll.ciqfunctions.udf.CIQ(A908, "IQ_LASTSALEPRICE", WORKDAY(F908,-1))</f>
        <v>45</v>
      </c>
      <c r="L908">
        <f>_xll.ciqfunctions.udf.CIQ(A908, "IQ_LASTSALEPRICE", F908)</f>
        <v>45</v>
      </c>
      <c r="M908">
        <f>_xll.ciqfunctions.udf.CIQ(A908, "IQ_LASTSALEPRICE", WORKDAY(F908,5))</f>
        <v>45</v>
      </c>
      <c r="N908">
        <f t="shared" si="28"/>
        <v>0</v>
      </c>
      <c r="O908">
        <f t="shared" si="29"/>
        <v>0</v>
      </c>
      <c r="P908">
        <f>LN(_xll.ciqfunctions.udf.CIQ("XBI", "IQ_LASTSALEPRICE", WORKDAY(F908,-1))/_xll.ciqfunctions.udf.CIQ("XBI", "IQ_LASTSALEPRICE", WORKDAY(F908,1)))</f>
        <v>-1.344378108601244E-2</v>
      </c>
      <c r="Q908">
        <f>LN(_xll.ciqfunctions.udf.CIQ("XBI", "IQ_LASTSALEPRICE", WORKDAY(F908,-1))/_xll.ciqfunctions.udf.CIQ("XBI", "IQ_LASTSALEPRICE", WORKDAY(F908,5)))</f>
        <v>-8.1506573922158723E-2</v>
      </c>
      <c r="R908">
        <f>_xll.ciqfunctions.udf.CIQ(A908, "IQ_SHORT_INTEREST_PERCENT", F908)</f>
        <v>0</v>
      </c>
      <c r="S908">
        <f>_xll.ciqfunctions.udf.CIQ(A908, "IQ_BETA_1YR_RSQ", F908)</f>
        <v>0</v>
      </c>
      <c r="T908">
        <f>_xll.ciqfunctions.udf.CIQ(A908, "IQ_VALUE_TRADED", F908)</f>
        <v>0</v>
      </c>
    </row>
    <row r="909" spans="1:20" x14ac:dyDescent="0.3">
      <c r="A909" t="s">
        <v>401</v>
      </c>
      <c r="B909" s="2">
        <v>24.92</v>
      </c>
      <c r="C909" t="s">
        <v>2534</v>
      </c>
      <c r="D909" t="s">
        <v>2535</v>
      </c>
      <c r="E909" t="s">
        <v>160</v>
      </c>
      <c r="F909" s="1">
        <v>45411</v>
      </c>
      <c r="G909" t="s">
        <v>2511</v>
      </c>
      <c r="I909">
        <f>_xll.ciqfunctions.udf.CIQ(A909, "IQ_MARKETCAP", F909)</f>
        <v>145187.55869999999</v>
      </c>
      <c r="J909">
        <f>_xll.ciqfunctions.udf.CIQ(A909, "IQ_PRICE_VOL_HIST_6MTH", F909)</f>
        <v>25.794699999999999</v>
      </c>
      <c r="K909">
        <f>_xll.ciqfunctions.udf.CIQ(A909, "IQ_LASTSALEPRICE", WORKDAY(F909,-1))</f>
        <v>25.4</v>
      </c>
      <c r="L909">
        <f>_xll.ciqfunctions.udf.CIQ(A909, "IQ_LASTSALEPRICE", F909)</f>
        <v>25.64</v>
      </c>
      <c r="M909">
        <f>_xll.ciqfunctions.udf.CIQ(A909, "IQ_LASTSALEPRICE", WORKDAY(F909,5))</f>
        <v>28.16</v>
      </c>
      <c r="N909">
        <f t="shared" si="28"/>
        <v>9.4044580279784191E-3</v>
      </c>
      <c r="O909">
        <f t="shared" si="29"/>
        <v>0.10315335726535074</v>
      </c>
      <c r="P909">
        <f>LN(_xll.ciqfunctions.udf.CIQ("XBI", "IQ_LASTSALEPRICE", WORKDAY(F909,-1))/_xll.ciqfunctions.udf.CIQ("XBI", "IQ_LASTSALEPRICE", WORKDAY(F909,1)))</f>
        <v>-1.344378108601244E-2</v>
      </c>
      <c r="Q909">
        <f>LN(_xll.ciqfunctions.udf.CIQ("XBI", "IQ_LASTSALEPRICE", WORKDAY(F909,-1))/_xll.ciqfunctions.udf.CIQ("XBI", "IQ_LASTSALEPRICE", WORKDAY(F909,5)))</f>
        <v>-8.1506573922158723E-2</v>
      </c>
      <c r="R909">
        <f>_xll.ciqfunctions.udf.CIQ(A909, "IQ_SHORT_INTEREST_PERCENT", F909)</f>
        <v>1.20198</v>
      </c>
      <c r="S909">
        <f>_xll.ciqfunctions.udf.CIQ(A909, "IQ_BETA_1YR_RSQ", F909)</f>
        <v>2.4830000000000001E-2</v>
      </c>
      <c r="T909">
        <f>_xll.ciqfunctions.udf.CIQ(A909, "IQ_VALUE_TRADED", F909)</f>
        <v>1068.5317399999999</v>
      </c>
    </row>
    <row r="910" spans="1:20" x14ac:dyDescent="0.3">
      <c r="A910" t="s">
        <v>2036</v>
      </c>
      <c r="B910" s="2">
        <v>28.57</v>
      </c>
      <c r="C910" t="s">
        <v>2534</v>
      </c>
      <c r="D910" t="s">
        <v>2535</v>
      </c>
      <c r="E910" t="s">
        <v>160</v>
      </c>
      <c r="F910" s="1">
        <v>45411</v>
      </c>
      <c r="G910" t="s">
        <v>2511</v>
      </c>
      <c r="H910">
        <v>661</v>
      </c>
      <c r="I910">
        <f>_xll.ciqfunctions.udf.CIQ(A910, "IQ_MARKETCAP", F910)</f>
        <v>127379.81388</v>
      </c>
      <c r="J910">
        <f>_xll.ciqfunctions.udf.CIQ(A910, "IQ_PRICE_VOL_HIST_6MTH", F910)</f>
        <v>32.557200000000002</v>
      </c>
      <c r="K910">
        <f>_xll.ciqfunctions.udf.CIQ(A910, "IQ_LASTSALEPRICE", WORKDAY(F910,-1))</f>
        <v>1954.5</v>
      </c>
      <c r="L910">
        <f>_xll.ciqfunctions.udf.CIQ(A910, "IQ_LASTSALEPRICE", F910)</f>
        <v>1970</v>
      </c>
      <c r="M910">
        <f>_xll.ciqfunctions.udf.CIQ(A910, "IQ_LASTSALEPRICE", WORKDAY(F910,5))</f>
        <v>2004</v>
      </c>
      <c r="N910">
        <f t="shared" si="28"/>
        <v>7.8991364990247358E-3</v>
      </c>
      <c r="O910">
        <f t="shared" si="29"/>
        <v>2.5010776971745884E-2</v>
      </c>
      <c r="P910">
        <f>LN(_xll.ciqfunctions.udf.CIQ("XBI", "IQ_LASTSALEPRICE", WORKDAY(F910,-1))/_xll.ciqfunctions.udf.CIQ("XBI", "IQ_LASTSALEPRICE", WORKDAY(F910,1)))</f>
        <v>-1.344378108601244E-2</v>
      </c>
      <c r="Q910">
        <f>LN(_xll.ciqfunctions.udf.CIQ("XBI", "IQ_LASTSALEPRICE", WORKDAY(F910,-1))/_xll.ciqfunctions.udf.CIQ("XBI", "IQ_LASTSALEPRICE", WORKDAY(F910,5)))</f>
        <v>-8.1506573922158723E-2</v>
      </c>
      <c r="R910">
        <f>_xll.ciqfunctions.udf.CIQ(A910, "IQ_SHORT_INTEREST_PERCENT", F910)</f>
        <v>0</v>
      </c>
      <c r="S910">
        <f>_xll.ciqfunctions.udf.CIQ(A910, "IQ_BETA_1YR_RSQ", F910)</f>
        <v>7.4359999999999996E-2</v>
      </c>
      <c r="T910">
        <f>_xll.ciqfunctions.udf.CIQ(A910, "IQ_VALUE_TRADED", F910)</f>
        <v>245.88554999999999</v>
      </c>
    </row>
    <row r="911" spans="1:20" x14ac:dyDescent="0.3">
      <c r="A911" t="s">
        <v>2536</v>
      </c>
      <c r="B911" s="2">
        <v>3.7</v>
      </c>
      <c r="C911" t="s">
        <v>2537</v>
      </c>
      <c r="D911" t="s">
        <v>594</v>
      </c>
      <c r="E911" t="s">
        <v>89</v>
      </c>
      <c r="F911" s="1">
        <v>45411</v>
      </c>
      <c r="G911" t="s">
        <v>2538</v>
      </c>
      <c r="H911">
        <v>40</v>
      </c>
      <c r="I911">
        <f>_xll.ciqfunctions.udf.CIQ(A911, "IQ_MARKETCAP", F911)</f>
        <v>104.68745</v>
      </c>
      <c r="J911">
        <f>_xll.ciqfunctions.udf.CIQ(A911, "IQ_PRICE_VOL_HIST_6MTH", F911)</f>
        <v>56.566800000000001</v>
      </c>
      <c r="K911">
        <f>_xll.ciqfunctions.udf.CIQ(A911, "IQ_LASTSALEPRICE", WORKDAY(F911,-1))</f>
        <v>3.36</v>
      </c>
      <c r="L911">
        <f>_xll.ciqfunctions.udf.CIQ(A911, "IQ_LASTSALEPRICE", F911)</f>
        <v>3.1850000000000001</v>
      </c>
      <c r="M911">
        <f>_xll.ciqfunctions.udf.CIQ(A911, "IQ_LASTSALEPRICE", WORKDAY(F911,5))</f>
        <v>3.35</v>
      </c>
      <c r="N911">
        <f t="shared" si="28"/>
        <v>-5.3488684950986118E-2</v>
      </c>
      <c r="O911">
        <f t="shared" si="29"/>
        <v>-2.9806281381377893E-3</v>
      </c>
      <c r="P911">
        <f>LN(_xll.ciqfunctions.udf.CIQ("XBI", "IQ_LASTSALEPRICE", WORKDAY(F911,-1))/_xll.ciqfunctions.udf.CIQ("XBI", "IQ_LASTSALEPRICE", WORKDAY(F911,1)))</f>
        <v>-1.344378108601244E-2</v>
      </c>
      <c r="Q911">
        <f>LN(_xll.ciqfunctions.udf.CIQ("XBI", "IQ_LASTSALEPRICE", WORKDAY(F911,-1))/_xll.ciqfunctions.udf.CIQ("XBI", "IQ_LASTSALEPRICE", WORKDAY(F911,5)))</f>
        <v>-8.1506573922158723E-2</v>
      </c>
      <c r="R911">
        <f>_xll.ciqfunctions.udf.CIQ(A911, "IQ_SHORT_INTEREST_PERCENT", F911)</f>
        <v>0</v>
      </c>
      <c r="S911">
        <f>_xll.ciqfunctions.udf.CIQ(A911, "IQ_BETA_1YR_RSQ", F911)</f>
        <v>5.9560000000000002E-2</v>
      </c>
      <c r="T911">
        <f>_xll.ciqfunctions.udf.CIQ(A911, "IQ_VALUE_TRADED", F911)</f>
        <v>2.266E-2</v>
      </c>
    </row>
    <row r="912" spans="1:20" x14ac:dyDescent="0.3">
      <c r="A912" t="s">
        <v>181</v>
      </c>
      <c r="B912" s="2">
        <v>1.35</v>
      </c>
      <c r="C912" t="s">
        <v>182</v>
      </c>
      <c r="D912" t="s">
        <v>183</v>
      </c>
      <c r="E912" t="s">
        <v>197</v>
      </c>
      <c r="F912" s="1">
        <v>45412</v>
      </c>
      <c r="G912" t="s">
        <v>2539</v>
      </c>
      <c r="H912">
        <v>14</v>
      </c>
      <c r="I912">
        <f>_xll.ciqfunctions.udf.CIQ(A912, "IQ_MARKETCAP", F912)</f>
        <v>197.61458999999999</v>
      </c>
      <c r="J912">
        <f>_xll.ciqfunctions.udf.CIQ(A912, "IQ_PRICE_VOL_HIST_6MTH", F912)</f>
        <v>127.22</v>
      </c>
      <c r="K912">
        <f>_xll.ciqfunctions.udf.CIQ(A912, "IQ_LASTSALEPRICE", WORKDAY(F912,-1))</f>
        <v>12.5</v>
      </c>
      <c r="L912">
        <f>_xll.ciqfunctions.udf.CIQ(A912, "IQ_LASTSALEPRICE", F912)</f>
        <v>13.5</v>
      </c>
      <c r="M912">
        <f>_xll.ciqfunctions.udf.CIQ(A912, "IQ_LASTSALEPRICE", WORKDAY(F912,5))</f>
        <v>16.3</v>
      </c>
      <c r="N912">
        <f t="shared" si="28"/>
        <v>7.6961041136128394E-2</v>
      </c>
      <c r="O912">
        <f t="shared" si="29"/>
        <v>0.26543646350446126</v>
      </c>
      <c r="P912">
        <f>LN(_xll.ciqfunctions.udf.CIQ("XBI", "IQ_LASTSALEPRICE", WORKDAY(F912,-1))/_xll.ciqfunctions.udf.CIQ("XBI", "IQ_LASTSALEPRICE", WORKDAY(F912,1)))</f>
        <v>-2.0943779708851834E-2</v>
      </c>
      <c r="Q912">
        <f>LN(_xll.ciqfunctions.udf.CIQ("XBI", "IQ_LASTSALEPRICE", WORKDAY(F912,-1))/_xll.ciqfunctions.udf.CIQ("XBI", "IQ_LASTSALEPRICE", WORKDAY(F912,5)))</f>
        <v>-5.58258040355991E-2</v>
      </c>
      <c r="R912">
        <f>_xll.ciqfunctions.udf.CIQ(A912, "IQ_SHORT_INTEREST_PERCENT", F912)</f>
        <v>7.5500999999999996</v>
      </c>
      <c r="S912">
        <f>_xll.ciqfunctions.udf.CIQ(A912, "IQ_BETA_1YR_RSQ", F912)</f>
        <v>1.2E-4</v>
      </c>
      <c r="T912">
        <f>_xll.ciqfunctions.udf.CIQ(A912, "IQ_VALUE_TRADED", F912)</f>
        <v>5.0132099999999999</v>
      </c>
    </row>
    <row r="913" spans="1:20" x14ac:dyDescent="0.3">
      <c r="A913" t="s">
        <v>1818</v>
      </c>
      <c r="B913" s="2">
        <v>137.54</v>
      </c>
      <c r="C913" t="s">
        <v>2540</v>
      </c>
      <c r="D913" t="s">
        <v>2541</v>
      </c>
      <c r="E913" t="s">
        <v>76</v>
      </c>
      <c r="F913" s="1">
        <v>45412</v>
      </c>
      <c r="G913" t="s">
        <v>2542</v>
      </c>
      <c r="H913">
        <v>99</v>
      </c>
      <c r="I913">
        <f>_xll.ciqfunctions.udf.CIQ(A913, "IQ_MARKETCAP", F913)</f>
        <v>13833.841560000001</v>
      </c>
      <c r="J913">
        <f>_xll.ciqfunctions.udf.CIQ(A913, "IQ_PRICE_VOL_HIST_6MTH", F913)</f>
        <v>26.0777</v>
      </c>
      <c r="K913">
        <f>_xll.ciqfunctions.udf.CIQ(A913, "IQ_LASTSALEPRICE", WORKDAY(F913,-1))</f>
        <v>138.88999999999999</v>
      </c>
      <c r="L913">
        <f>_xll.ciqfunctions.udf.CIQ(A913, "IQ_LASTSALEPRICE", F913)</f>
        <v>137.54</v>
      </c>
      <c r="M913">
        <f>_xll.ciqfunctions.udf.CIQ(A913, "IQ_LASTSALEPRICE", WORKDAY(F913,5))</f>
        <v>143.19</v>
      </c>
      <c r="N913">
        <f t="shared" si="28"/>
        <v>-9.7674690364374754E-3</v>
      </c>
      <c r="O913">
        <f t="shared" si="29"/>
        <v>3.0490166757787419E-2</v>
      </c>
      <c r="P913">
        <f>LN(_xll.ciqfunctions.udf.CIQ("XBI", "IQ_LASTSALEPRICE", WORKDAY(F913,-1))/_xll.ciqfunctions.udf.CIQ("XBI", "IQ_LASTSALEPRICE", WORKDAY(F913,1)))</f>
        <v>-2.0943779708851834E-2</v>
      </c>
      <c r="Q913">
        <f>LN(_xll.ciqfunctions.udf.CIQ("XBI", "IQ_LASTSALEPRICE", WORKDAY(F913,-1))/_xll.ciqfunctions.udf.CIQ("XBI", "IQ_LASTSALEPRICE", WORKDAY(F913,5)))</f>
        <v>-5.58258040355991E-2</v>
      </c>
      <c r="R913">
        <f>_xll.ciqfunctions.udf.CIQ(A913, "IQ_SHORT_INTEREST_PERCENT", F913)</f>
        <v>2.0097399999999999</v>
      </c>
      <c r="S913">
        <f>_xll.ciqfunctions.udf.CIQ(A913, "IQ_BETA_1YR_RSQ", F913)</f>
        <v>0.13381000000000001</v>
      </c>
      <c r="T913">
        <f>_xll.ciqfunctions.udf.CIQ(A913, "IQ_VALUE_TRADED", F913)</f>
        <v>132.93709000000001</v>
      </c>
    </row>
    <row r="914" spans="1:20" x14ac:dyDescent="0.3">
      <c r="A914" t="s">
        <v>351</v>
      </c>
      <c r="B914" s="2">
        <v>13.08</v>
      </c>
      <c r="C914" t="s">
        <v>2540</v>
      </c>
      <c r="D914" t="s">
        <v>2541</v>
      </c>
      <c r="E914" t="s">
        <v>76</v>
      </c>
      <c r="F914" s="1">
        <v>45412</v>
      </c>
      <c r="G914" t="s">
        <v>2542</v>
      </c>
      <c r="I914">
        <f>_xll.ciqfunctions.udf.CIQ(A914, "IQ_MARKETCAP", F914)</f>
        <v>6515782.2832000004</v>
      </c>
      <c r="J914">
        <f>_xll.ciqfunctions.udf.CIQ(A914, "IQ_PRICE_VOL_HIST_6MTH", F914)</f>
        <v>15.620100000000001</v>
      </c>
      <c r="K914">
        <f>_xll.ciqfunctions.udf.CIQ(A914, "IQ_LASTSALEPRICE", WORKDAY(F914,-1))</f>
        <v>13.17</v>
      </c>
      <c r="L914">
        <f>_xll.ciqfunctions.udf.CIQ(A914, "IQ_LASTSALEPRICE", F914)</f>
        <v>13.08</v>
      </c>
      <c r="M914">
        <f>_xll.ciqfunctions.udf.CIQ(A914, "IQ_LASTSALEPRICE", WORKDAY(F914,5))</f>
        <v>13.28</v>
      </c>
      <c r="N914">
        <f t="shared" si="28"/>
        <v>-6.8571697261370235E-3</v>
      </c>
      <c r="O914">
        <f t="shared" si="29"/>
        <v>8.3176282930980741E-3</v>
      </c>
      <c r="P914">
        <f>LN(_xll.ciqfunctions.udf.CIQ("XBI", "IQ_LASTSALEPRICE", WORKDAY(F914,-1))/_xll.ciqfunctions.udf.CIQ("XBI", "IQ_LASTSALEPRICE", WORKDAY(F914,1)))</f>
        <v>-2.0943779708851834E-2</v>
      </c>
      <c r="Q914">
        <f>LN(_xll.ciqfunctions.udf.CIQ("XBI", "IQ_LASTSALEPRICE", WORKDAY(F914,-1))/_xll.ciqfunctions.udf.CIQ("XBI", "IQ_LASTSALEPRICE", WORKDAY(F914,5)))</f>
        <v>-5.58258040355991E-2</v>
      </c>
      <c r="R914">
        <f>_xll.ciqfunctions.udf.CIQ(A914, "IQ_SHORT_INTEREST_PERCENT", F914)</f>
        <v>0</v>
      </c>
      <c r="S914">
        <f>_xll.ciqfunctions.udf.CIQ(A914, "IQ_BETA_1YR_RSQ", F914)</f>
        <v>0</v>
      </c>
      <c r="T914">
        <f>_xll.ciqfunctions.udf.CIQ(A914, "IQ_VALUE_TRADED", F914)</f>
        <v>11.89756</v>
      </c>
    </row>
    <row r="915" spans="1:20" x14ac:dyDescent="0.3">
      <c r="A915" t="s">
        <v>939</v>
      </c>
      <c r="B915" s="2">
        <v>5.09</v>
      </c>
      <c r="C915" t="s">
        <v>2543</v>
      </c>
      <c r="D915" t="s">
        <v>2544</v>
      </c>
      <c r="E915" t="s">
        <v>160</v>
      </c>
      <c r="F915" s="1">
        <v>45412</v>
      </c>
      <c r="G915" t="s">
        <v>2545</v>
      </c>
      <c r="H915">
        <v>135</v>
      </c>
      <c r="I915">
        <f>_xll.ciqfunctions.udf.CIQ(A915, "IQ_MARKETCAP", F915)</f>
        <v>736.10441000000003</v>
      </c>
      <c r="J915">
        <f>_xll.ciqfunctions.udf.CIQ(A915, "IQ_PRICE_VOL_HIST_6MTH", F915)</f>
        <v>62.894500000000001</v>
      </c>
      <c r="K915">
        <f>_xll.ciqfunctions.udf.CIQ(A915, "IQ_LASTSALEPRICE", WORKDAY(F915,-1))</f>
        <v>5.01</v>
      </c>
      <c r="L915">
        <f>_xll.ciqfunctions.udf.CIQ(A915, "IQ_LASTSALEPRICE", F915)</f>
        <v>5.09</v>
      </c>
      <c r="M915">
        <f>_xll.ciqfunctions.udf.CIQ(A915, "IQ_LASTSALEPRICE", WORKDAY(F915,5))</f>
        <v>5.12</v>
      </c>
      <c r="N915">
        <f t="shared" si="28"/>
        <v>1.5841915465657923E-2</v>
      </c>
      <c r="O915">
        <f t="shared" si="29"/>
        <v>2.1718523954643118E-2</v>
      </c>
      <c r="P915">
        <f>LN(_xll.ciqfunctions.udf.CIQ("XBI", "IQ_LASTSALEPRICE", WORKDAY(F915,-1))/_xll.ciqfunctions.udf.CIQ("XBI", "IQ_LASTSALEPRICE", WORKDAY(F915,1)))</f>
        <v>-2.0943779708851834E-2</v>
      </c>
      <c r="Q915">
        <f>LN(_xll.ciqfunctions.udf.CIQ("XBI", "IQ_LASTSALEPRICE", WORKDAY(F915,-1))/_xll.ciqfunctions.udf.CIQ("XBI", "IQ_LASTSALEPRICE", WORKDAY(F915,5)))</f>
        <v>-5.58258040355991E-2</v>
      </c>
      <c r="R915">
        <f>_xll.ciqfunctions.udf.CIQ(A915, "IQ_SHORT_INTEREST_PERCENT", F915)</f>
        <v>7.8776700000000002</v>
      </c>
      <c r="S915">
        <f>_xll.ciqfunctions.udf.CIQ(A915, "IQ_BETA_1YR_RSQ", F915)</f>
        <v>0.15708</v>
      </c>
      <c r="T915">
        <f>_xll.ciqfunctions.udf.CIQ(A915, "IQ_VALUE_TRADED", F915)</f>
        <v>8.0476299999999998</v>
      </c>
    </row>
    <row r="916" spans="1:20" x14ac:dyDescent="0.3">
      <c r="A916" t="s">
        <v>715</v>
      </c>
      <c r="B916" s="2">
        <v>2.65</v>
      </c>
      <c r="C916" t="s">
        <v>716</v>
      </c>
      <c r="D916" t="s">
        <v>2546</v>
      </c>
      <c r="E916" t="s">
        <v>89</v>
      </c>
      <c r="F916" s="1">
        <v>45412</v>
      </c>
      <c r="G916" t="s">
        <v>2547</v>
      </c>
      <c r="H916">
        <v>1</v>
      </c>
      <c r="I916">
        <f>_xll.ciqfunctions.udf.CIQ(A916, "IQ_MARKETCAP", F916)</f>
        <v>3.1037499999999998</v>
      </c>
      <c r="J916">
        <f>_xll.ciqfunctions.udf.CIQ(A916, "IQ_PRICE_VOL_HIST_6MTH", F916)</f>
        <v>147.49969999999999</v>
      </c>
      <c r="K916">
        <f>_xll.ciqfunctions.udf.CIQ(A916, "IQ_LASTSALEPRICE", WORKDAY(F916,-1))</f>
        <v>69.25</v>
      </c>
      <c r="L916">
        <f>_xll.ciqfunctions.udf.CIQ(A916, "IQ_LASTSALEPRICE", F916)</f>
        <v>66.25</v>
      </c>
      <c r="M916">
        <f>_xll.ciqfunctions.udf.CIQ(A916, "IQ_LASTSALEPRICE", WORKDAY(F916,5))</f>
        <v>54</v>
      </c>
      <c r="N916">
        <f t="shared" si="28"/>
        <v>-4.4287680201116238E-2</v>
      </c>
      <c r="O916">
        <f t="shared" si="29"/>
        <v>-0.24873909850317352</v>
      </c>
      <c r="P916">
        <f>LN(_xll.ciqfunctions.udf.CIQ("XBI", "IQ_LASTSALEPRICE", WORKDAY(F916,-1))/_xll.ciqfunctions.udf.CIQ("XBI", "IQ_LASTSALEPRICE", WORKDAY(F916,1)))</f>
        <v>-2.0943779708851834E-2</v>
      </c>
      <c r="Q916">
        <f>LN(_xll.ciqfunctions.udf.CIQ("XBI", "IQ_LASTSALEPRICE", WORKDAY(F916,-1))/_xll.ciqfunctions.udf.CIQ("XBI", "IQ_LASTSALEPRICE", WORKDAY(F916,5)))</f>
        <v>-5.58258040355991E-2</v>
      </c>
      <c r="R916">
        <f>_xll.ciqfunctions.udf.CIQ(A916, "IQ_SHORT_INTEREST_PERCENT", F916)</f>
        <v>1.2669600000000001</v>
      </c>
      <c r="S916">
        <f>_xll.ciqfunctions.udf.CIQ(A916, "IQ_BETA_1YR_RSQ", F916)</f>
        <v>1.75E-3</v>
      </c>
      <c r="T916">
        <f>_xll.ciqfunctions.udf.CIQ(A916, "IQ_VALUE_TRADED", F916)</f>
        <v>4.7899999999999998E-2</v>
      </c>
    </row>
    <row r="917" spans="1:20" x14ac:dyDescent="0.3">
      <c r="A917" t="s">
        <v>2548</v>
      </c>
      <c r="B917" s="2">
        <v>3.6</v>
      </c>
      <c r="C917" t="s">
        <v>2549</v>
      </c>
      <c r="D917" t="s">
        <v>1680</v>
      </c>
      <c r="E917" t="s">
        <v>89</v>
      </c>
      <c r="F917" s="1">
        <v>45412</v>
      </c>
      <c r="G917" t="s">
        <v>2550</v>
      </c>
      <c r="H917">
        <v>26</v>
      </c>
      <c r="I917">
        <f>_xll.ciqfunctions.udf.CIQ(A917, "IQ_MARKETCAP", F917)</f>
        <v>16.452059999999999</v>
      </c>
      <c r="J917">
        <f>_xll.ciqfunctions.udf.CIQ(A917, "IQ_PRICE_VOL_HIST_6MTH", F917)</f>
        <v>138.9015</v>
      </c>
      <c r="K917">
        <f>_xll.ciqfunctions.udf.CIQ(A917, "IQ_LASTSALEPRICE", WORKDAY(F917,-1))</f>
        <v>3.097</v>
      </c>
      <c r="L917">
        <f>_xll.ciqfunctions.udf.CIQ(A917, "IQ_LASTSALEPRICE", F917)</f>
        <v>3.6</v>
      </c>
      <c r="M917">
        <f>_xll.ciqfunctions.udf.CIQ(A917, "IQ_LASTSALEPRICE", WORKDAY(F917,5))</f>
        <v>4.0179999999999998</v>
      </c>
      <c r="N917">
        <f t="shared" si="28"/>
        <v>0.15049994447099865</v>
      </c>
      <c r="O917">
        <f t="shared" si="29"/>
        <v>0.26035036540167689</v>
      </c>
      <c r="P917">
        <f>LN(_xll.ciqfunctions.udf.CIQ("XBI", "IQ_LASTSALEPRICE", WORKDAY(F917,-1))/_xll.ciqfunctions.udf.CIQ("XBI", "IQ_LASTSALEPRICE", WORKDAY(F917,1)))</f>
        <v>-2.0943779708851834E-2</v>
      </c>
      <c r="Q917">
        <f>LN(_xll.ciqfunctions.udf.CIQ("XBI", "IQ_LASTSALEPRICE", WORKDAY(F917,-1))/_xll.ciqfunctions.udf.CIQ("XBI", "IQ_LASTSALEPRICE", WORKDAY(F917,5)))</f>
        <v>-5.58258040355991E-2</v>
      </c>
      <c r="R917">
        <f>_xll.ciqfunctions.udf.CIQ(A917, "IQ_SHORT_INTEREST_PERCENT", F917)</f>
        <v>0.36157</v>
      </c>
      <c r="S917">
        <f>_xll.ciqfunctions.udf.CIQ(A917, "IQ_BETA_1YR_RSQ", F917)</f>
        <v>1.15E-2</v>
      </c>
      <c r="T917">
        <f>_xll.ciqfunctions.udf.CIQ(A917, "IQ_VALUE_TRADED", F917)</f>
        <v>0.86334</v>
      </c>
    </row>
    <row r="918" spans="1:20" x14ac:dyDescent="0.3">
      <c r="A918" t="s">
        <v>770</v>
      </c>
      <c r="B918" s="2">
        <v>2.58</v>
      </c>
      <c r="C918" t="s">
        <v>771</v>
      </c>
      <c r="D918" t="s">
        <v>772</v>
      </c>
      <c r="E918" t="s">
        <v>27</v>
      </c>
      <c r="F918" s="1">
        <v>45412</v>
      </c>
      <c r="G918" t="s">
        <v>2551</v>
      </c>
      <c r="H918">
        <v>19</v>
      </c>
      <c r="I918">
        <f>_xll.ciqfunctions.udf.CIQ(A918, "IQ_MARKETCAP", F918)</f>
        <v>26.887219999999999</v>
      </c>
      <c r="J918">
        <f>_xll.ciqfunctions.udf.CIQ(A918, "IQ_PRICE_VOL_HIST_6MTH", F918)</f>
        <v>145.58019999999999</v>
      </c>
      <c r="K918">
        <f>_xll.ciqfunctions.udf.CIQ(A918, "IQ_LASTSALEPRICE", WORKDAY(F918,-1))</f>
        <v>3.55</v>
      </c>
      <c r="L918">
        <f>_xll.ciqfunctions.udf.CIQ(A918, "IQ_LASTSALEPRICE", F918)</f>
        <v>2.58</v>
      </c>
      <c r="M918">
        <f>_xll.ciqfunctions.udf.CIQ(A918, "IQ_LASTSALEPRICE", WORKDAY(F918,5))</f>
        <v>2.81</v>
      </c>
      <c r="N918">
        <f t="shared" si="28"/>
        <v>-0.31915820455379834</v>
      </c>
      <c r="O918">
        <f t="shared" si="29"/>
        <v>-0.23376312014166997</v>
      </c>
      <c r="P918">
        <f>LN(_xll.ciqfunctions.udf.CIQ("XBI", "IQ_LASTSALEPRICE", WORKDAY(F918,-1))/_xll.ciqfunctions.udf.CIQ("XBI", "IQ_LASTSALEPRICE", WORKDAY(F918,1)))</f>
        <v>-2.0943779708851834E-2</v>
      </c>
      <c r="Q918">
        <f>LN(_xll.ciqfunctions.udf.CIQ("XBI", "IQ_LASTSALEPRICE", WORKDAY(F918,-1))/_xll.ciqfunctions.udf.CIQ("XBI", "IQ_LASTSALEPRICE", WORKDAY(F918,5)))</f>
        <v>-5.58258040355991E-2</v>
      </c>
      <c r="R918">
        <f>_xll.ciqfunctions.udf.CIQ(A918, "IQ_SHORT_INTEREST_PERCENT", F918)</f>
        <v>4.9017299999999997</v>
      </c>
      <c r="S918">
        <f>_xll.ciqfunctions.udf.CIQ(A918, "IQ_BETA_1YR_RSQ", F918)</f>
        <v>5.8200000000000002E-2</v>
      </c>
      <c r="T918">
        <f>_xll.ciqfunctions.udf.CIQ(A918, "IQ_VALUE_TRADED", F918)</f>
        <v>2.4190900000000002</v>
      </c>
    </row>
    <row r="919" spans="1:20" x14ac:dyDescent="0.3">
      <c r="A919" t="s">
        <v>2552</v>
      </c>
      <c r="B919" s="2">
        <v>0.71</v>
      </c>
      <c r="C919" t="s">
        <v>2553</v>
      </c>
      <c r="D919" t="s">
        <v>2554</v>
      </c>
      <c r="E919" t="s">
        <v>22</v>
      </c>
      <c r="F919" s="1">
        <v>45412</v>
      </c>
      <c r="G919" t="s">
        <v>2555</v>
      </c>
      <c r="H919">
        <v>228</v>
      </c>
      <c r="I919">
        <f>_xll.ciqfunctions.udf.CIQ(A919, "IQ_MARKETCAP", F919)</f>
        <v>126.38612999999999</v>
      </c>
      <c r="J919">
        <f>_xll.ciqfunctions.udf.CIQ(A919, "IQ_PRICE_VOL_HIST_6MTH", F919)</f>
        <v>80.723500000000001</v>
      </c>
      <c r="K919">
        <f>_xll.ciqfunctions.udf.CIQ(A919, "IQ_LASTSALEPRICE", WORKDAY(F919,-1))</f>
        <v>0.71330000000000005</v>
      </c>
      <c r="L919">
        <f>_xll.ciqfunctions.udf.CIQ(A919, "IQ_LASTSALEPRICE", F919)</f>
        <v>0.7147</v>
      </c>
      <c r="M919">
        <f>_xll.ciqfunctions.udf.CIQ(A919, "IQ_LASTSALEPRICE", WORKDAY(F919,5))</f>
        <v>0.73839999999999995</v>
      </c>
      <c r="N919">
        <f t="shared" si="28"/>
        <v>1.9607849419406237E-3</v>
      </c>
      <c r="O919">
        <f t="shared" si="29"/>
        <v>3.4583593904649816E-2</v>
      </c>
      <c r="P919">
        <f>LN(_xll.ciqfunctions.udf.CIQ("XBI", "IQ_LASTSALEPRICE", WORKDAY(F919,-1))/_xll.ciqfunctions.udf.CIQ("XBI", "IQ_LASTSALEPRICE", WORKDAY(F919,1)))</f>
        <v>-2.0943779708851834E-2</v>
      </c>
      <c r="Q919">
        <f>LN(_xll.ciqfunctions.udf.CIQ("XBI", "IQ_LASTSALEPRICE", WORKDAY(F919,-1))/_xll.ciqfunctions.udf.CIQ("XBI", "IQ_LASTSALEPRICE", WORKDAY(F919,5)))</f>
        <v>-5.58258040355991E-2</v>
      </c>
      <c r="R919">
        <f>_xll.ciqfunctions.udf.CIQ(A919, "IQ_SHORT_INTEREST_PERCENT", F919)</f>
        <v>10.37269</v>
      </c>
      <c r="S919">
        <f>_xll.ciqfunctions.udf.CIQ(A919, "IQ_BETA_1YR_RSQ", F919)</f>
        <v>7.2109999999999994E-2</v>
      </c>
      <c r="T919">
        <f>_xll.ciqfunctions.udf.CIQ(A919, "IQ_VALUE_TRADED", F919)</f>
        <v>1.4105300000000001</v>
      </c>
    </row>
    <row r="920" spans="1:20" x14ac:dyDescent="0.3">
      <c r="A920" t="s">
        <v>2079</v>
      </c>
      <c r="B920" s="2">
        <v>11.84</v>
      </c>
      <c r="C920" t="s">
        <v>2434</v>
      </c>
      <c r="D920" t="s">
        <v>2435</v>
      </c>
      <c r="E920" t="s">
        <v>46</v>
      </c>
      <c r="F920" s="1">
        <v>45412</v>
      </c>
      <c r="G920" t="s">
        <v>2556</v>
      </c>
      <c r="H920">
        <v>26</v>
      </c>
      <c r="I920">
        <f>_xll.ciqfunctions.udf.CIQ(A920, "IQ_MARKETCAP", F920)</f>
        <v>233.97005999999999</v>
      </c>
      <c r="J920">
        <f>_xll.ciqfunctions.udf.CIQ(A920, "IQ_PRICE_VOL_HIST_6MTH", F920)</f>
        <v>81.159899999999993</v>
      </c>
      <c r="K920">
        <f>_xll.ciqfunctions.udf.CIQ(A920, "IQ_LASTSALEPRICE", WORKDAY(F920,-1))</f>
        <v>11.77</v>
      </c>
      <c r="L920">
        <f>_xll.ciqfunctions.udf.CIQ(A920, "IQ_LASTSALEPRICE", F920)</f>
        <v>11.84</v>
      </c>
      <c r="M920">
        <f>_xll.ciqfunctions.udf.CIQ(A920, "IQ_LASTSALEPRICE", WORKDAY(F920,5))</f>
        <v>11.18</v>
      </c>
      <c r="N920">
        <f t="shared" si="28"/>
        <v>5.9297081836742647E-3</v>
      </c>
      <c r="O920">
        <f t="shared" si="29"/>
        <v>-5.1427453545232267E-2</v>
      </c>
      <c r="P920">
        <f>LN(_xll.ciqfunctions.udf.CIQ("XBI", "IQ_LASTSALEPRICE", WORKDAY(F920,-1))/_xll.ciqfunctions.udf.CIQ("XBI", "IQ_LASTSALEPRICE", WORKDAY(F920,1)))</f>
        <v>-2.0943779708851834E-2</v>
      </c>
      <c r="Q920">
        <f>LN(_xll.ciqfunctions.udf.CIQ("XBI", "IQ_LASTSALEPRICE", WORKDAY(F920,-1))/_xll.ciqfunctions.udf.CIQ("XBI", "IQ_LASTSALEPRICE", WORKDAY(F920,5)))</f>
        <v>-5.58258040355991E-2</v>
      </c>
      <c r="R920">
        <f>_xll.ciqfunctions.udf.CIQ(A920, "IQ_SHORT_INTEREST_PERCENT", F920)</f>
        <v>7.5952999999999999</v>
      </c>
      <c r="S920">
        <f>_xll.ciqfunctions.udf.CIQ(A920, "IQ_BETA_1YR_RSQ", F920)</f>
        <v>7.7429999999999999E-2</v>
      </c>
      <c r="T920">
        <f>_xll.ciqfunctions.udf.CIQ(A920, "IQ_VALUE_TRADED", F920)</f>
        <v>5.2279799999999996</v>
      </c>
    </row>
    <row r="921" spans="1:20" x14ac:dyDescent="0.3">
      <c r="A921" t="s">
        <v>1833</v>
      </c>
      <c r="B921" s="2">
        <v>0.8</v>
      </c>
      <c r="C921" t="s">
        <v>2557</v>
      </c>
      <c r="D921" t="s">
        <v>144</v>
      </c>
      <c r="E921" t="s">
        <v>22</v>
      </c>
      <c r="F921" s="1">
        <v>45412</v>
      </c>
      <c r="G921" t="s">
        <v>2558</v>
      </c>
      <c r="H921">
        <v>118</v>
      </c>
      <c r="I921" t="str">
        <f>_xll.ciqfunctions.udf.CIQ(A921, "IQ_MARKETCAP", F921)</f>
        <v>(Invalid Identifier)</v>
      </c>
      <c r="J921" t="str">
        <f>_xll.ciqfunctions.udf.CIQ(A921, "IQ_PRICE_VOL_HIST_6MTH", F921)</f>
        <v>(Invalid Identifier)</v>
      </c>
      <c r="K921" t="str">
        <f>_xll.ciqfunctions.udf.CIQ(A921, "IQ_LASTSALEPRICE", WORKDAY(F921,-1))</f>
        <v>(Invalid Identifier)</v>
      </c>
      <c r="L921" t="str">
        <f>_xll.ciqfunctions.udf.CIQ(A921, "IQ_LASTSALEPRICE", F921)</f>
        <v>(Invalid Identifier)</v>
      </c>
      <c r="M921" t="str">
        <f>_xll.ciqfunctions.udf.CIQ(A921, "IQ_LASTSALEPRICE", WORKDAY(F921,5))</f>
        <v>(Invalid Identifier)</v>
      </c>
      <c r="N921" t="e">
        <f t="shared" si="28"/>
        <v>#VALUE!</v>
      </c>
      <c r="O921" t="e">
        <f t="shared" si="29"/>
        <v>#VALUE!</v>
      </c>
      <c r="P921">
        <f>LN(_xll.ciqfunctions.udf.CIQ("XBI", "IQ_LASTSALEPRICE", WORKDAY(F921,-1))/_xll.ciqfunctions.udf.CIQ("XBI", "IQ_LASTSALEPRICE", WORKDAY(F921,1)))</f>
        <v>-2.0943779708851834E-2</v>
      </c>
      <c r="Q921">
        <f>LN(_xll.ciqfunctions.udf.CIQ("XBI", "IQ_LASTSALEPRICE", WORKDAY(F921,-1))/_xll.ciqfunctions.udf.CIQ("XBI", "IQ_LASTSALEPRICE", WORKDAY(F921,5)))</f>
        <v>-5.58258040355991E-2</v>
      </c>
      <c r="R921" t="str">
        <f>_xll.ciqfunctions.udf.CIQ(A921, "IQ_SHORT_INTEREST_PERCENT", F921)</f>
        <v>(Invalid Identifier)</v>
      </c>
      <c r="S921" t="str">
        <f>_xll.ciqfunctions.udf.CIQ(A921, "IQ_BETA_1YR_RSQ", F921)</f>
        <v>(Invalid Identifier)</v>
      </c>
      <c r="T921" t="str">
        <f>_xll.ciqfunctions.udf.CIQ(A921, "IQ_VALUE_TRADED", F921)</f>
        <v>(Invalid Identifier)</v>
      </c>
    </row>
    <row r="922" spans="1:20" x14ac:dyDescent="0.3">
      <c r="A922" t="s">
        <v>597</v>
      </c>
      <c r="B922" s="2">
        <v>1.69</v>
      </c>
      <c r="C922" t="s">
        <v>598</v>
      </c>
      <c r="D922" t="s">
        <v>599</v>
      </c>
      <c r="E922" t="s">
        <v>89</v>
      </c>
      <c r="F922" s="1">
        <v>45412</v>
      </c>
      <c r="G922" t="s">
        <v>2559</v>
      </c>
      <c r="H922">
        <v>41</v>
      </c>
      <c r="I922">
        <f>_xll.ciqfunctions.udf.CIQ(A922, "IQ_MARKETCAP", F922)</f>
        <v>63.847859999999997</v>
      </c>
      <c r="J922">
        <f>_xll.ciqfunctions.udf.CIQ(A922, "IQ_PRICE_VOL_HIST_6MTH", F922)</f>
        <v>70.031800000000004</v>
      </c>
      <c r="K922">
        <f>_xll.ciqfunctions.udf.CIQ(A922, "IQ_LASTSALEPRICE", WORKDAY(F922,-1))</f>
        <v>1.82</v>
      </c>
      <c r="L922">
        <f>_xll.ciqfunctions.udf.CIQ(A922, "IQ_LASTSALEPRICE", F922)</f>
        <v>1.69</v>
      </c>
      <c r="M922">
        <f>_xll.ciqfunctions.udf.CIQ(A922, "IQ_LASTSALEPRICE", WORKDAY(F922,5))</f>
        <v>1.845</v>
      </c>
      <c r="N922">
        <f t="shared" si="28"/>
        <v>-7.410797215372196E-2</v>
      </c>
      <c r="O922">
        <f t="shared" si="29"/>
        <v>1.3642776403786479E-2</v>
      </c>
      <c r="P922">
        <f>LN(_xll.ciqfunctions.udf.CIQ("XBI", "IQ_LASTSALEPRICE", WORKDAY(F922,-1))/_xll.ciqfunctions.udf.CIQ("XBI", "IQ_LASTSALEPRICE", WORKDAY(F922,1)))</f>
        <v>-2.0943779708851834E-2</v>
      </c>
      <c r="Q922">
        <f>LN(_xll.ciqfunctions.udf.CIQ("XBI", "IQ_LASTSALEPRICE", WORKDAY(F922,-1))/_xll.ciqfunctions.udf.CIQ("XBI", "IQ_LASTSALEPRICE", WORKDAY(F922,5)))</f>
        <v>-5.58258040355991E-2</v>
      </c>
      <c r="R922">
        <f>_xll.ciqfunctions.udf.CIQ(A922, "IQ_SHORT_INTEREST_PERCENT", F922)</f>
        <v>2.7521300000000002</v>
      </c>
      <c r="S922">
        <f>_xll.ciqfunctions.udf.CIQ(A922, "IQ_BETA_1YR_RSQ", F922)</f>
        <v>8.0180000000000001E-2</v>
      </c>
      <c r="T922">
        <f>_xll.ciqfunctions.udf.CIQ(A922, "IQ_VALUE_TRADED", F922)</f>
        <v>0.40046999999999999</v>
      </c>
    </row>
    <row r="923" spans="1:20" x14ac:dyDescent="0.3">
      <c r="A923" t="s">
        <v>1818</v>
      </c>
      <c r="B923" s="2">
        <v>137.54</v>
      </c>
      <c r="C923" t="s">
        <v>2560</v>
      </c>
      <c r="D923" t="s">
        <v>2561</v>
      </c>
      <c r="E923" t="s">
        <v>160</v>
      </c>
      <c r="F923" s="1">
        <v>45412</v>
      </c>
      <c r="G923" t="s">
        <v>2562</v>
      </c>
      <c r="H923">
        <v>99</v>
      </c>
      <c r="I923">
        <f>_xll.ciqfunctions.udf.CIQ(A923, "IQ_MARKETCAP", F923)</f>
        <v>13833.841560000001</v>
      </c>
      <c r="J923">
        <f>_xll.ciqfunctions.udf.CIQ(A923, "IQ_PRICE_VOL_HIST_6MTH", F923)</f>
        <v>26.0777</v>
      </c>
      <c r="K923">
        <f>_xll.ciqfunctions.udf.CIQ(A923, "IQ_LASTSALEPRICE", WORKDAY(F923,-1))</f>
        <v>138.88999999999999</v>
      </c>
      <c r="L923">
        <f>_xll.ciqfunctions.udf.CIQ(A923, "IQ_LASTSALEPRICE", F923)</f>
        <v>137.54</v>
      </c>
      <c r="M923">
        <f>_xll.ciqfunctions.udf.CIQ(A923, "IQ_LASTSALEPRICE", WORKDAY(F923,5))</f>
        <v>143.19</v>
      </c>
      <c r="N923">
        <f t="shared" si="28"/>
        <v>-9.7674690364374754E-3</v>
      </c>
      <c r="O923">
        <f t="shared" si="29"/>
        <v>3.0490166757787419E-2</v>
      </c>
      <c r="P923">
        <f>LN(_xll.ciqfunctions.udf.CIQ("XBI", "IQ_LASTSALEPRICE", WORKDAY(F923,-1))/_xll.ciqfunctions.udf.CIQ("XBI", "IQ_LASTSALEPRICE", WORKDAY(F923,1)))</f>
        <v>-2.0943779708851834E-2</v>
      </c>
      <c r="Q923">
        <f>LN(_xll.ciqfunctions.udf.CIQ("XBI", "IQ_LASTSALEPRICE", WORKDAY(F923,-1))/_xll.ciqfunctions.udf.CIQ("XBI", "IQ_LASTSALEPRICE", WORKDAY(F923,5)))</f>
        <v>-5.58258040355991E-2</v>
      </c>
      <c r="R923">
        <f>_xll.ciqfunctions.udf.CIQ(A923, "IQ_SHORT_INTEREST_PERCENT", F923)</f>
        <v>2.0097399999999999</v>
      </c>
      <c r="S923">
        <f>_xll.ciqfunctions.udf.CIQ(A923, "IQ_BETA_1YR_RSQ", F923)</f>
        <v>0.13381000000000001</v>
      </c>
      <c r="T923">
        <f>_xll.ciqfunctions.udf.CIQ(A923, "IQ_VALUE_TRADED", F923)</f>
        <v>132.93709000000001</v>
      </c>
    </row>
    <row r="924" spans="1:20" x14ac:dyDescent="0.3">
      <c r="A924" t="s">
        <v>374</v>
      </c>
      <c r="B924" s="2">
        <v>2.2000000000000002</v>
      </c>
      <c r="C924" t="s">
        <v>375</v>
      </c>
      <c r="D924" t="s">
        <v>376</v>
      </c>
      <c r="E924" t="s">
        <v>197</v>
      </c>
      <c r="F924" s="1">
        <v>45412</v>
      </c>
      <c r="G924" t="s">
        <v>2563</v>
      </c>
      <c r="H924">
        <v>1</v>
      </c>
      <c r="I924">
        <f>_xll.ciqfunctions.udf.CIQ(A924, "IQ_MARKETCAP", F924)</f>
        <v>34.81082</v>
      </c>
      <c r="J924">
        <f>_xll.ciqfunctions.udf.CIQ(A924, "IQ_PRICE_VOL_HIST_6MTH", F924)</f>
        <v>96.713499999999996</v>
      </c>
      <c r="K924">
        <f>_xll.ciqfunctions.udf.CIQ(A924, "IQ_LASTSALEPRICE", WORKDAY(F924,-1))</f>
        <v>43.8</v>
      </c>
      <c r="L924">
        <f>_xll.ciqfunctions.udf.CIQ(A924, "IQ_LASTSALEPRICE", F924)</f>
        <v>44</v>
      </c>
      <c r="M924">
        <f>_xll.ciqfunctions.udf.CIQ(A924, "IQ_LASTSALEPRICE", WORKDAY(F924,5))</f>
        <v>39.4</v>
      </c>
      <c r="N924">
        <f t="shared" si="28"/>
        <v>4.5558165358608824E-3</v>
      </c>
      <c r="O924">
        <f t="shared" si="29"/>
        <v>-0.10586800107851231</v>
      </c>
      <c r="P924">
        <f>LN(_xll.ciqfunctions.udf.CIQ("XBI", "IQ_LASTSALEPRICE", WORKDAY(F924,-1))/_xll.ciqfunctions.udf.CIQ("XBI", "IQ_LASTSALEPRICE", WORKDAY(F924,1)))</f>
        <v>-2.0943779708851834E-2</v>
      </c>
      <c r="Q924">
        <f>LN(_xll.ciqfunctions.udf.CIQ("XBI", "IQ_LASTSALEPRICE", WORKDAY(F924,-1))/_xll.ciqfunctions.udf.CIQ("XBI", "IQ_LASTSALEPRICE", WORKDAY(F924,5)))</f>
        <v>-5.58258040355991E-2</v>
      </c>
      <c r="R924">
        <f>_xll.ciqfunctions.udf.CIQ(A924, "IQ_SHORT_INTEREST_PERCENT", F924)</f>
        <v>3.6599699999999999</v>
      </c>
      <c r="S924">
        <f>_xll.ciqfunctions.udf.CIQ(A924, "IQ_BETA_1YR_RSQ", F924)</f>
        <v>2.8670000000000001E-2</v>
      </c>
      <c r="T924">
        <f>_xll.ciqfunctions.udf.CIQ(A924, "IQ_VALUE_TRADED", F924)</f>
        <v>7.9509999999999997E-2</v>
      </c>
    </row>
    <row r="925" spans="1:20" x14ac:dyDescent="0.3">
      <c r="A925" t="s">
        <v>130</v>
      </c>
      <c r="B925" s="2">
        <v>127.2</v>
      </c>
      <c r="C925" t="s">
        <v>2564</v>
      </c>
      <c r="D925" t="s">
        <v>2565</v>
      </c>
      <c r="E925" t="s">
        <v>36</v>
      </c>
      <c r="F925" s="1">
        <v>45413</v>
      </c>
      <c r="G925" t="s">
        <v>2566</v>
      </c>
      <c r="I925">
        <f>_xll.ciqfunctions.udf.CIQ(A925, "IQ_MARKETCAP", F925)</f>
        <v>326254.03074000002</v>
      </c>
      <c r="J925">
        <f>_xll.ciqfunctions.udf.CIQ(A925, "IQ_PRICE_VOL_HIST_6MTH", F925)</f>
        <v>16.725300000000001</v>
      </c>
      <c r="K925">
        <f>_xll.ciqfunctions.udf.CIQ(A925, "IQ_LASTSALEPRICE", WORKDAY(F925,-1))</f>
        <v>129.22</v>
      </c>
      <c r="L925">
        <f>_xll.ciqfunctions.udf.CIQ(A925, "IQ_LASTSALEPRICE", F925)</f>
        <v>128.80000000000001</v>
      </c>
      <c r="M925">
        <f>_xll.ciqfunctions.udf.CIQ(A925, "IQ_LASTSALEPRICE", WORKDAY(F925,5))</f>
        <v>129.55000000000001</v>
      </c>
      <c r="N925">
        <f t="shared" si="28"/>
        <v>-3.2555644597660736E-3</v>
      </c>
      <c r="O925">
        <f t="shared" si="29"/>
        <v>2.5505288780996466E-3</v>
      </c>
      <c r="P925">
        <f>LN(_xll.ciqfunctions.udf.CIQ("XBI", "IQ_LASTSALEPRICE", WORKDAY(F925,-1))/_xll.ciqfunctions.udf.CIQ("XBI", "IQ_LASTSALEPRICE", WORKDAY(F925,1)))</f>
        <v>-4.3022360876459012E-2</v>
      </c>
      <c r="Q925">
        <f>LN(_xll.ciqfunctions.udf.CIQ("XBI", "IQ_LASTSALEPRICE", WORKDAY(F925,-1))/_xll.ciqfunctions.udf.CIQ("XBI", "IQ_LASTSALEPRICE", WORKDAY(F925,5)))</f>
        <v>-5.1700916332706966E-2</v>
      </c>
      <c r="R925">
        <f>_xll.ciqfunctions.udf.CIQ(A925, "IQ_SHORT_INTEREST_PERCENT", F925)</f>
        <v>0.80654000000000003</v>
      </c>
      <c r="S925">
        <f>_xll.ciqfunctions.udf.CIQ(A925, "IQ_BETA_1YR_RSQ", F925)</f>
        <v>1.085E-2</v>
      </c>
      <c r="T925">
        <f>_xll.ciqfunctions.udf.CIQ(A925, "IQ_VALUE_TRADED", F925)</f>
        <v>759.37994000000003</v>
      </c>
    </row>
    <row r="926" spans="1:20" x14ac:dyDescent="0.3">
      <c r="A926" t="s">
        <v>567</v>
      </c>
      <c r="B926" s="2">
        <v>7.08</v>
      </c>
      <c r="C926" t="s">
        <v>568</v>
      </c>
      <c r="D926" t="s">
        <v>569</v>
      </c>
      <c r="E926" t="s">
        <v>89</v>
      </c>
      <c r="F926" s="1">
        <v>45413</v>
      </c>
      <c r="G926" t="s">
        <v>2567</v>
      </c>
      <c r="H926">
        <v>9</v>
      </c>
      <c r="I926">
        <f>_xll.ciqfunctions.udf.CIQ(A926, "IQ_MARKETCAP", F926)</f>
        <v>6.0279199999999999</v>
      </c>
      <c r="J926">
        <f>_xll.ciqfunctions.udf.CIQ(A926, "IQ_PRICE_VOL_HIST_6MTH", F926)</f>
        <v>149.01130000000001</v>
      </c>
      <c r="K926">
        <f>_xll.ciqfunctions.udf.CIQ(A926, "IQ_LASTSALEPRICE", WORKDAY(F926,-1))</f>
        <v>6.03</v>
      </c>
      <c r="L926">
        <f>_xll.ciqfunctions.udf.CIQ(A926, "IQ_LASTSALEPRICE", F926)</f>
        <v>7.08</v>
      </c>
      <c r="M926">
        <f>_xll.ciqfunctions.udf.CIQ(A926, "IQ_LASTSALEPRICE", WORKDAY(F926,5))</f>
        <v>7.06</v>
      </c>
      <c r="N926">
        <f t="shared" si="28"/>
        <v>0.1605268969665343</v>
      </c>
      <c r="O926">
        <f t="shared" si="29"/>
        <v>0.15769804076605645</v>
      </c>
      <c r="P926">
        <f>LN(_xll.ciqfunctions.udf.CIQ("XBI", "IQ_LASTSALEPRICE", WORKDAY(F926,-1))/_xll.ciqfunctions.udf.CIQ("XBI", "IQ_LASTSALEPRICE", WORKDAY(F926,1)))</f>
        <v>-4.3022360876459012E-2</v>
      </c>
      <c r="Q926">
        <f>LN(_xll.ciqfunctions.udf.CIQ("XBI", "IQ_LASTSALEPRICE", WORKDAY(F926,-1))/_xll.ciqfunctions.udf.CIQ("XBI", "IQ_LASTSALEPRICE", WORKDAY(F926,5)))</f>
        <v>-5.1700916332706966E-2</v>
      </c>
      <c r="R926">
        <f>_xll.ciqfunctions.udf.CIQ(A926, "IQ_SHORT_INTEREST_PERCENT", F926)</f>
        <v>4.0540200000000004</v>
      </c>
      <c r="S926">
        <f>_xll.ciqfunctions.udf.CIQ(A926, "IQ_BETA_1YR_RSQ", F926)</f>
        <v>4.972E-2</v>
      </c>
      <c r="T926">
        <f>_xll.ciqfunctions.udf.CIQ(A926, "IQ_VALUE_TRADED", F926)</f>
        <v>86.838700000000003</v>
      </c>
    </row>
    <row r="927" spans="1:20" x14ac:dyDescent="0.3">
      <c r="A927" t="s">
        <v>1178</v>
      </c>
      <c r="B927" s="2">
        <v>1.28</v>
      </c>
      <c r="C927" t="s">
        <v>1179</v>
      </c>
      <c r="D927" t="s">
        <v>1180</v>
      </c>
      <c r="E927" t="s">
        <v>76</v>
      </c>
      <c r="F927" s="1">
        <v>45413</v>
      </c>
      <c r="G927" t="s">
        <v>2568</v>
      </c>
      <c r="H927">
        <v>105</v>
      </c>
      <c r="I927">
        <f>_xll.ciqfunctions.udf.CIQ(A927, "IQ_MARKETCAP", F927)</f>
        <v>73.926310000000001</v>
      </c>
      <c r="J927">
        <f>_xll.ciqfunctions.udf.CIQ(A927, "IQ_PRICE_VOL_HIST_6MTH", F927)</f>
        <v>115.9323</v>
      </c>
      <c r="K927">
        <f>_xll.ciqfunctions.udf.CIQ(A927, "IQ_LASTSALEPRICE", WORKDAY(F927,-1))</f>
        <v>1.24</v>
      </c>
      <c r="L927">
        <f>_xll.ciqfunctions.udf.CIQ(A927, "IQ_LASTSALEPRICE", F927)</f>
        <v>1.28</v>
      </c>
      <c r="M927">
        <f>_xll.ciqfunctions.udf.CIQ(A927, "IQ_LASTSALEPRICE", WORKDAY(F927,5))</f>
        <v>1.28</v>
      </c>
      <c r="N927">
        <f t="shared" si="28"/>
        <v>3.174869831458027E-2</v>
      </c>
      <c r="O927">
        <f t="shared" si="29"/>
        <v>3.174869831458027E-2</v>
      </c>
      <c r="P927">
        <f>LN(_xll.ciqfunctions.udf.CIQ("XBI", "IQ_LASTSALEPRICE", WORKDAY(F927,-1))/_xll.ciqfunctions.udf.CIQ("XBI", "IQ_LASTSALEPRICE", WORKDAY(F927,1)))</f>
        <v>-4.3022360876459012E-2</v>
      </c>
      <c r="Q927">
        <f>LN(_xll.ciqfunctions.udf.CIQ("XBI", "IQ_LASTSALEPRICE", WORKDAY(F927,-1))/_xll.ciqfunctions.udf.CIQ("XBI", "IQ_LASTSALEPRICE", WORKDAY(F927,5)))</f>
        <v>-5.1700916332706966E-2</v>
      </c>
      <c r="R927">
        <f>_xll.ciqfunctions.udf.CIQ(A927, "IQ_SHORT_INTEREST_PERCENT", F927)</f>
        <v>9.8107000000000006</v>
      </c>
      <c r="S927">
        <f>_xll.ciqfunctions.udf.CIQ(A927, "IQ_BETA_1YR_RSQ", F927)</f>
        <v>1.8030000000000001E-2</v>
      </c>
      <c r="T927">
        <f>_xll.ciqfunctions.udf.CIQ(A927, "IQ_VALUE_TRADED", F927)</f>
        <v>12.18197</v>
      </c>
    </row>
    <row r="928" spans="1:20" x14ac:dyDescent="0.3">
      <c r="A928" t="s">
        <v>2569</v>
      </c>
      <c r="B928" s="2">
        <v>4.16</v>
      </c>
      <c r="C928" t="s">
        <v>2570</v>
      </c>
      <c r="D928" t="s">
        <v>2293</v>
      </c>
      <c r="E928" t="s">
        <v>46</v>
      </c>
      <c r="F928" s="1">
        <v>45413</v>
      </c>
      <c r="G928" t="s">
        <v>2571</v>
      </c>
      <c r="H928">
        <v>21</v>
      </c>
      <c r="I928">
        <f>_xll.ciqfunctions.udf.CIQ(A928, "IQ_MARKETCAP", F928)</f>
        <v>87.950659999999999</v>
      </c>
      <c r="J928">
        <f>_xll.ciqfunctions.udf.CIQ(A928, "IQ_PRICE_VOL_HIST_6MTH", F928)</f>
        <v>0</v>
      </c>
      <c r="K928">
        <f>_xll.ciqfunctions.udf.CIQ(A928, "IQ_LASTSALEPRICE", WORKDAY(F928,-1))</f>
        <v>0</v>
      </c>
      <c r="L928">
        <f>_xll.ciqfunctions.udf.CIQ(A928, "IQ_LASTSALEPRICE", F928)</f>
        <v>0</v>
      </c>
      <c r="M928">
        <f>_xll.ciqfunctions.udf.CIQ(A928, "IQ_LASTSALEPRICE", WORKDAY(F928,5))</f>
        <v>0</v>
      </c>
      <c r="N928" t="e">
        <f t="shared" si="28"/>
        <v>#DIV/0!</v>
      </c>
      <c r="O928" t="e">
        <f t="shared" si="29"/>
        <v>#DIV/0!</v>
      </c>
      <c r="P928">
        <f>LN(_xll.ciqfunctions.udf.CIQ("XBI", "IQ_LASTSALEPRICE", WORKDAY(F928,-1))/_xll.ciqfunctions.udf.CIQ("XBI", "IQ_LASTSALEPRICE", WORKDAY(F928,1)))</f>
        <v>-4.3022360876459012E-2</v>
      </c>
      <c r="Q928">
        <f>LN(_xll.ciqfunctions.udf.CIQ("XBI", "IQ_LASTSALEPRICE", WORKDAY(F928,-1))/_xll.ciqfunctions.udf.CIQ("XBI", "IQ_LASTSALEPRICE", WORKDAY(F928,5)))</f>
        <v>-5.1700916332706966E-2</v>
      </c>
      <c r="R928">
        <f>_xll.ciqfunctions.udf.CIQ(A928, "IQ_SHORT_INTEREST_PERCENT", F928)</f>
        <v>0</v>
      </c>
      <c r="S928">
        <f>_xll.ciqfunctions.udf.CIQ(A928, "IQ_BETA_1YR_RSQ", F928)</f>
        <v>0</v>
      </c>
      <c r="T928">
        <f>_xll.ciqfunctions.udf.CIQ(A928, "IQ_VALUE_TRADED", F928)</f>
        <v>0</v>
      </c>
    </row>
    <row r="929" spans="1:20" x14ac:dyDescent="0.3">
      <c r="A929" t="s">
        <v>2572</v>
      </c>
      <c r="B929" s="2">
        <v>1.53</v>
      </c>
      <c r="C929" t="s">
        <v>2573</v>
      </c>
      <c r="D929" t="s">
        <v>2574</v>
      </c>
      <c r="E929" t="s">
        <v>124</v>
      </c>
      <c r="F929" s="1">
        <v>45413</v>
      </c>
      <c r="G929" t="s">
        <v>2575</v>
      </c>
      <c r="H929">
        <v>10</v>
      </c>
      <c r="I929">
        <f>_xll.ciqfunctions.udf.CIQ(A929, "IQ_MARKETCAP", F929)</f>
        <v>15.565899999999999</v>
      </c>
      <c r="J929">
        <f>_xll.ciqfunctions.udf.CIQ(A929, "IQ_PRICE_VOL_HIST_6MTH", F929)</f>
        <v>59.257899999999999</v>
      </c>
      <c r="K929">
        <f>_xll.ciqfunctions.udf.CIQ(A929, "IQ_LASTSALEPRICE", WORKDAY(F929,-1))</f>
        <v>1.55</v>
      </c>
      <c r="L929">
        <f>_xll.ciqfunctions.udf.CIQ(A929, "IQ_LASTSALEPRICE", F929)</f>
        <v>1.53</v>
      </c>
      <c r="M929">
        <f>_xll.ciqfunctions.udf.CIQ(A929, "IQ_LASTSALEPRICE", WORKDAY(F929,5))</f>
        <v>1.605</v>
      </c>
      <c r="N929">
        <f t="shared" si="28"/>
        <v>-1.298719552681119E-2</v>
      </c>
      <c r="O929">
        <f t="shared" si="29"/>
        <v>3.4868825650823859E-2</v>
      </c>
      <c r="P929">
        <f>LN(_xll.ciqfunctions.udf.CIQ("XBI", "IQ_LASTSALEPRICE", WORKDAY(F929,-1))/_xll.ciqfunctions.udf.CIQ("XBI", "IQ_LASTSALEPRICE", WORKDAY(F929,1)))</f>
        <v>-4.3022360876459012E-2</v>
      </c>
      <c r="Q929">
        <f>LN(_xll.ciqfunctions.udf.CIQ("XBI", "IQ_LASTSALEPRICE", WORKDAY(F929,-1))/_xll.ciqfunctions.udf.CIQ("XBI", "IQ_LASTSALEPRICE", WORKDAY(F929,5)))</f>
        <v>-5.1700916332706966E-2</v>
      </c>
      <c r="R929">
        <f>_xll.ciqfunctions.udf.CIQ(A929, "IQ_SHORT_INTEREST_PERCENT", F929)</f>
        <v>1.4659999999999999E-2</v>
      </c>
      <c r="S929">
        <f>_xll.ciqfunctions.udf.CIQ(A929, "IQ_BETA_1YR_RSQ", F929)</f>
        <v>8.9800000000000001E-3</v>
      </c>
      <c r="T929">
        <f>_xll.ciqfunctions.udf.CIQ(A929, "IQ_VALUE_TRADED", F929)</f>
        <v>3.5659999999999997E-2</v>
      </c>
    </row>
    <row r="930" spans="1:20" x14ac:dyDescent="0.3">
      <c r="A930" t="s">
        <v>733</v>
      </c>
      <c r="B930" s="2">
        <v>16.16</v>
      </c>
      <c r="C930" t="s">
        <v>2576</v>
      </c>
      <c r="D930" t="s">
        <v>1572</v>
      </c>
      <c r="E930" t="s">
        <v>27</v>
      </c>
      <c r="F930" s="1">
        <v>45413</v>
      </c>
      <c r="G930" t="s">
        <v>2577</v>
      </c>
      <c r="H930">
        <v>146</v>
      </c>
      <c r="I930">
        <f>_xll.ciqfunctions.udf.CIQ(A930, "IQ_MARKETCAP", F930)</f>
        <v>2303.4387900000002</v>
      </c>
      <c r="J930">
        <f>_xll.ciqfunctions.udf.CIQ(A930, "IQ_PRICE_VOL_HIST_6MTH", F930)</f>
        <v>82.1006</v>
      </c>
      <c r="K930">
        <f>_xll.ciqfunctions.udf.CIQ(A930, "IQ_LASTSALEPRICE", WORKDAY(F930,-1))</f>
        <v>15.44</v>
      </c>
      <c r="L930">
        <f>_xll.ciqfunctions.udf.CIQ(A930, "IQ_LASTSALEPRICE", F930)</f>
        <v>16.16</v>
      </c>
      <c r="M930">
        <f>_xll.ciqfunctions.udf.CIQ(A930, "IQ_LASTSALEPRICE", WORKDAY(F930,5))</f>
        <v>18.899999999999999</v>
      </c>
      <c r="N930">
        <f t="shared" si="28"/>
        <v>4.5577508496319155E-2</v>
      </c>
      <c r="O930">
        <f t="shared" si="29"/>
        <v>0.20220037746896652</v>
      </c>
      <c r="P930">
        <f>LN(_xll.ciqfunctions.udf.CIQ("XBI", "IQ_LASTSALEPRICE", WORKDAY(F930,-1))/_xll.ciqfunctions.udf.CIQ("XBI", "IQ_LASTSALEPRICE", WORKDAY(F930,1)))</f>
        <v>-4.3022360876459012E-2</v>
      </c>
      <c r="Q930">
        <f>LN(_xll.ciqfunctions.udf.CIQ("XBI", "IQ_LASTSALEPRICE", WORKDAY(F930,-1))/_xll.ciqfunctions.udf.CIQ("XBI", "IQ_LASTSALEPRICE", WORKDAY(F930,5)))</f>
        <v>-5.1700916332706966E-2</v>
      </c>
      <c r="R930">
        <f>_xll.ciqfunctions.udf.CIQ(A930, "IQ_SHORT_INTEREST_PERCENT", F930)</f>
        <v>6.71793</v>
      </c>
      <c r="S930">
        <f>_xll.ciqfunctions.udf.CIQ(A930, "IQ_BETA_1YR_RSQ", F930)</f>
        <v>0.22361</v>
      </c>
      <c r="T930">
        <f>_xll.ciqfunctions.udf.CIQ(A930, "IQ_VALUE_TRADED", F930)</f>
        <v>21.998460000000001</v>
      </c>
    </row>
    <row r="931" spans="1:20" x14ac:dyDescent="0.3">
      <c r="A931" t="s">
        <v>1207</v>
      </c>
      <c r="B931" s="2">
        <v>5.64</v>
      </c>
      <c r="C931" t="s">
        <v>2578</v>
      </c>
      <c r="D931" t="s">
        <v>2579</v>
      </c>
      <c r="E931" t="s">
        <v>36</v>
      </c>
      <c r="F931" s="1">
        <v>45413</v>
      </c>
      <c r="G931" t="s">
        <v>2580</v>
      </c>
      <c r="H931">
        <v>5</v>
      </c>
      <c r="I931">
        <f>_xll.ciqfunctions.udf.CIQ(A931, "IQ_MARKETCAP", F931)</f>
        <v>10.107559999999999</v>
      </c>
      <c r="J931">
        <f>_xll.ciqfunctions.udf.CIQ(A931, "IQ_PRICE_VOL_HIST_6MTH", F931)</f>
        <v>169.4965</v>
      </c>
      <c r="K931">
        <f>_xll.ciqfunctions.udf.CIQ(A931, "IQ_LASTSALEPRICE", WORKDAY(F931,-1))</f>
        <v>5.8064999999999998</v>
      </c>
      <c r="L931">
        <f>_xll.ciqfunctions.udf.CIQ(A931, "IQ_LASTSALEPRICE", F931)</f>
        <v>5.6429999999999998</v>
      </c>
      <c r="M931">
        <f>_xll.ciqfunctions.udf.CIQ(A931, "IQ_LASTSALEPRICE", WORKDAY(F931,5))</f>
        <v>5.91</v>
      </c>
      <c r="N931">
        <f t="shared" si="28"/>
        <v>-2.8562140716672384E-2</v>
      </c>
      <c r="O931">
        <f t="shared" si="29"/>
        <v>1.766785171433136E-2</v>
      </c>
      <c r="P931">
        <f>LN(_xll.ciqfunctions.udf.CIQ("XBI", "IQ_LASTSALEPRICE", WORKDAY(F931,-1))/_xll.ciqfunctions.udf.CIQ("XBI", "IQ_LASTSALEPRICE", WORKDAY(F931,1)))</f>
        <v>-4.3022360876459012E-2</v>
      </c>
      <c r="Q931">
        <f>LN(_xll.ciqfunctions.udf.CIQ("XBI", "IQ_LASTSALEPRICE", WORKDAY(F931,-1))/_xll.ciqfunctions.udf.CIQ("XBI", "IQ_LASTSALEPRICE", WORKDAY(F931,5)))</f>
        <v>-5.1700916332706966E-2</v>
      </c>
      <c r="R931">
        <f>_xll.ciqfunctions.udf.CIQ(A931, "IQ_SHORT_INTEREST_PERCENT", F931)</f>
        <v>1.00929</v>
      </c>
      <c r="S931">
        <f>_xll.ciqfunctions.udf.CIQ(A931, "IQ_BETA_1YR_RSQ", F931)</f>
        <v>2.775E-2</v>
      </c>
      <c r="T931">
        <f>_xll.ciqfunctions.udf.CIQ(A931, "IQ_VALUE_TRADED", F931)</f>
        <v>0.46309</v>
      </c>
    </row>
    <row r="932" spans="1:20" x14ac:dyDescent="0.3">
      <c r="A932" t="s">
        <v>996</v>
      </c>
      <c r="B932" s="2">
        <v>0.3</v>
      </c>
      <c r="C932" t="s">
        <v>2581</v>
      </c>
      <c r="D932" t="s">
        <v>2582</v>
      </c>
      <c r="E932" t="s">
        <v>22</v>
      </c>
      <c r="F932" s="1">
        <v>45413</v>
      </c>
      <c r="G932" t="s">
        <v>2583</v>
      </c>
      <c r="H932">
        <v>1</v>
      </c>
      <c r="I932">
        <f>_xll.ciqfunctions.udf.CIQ(A932, "IQ_MARKETCAP", F932)</f>
        <v>7.87418</v>
      </c>
      <c r="J932">
        <f>_xll.ciqfunctions.udf.CIQ(A932, "IQ_PRICE_VOL_HIST_6MTH", F932)</f>
        <v>119.10720000000001</v>
      </c>
      <c r="K932">
        <f>_xll.ciqfunctions.udf.CIQ(A932, "IQ_LASTSALEPRICE", WORKDAY(F932,-1))</f>
        <v>16.739999999999998</v>
      </c>
      <c r="L932">
        <f>_xll.ciqfunctions.udf.CIQ(A932, "IQ_LASTSALEPRICE", F932)</f>
        <v>14.935</v>
      </c>
      <c r="M932">
        <f>_xll.ciqfunctions.udf.CIQ(A932, "IQ_LASTSALEPRICE", WORKDAY(F932,5))</f>
        <v>14.46</v>
      </c>
      <c r="N932">
        <f t="shared" si="28"/>
        <v>-0.11409361339325605</v>
      </c>
      <c r="O932">
        <f t="shared" si="29"/>
        <v>-0.14641484833071045</v>
      </c>
      <c r="P932">
        <f>LN(_xll.ciqfunctions.udf.CIQ("XBI", "IQ_LASTSALEPRICE", WORKDAY(F932,-1))/_xll.ciqfunctions.udf.CIQ("XBI", "IQ_LASTSALEPRICE", WORKDAY(F932,1)))</f>
        <v>-4.3022360876459012E-2</v>
      </c>
      <c r="Q932">
        <f>LN(_xll.ciqfunctions.udf.CIQ("XBI", "IQ_LASTSALEPRICE", WORKDAY(F932,-1))/_xll.ciqfunctions.udf.CIQ("XBI", "IQ_LASTSALEPRICE", WORKDAY(F932,5)))</f>
        <v>-5.1700916332706966E-2</v>
      </c>
      <c r="R932">
        <f>_xll.ciqfunctions.udf.CIQ(A932, "IQ_SHORT_INTEREST_PERCENT", F932)</f>
        <v>6.9589999999999999E-2</v>
      </c>
      <c r="S932">
        <f>_xll.ciqfunctions.udf.CIQ(A932, "IQ_BETA_1YR_RSQ", F932)</f>
        <v>5.6699999999999997E-3</v>
      </c>
      <c r="T932">
        <f>_xll.ciqfunctions.udf.CIQ(A932, "IQ_VALUE_TRADED", F932)</f>
        <v>0.20677999999999999</v>
      </c>
    </row>
    <row r="933" spans="1:20" x14ac:dyDescent="0.3">
      <c r="A933" t="s">
        <v>2584</v>
      </c>
      <c r="B933" s="2">
        <v>17</v>
      </c>
      <c r="C933" t="s">
        <v>2585</v>
      </c>
      <c r="D933" t="s">
        <v>2586</v>
      </c>
      <c r="E933" t="s">
        <v>76</v>
      </c>
      <c r="F933" s="1">
        <v>45413</v>
      </c>
      <c r="G933" t="s">
        <v>2587</v>
      </c>
      <c r="H933">
        <v>1</v>
      </c>
      <c r="I933">
        <f>_xll.ciqfunctions.udf.CIQ(A933, "IQ_MARKETCAP", F933)</f>
        <v>18.439330000000002</v>
      </c>
      <c r="J933">
        <f>_xll.ciqfunctions.udf.CIQ(A933, "IQ_PRICE_VOL_HIST_6MTH", F933)</f>
        <v>68.961399999999998</v>
      </c>
      <c r="K933">
        <f>_xll.ciqfunctions.udf.CIQ(A933, "IQ_LASTSALEPRICE", WORKDAY(F933,-1))</f>
        <v>16.887499999999999</v>
      </c>
      <c r="L933">
        <f>_xll.ciqfunctions.udf.CIQ(A933, "IQ_LASTSALEPRICE", F933)</f>
        <v>17.002500000000001</v>
      </c>
      <c r="M933">
        <f>_xll.ciqfunctions.udf.CIQ(A933, "IQ_LASTSALEPRICE", WORKDAY(F933,5))</f>
        <v>17.625</v>
      </c>
      <c r="N933">
        <f t="shared" si="28"/>
        <v>6.7866887813396734E-3</v>
      </c>
      <c r="O933">
        <f t="shared" si="29"/>
        <v>4.2744645412015163E-2</v>
      </c>
      <c r="P933">
        <f>LN(_xll.ciqfunctions.udf.CIQ("XBI", "IQ_LASTSALEPRICE", WORKDAY(F933,-1))/_xll.ciqfunctions.udf.CIQ("XBI", "IQ_LASTSALEPRICE", WORKDAY(F933,1)))</f>
        <v>-4.3022360876459012E-2</v>
      </c>
      <c r="Q933">
        <f>LN(_xll.ciqfunctions.udf.CIQ("XBI", "IQ_LASTSALEPRICE", WORKDAY(F933,-1))/_xll.ciqfunctions.udf.CIQ("XBI", "IQ_LASTSALEPRICE", WORKDAY(F933,5)))</f>
        <v>-5.1700916332706966E-2</v>
      </c>
      <c r="R933">
        <f>_xll.ciqfunctions.udf.CIQ(A933, "IQ_SHORT_INTEREST_PERCENT", F933)</f>
        <v>6.6239999999999993E-2</v>
      </c>
      <c r="S933">
        <f>_xll.ciqfunctions.udf.CIQ(A933, "IQ_BETA_1YR_RSQ", F933)</f>
        <v>8.6470000000000005E-2</v>
      </c>
      <c r="T933">
        <f>_xll.ciqfunctions.udf.CIQ(A933, "IQ_VALUE_TRADED", F933)</f>
        <v>3.2169999999999997E-2</v>
      </c>
    </row>
    <row r="934" spans="1:20" x14ac:dyDescent="0.3">
      <c r="A934" t="s">
        <v>433</v>
      </c>
      <c r="B934" s="2">
        <v>75.34</v>
      </c>
      <c r="C934" t="s">
        <v>2588</v>
      </c>
      <c r="D934" t="s">
        <v>2589</v>
      </c>
      <c r="E934" t="s">
        <v>36</v>
      </c>
      <c r="F934" s="1">
        <v>45414</v>
      </c>
      <c r="G934" t="s">
        <v>2590</v>
      </c>
      <c r="I934">
        <f>_xll.ciqfunctions.udf.CIQ(A934, "IQ_MARKETCAP", F934)</f>
        <v>188446.56964</v>
      </c>
      <c r="J934">
        <f>_xll.ciqfunctions.udf.CIQ(A934, "IQ_PRICE_VOL_HIST_6MTH", F934)</f>
        <v>22.407900000000001</v>
      </c>
      <c r="K934">
        <f>_xll.ciqfunctions.udf.CIQ(A934, "IQ_LASTSALEPRICE", WORKDAY(F934,-1))</f>
        <v>121.7</v>
      </c>
      <c r="L934">
        <f>_xll.ciqfunctions.udf.CIQ(A934, "IQ_LASTSALEPRICE", F934)</f>
        <v>121.56</v>
      </c>
      <c r="M934">
        <f>_xll.ciqfunctions.udf.CIQ(A934, "IQ_LASTSALEPRICE", WORKDAY(F934,5))</f>
        <v>123.32</v>
      </c>
      <c r="N934">
        <f t="shared" si="28"/>
        <v>-1.15103194488917E-3</v>
      </c>
      <c r="O934">
        <f t="shared" si="29"/>
        <v>1.3223603024468024E-2</v>
      </c>
      <c r="P934">
        <f>LN(_xll.ciqfunctions.udf.CIQ("XBI", "IQ_LASTSALEPRICE", WORKDAY(F934,-1))/_xll.ciqfunctions.udf.CIQ("XBI", "IQ_LASTSALEPRICE", WORKDAY(F934,1)))</f>
        <v>-2.9893376987384795E-2</v>
      </c>
      <c r="Q934">
        <f>LN(_xll.ciqfunctions.udf.CIQ("XBI", "IQ_LASTSALEPRICE", WORKDAY(F934,-1))/_xll.ciqfunctions.udf.CIQ("XBI", "IQ_LASTSALEPRICE", WORKDAY(F934,5)))</f>
        <v>-1.8717578952254253E-2</v>
      </c>
      <c r="R934">
        <f>_xll.ciqfunctions.udf.CIQ(A934, "IQ_SHORT_INTEREST_PERCENT", F934)</f>
        <v>0</v>
      </c>
      <c r="S934">
        <f>_xll.ciqfunctions.udf.CIQ(A934, "IQ_BETA_1YR_RSQ", F934)</f>
        <v>0.19694</v>
      </c>
      <c r="T934">
        <f>_xll.ciqfunctions.udf.CIQ(A934, "IQ_VALUE_TRADED", F934)</f>
        <v>243.90746999999999</v>
      </c>
    </row>
    <row r="935" spans="1:20" x14ac:dyDescent="0.3">
      <c r="A935" t="s">
        <v>1825</v>
      </c>
      <c r="B935" s="2">
        <v>1.75</v>
      </c>
      <c r="C935" t="s">
        <v>1826</v>
      </c>
      <c r="D935" t="s">
        <v>1827</v>
      </c>
      <c r="E935" t="s">
        <v>184</v>
      </c>
      <c r="F935" s="1">
        <v>45414</v>
      </c>
      <c r="G935" t="s">
        <v>2591</v>
      </c>
      <c r="H935">
        <v>89</v>
      </c>
      <c r="I935">
        <f>_xll.ciqfunctions.udf.CIQ(A935, "IQ_MARKETCAP", F935)</f>
        <v>27.94059</v>
      </c>
      <c r="J935">
        <f>_xll.ciqfunctions.udf.CIQ(A935, "IQ_PRICE_VOL_HIST_6MTH", F935)</f>
        <v>86.099299999999999</v>
      </c>
      <c r="K935">
        <f>_xll.ciqfunctions.udf.CIQ(A935, "IQ_LASTSALEPRICE", WORKDAY(F935,-1))</f>
        <v>1.36</v>
      </c>
      <c r="L935">
        <f>_xll.ciqfunctions.udf.CIQ(A935, "IQ_LASTSALEPRICE", F935)</f>
        <v>1.75</v>
      </c>
      <c r="M935">
        <f>_xll.ciqfunctions.udf.CIQ(A935, "IQ_LASTSALEPRICE", WORKDAY(F935,5))</f>
        <v>1.83</v>
      </c>
      <c r="N935">
        <f t="shared" si="28"/>
        <v>0.25213108818746194</v>
      </c>
      <c r="O935">
        <f t="shared" si="29"/>
        <v>0.29683126710536883</v>
      </c>
      <c r="P935">
        <f>LN(_xll.ciqfunctions.udf.CIQ("XBI", "IQ_LASTSALEPRICE", WORKDAY(F935,-1))/_xll.ciqfunctions.udf.CIQ("XBI", "IQ_LASTSALEPRICE", WORKDAY(F935,1)))</f>
        <v>-2.9893376987384795E-2</v>
      </c>
      <c r="Q935">
        <f>LN(_xll.ciqfunctions.udf.CIQ("XBI", "IQ_LASTSALEPRICE", WORKDAY(F935,-1))/_xll.ciqfunctions.udf.CIQ("XBI", "IQ_LASTSALEPRICE", WORKDAY(F935,5)))</f>
        <v>-1.8717578952254253E-2</v>
      </c>
      <c r="R935">
        <f>_xll.ciqfunctions.udf.CIQ(A935, "IQ_SHORT_INTEREST_PERCENT", F935)</f>
        <v>0.25308999999999998</v>
      </c>
      <c r="S935">
        <f>_xll.ciqfunctions.udf.CIQ(A935, "IQ_BETA_1YR_RSQ", F935)</f>
        <v>6.1719999999999997E-2</v>
      </c>
      <c r="T935">
        <f>_xll.ciqfunctions.udf.CIQ(A935, "IQ_VALUE_TRADED", F935)</f>
        <v>46.438290000000002</v>
      </c>
    </row>
    <row r="936" spans="1:20" x14ac:dyDescent="0.3">
      <c r="A936" t="s">
        <v>1104</v>
      </c>
      <c r="B936" s="2">
        <v>2.0499999999999998</v>
      </c>
      <c r="C936" t="s">
        <v>2592</v>
      </c>
      <c r="D936" t="s">
        <v>183</v>
      </c>
      <c r="E936" t="s">
        <v>184</v>
      </c>
      <c r="F936" s="1">
        <v>45414</v>
      </c>
      <c r="G936" t="s">
        <v>2593</v>
      </c>
      <c r="H936">
        <v>46</v>
      </c>
      <c r="I936">
        <f>_xll.ciqfunctions.udf.CIQ(A936, "IQ_MARKETCAP", F936)</f>
        <v>78.936089999999993</v>
      </c>
      <c r="J936">
        <f>_xll.ciqfunctions.udf.CIQ(A936, "IQ_PRICE_VOL_HIST_6MTH", F936)</f>
        <v>69.116299999999995</v>
      </c>
      <c r="K936">
        <f>_xll.ciqfunctions.udf.CIQ(A936, "IQ_LASTSALEPRICE", WORKDAY(F936,-1))</f>
        <v>6.6000000000000003E-2</v>
      </c>
      <c r="L936">
        <f>_xll.ciqfunctions.udf.CIQ(A936, "IQ_LASTSALEPRICE", F936)</f>
        <v>6.7000000000000004E-2</v>
      </c>
      <c r="M936">
        <f>_xll.ciqfunctions.udf.CIQ(A936, "IQ_LASTSALEPRICE", WORKDAY(F936,5))</f>
        <v>6.0999999999999999E-2</v>
      </c>
      <c r="N936">
        <f t="shared" si="28"/>
        <v>1.5037877364540502E-2</v>
      </c>
      <c r="O936">
        <f t="shared" si="29"/>
        <v>-7.8780877853114342E-2</v>
      </c>
      <c r="P936">
        <f>LN(_xll.ciqfunctions.udf.CIQ("XBI", "IQ_LASTSALEPRICE", WORKDAY(F936,-1))/_xll.ciqfunctions.udf.CIQ("XBI", "IQ_LASTSALEPRICE", WORKDAY(F936,1)))</f>
        <v>-2.9893376987384795E-2</v>
      </c>
      <c r="Q936">
        <f>LN(_xll.ciqfunctions.udf.CIQ("XBI", "IQ_LASTSALEPRICE", WORKDAY(F936,-1))/_xll.ciqfunctions.udf.CIQ("XBI", "IQ_LASTSALEPRICE", WORKDAY(F936,5)))</f>
        <v>-1.8717578952254253E-2</v>
      </c>
      <c r="R936">
        <f>_xll.ciqfunctions.udf.CIQ(A936, "IQ_SHORT_INTEREST_PERCENT", F936)</f>
        <v>0</v>
      </c>
      <c r="S936">
        <f>_xll.ciqfunctions.udf.CIQ(A936, "IQ_BETA_1YR_RSQ", F936)</f>
        <v>2.0000000000000002E-5</v>
      </c>
      <c r="T936">
        <f>_xll.ciqfunctions.udf.CIQ(A936, "IQ_VALUE_TRADED", F936)</f>
        <v>0.10254000000000001</v>
      </c>
    </row>
    <row r="937" spans="1:20" x14ac:dyDescent="0.3">
      <c r="A937" t="s">
        <v>2594</v>
      </c>
      <c r="B937" s="2">
        <v>36.9</v>
      </c>
      <c r="C937" t="s">
        <v>2595</v>
      </c>
      <c r="D937" t="s">
        <v>2596</v>
      </c>
      <c r="E937" t="s">
        <v>76</v>
      </c>
      <c r="F937" s="1">
        <v>45414</v>
      </c>
      <c r="G937" t="s">
        <v>2597</v>
      </c>
      <c r="H937">
        <v>14</v>
      </c>
      <c r="I937">
        <f>_xll.ciqfunctions.udf.CIQ(A937, "IQ_MARKETCAP", F937)</f>
        <v>0.38</v>
      </c>
      <c r="J937">
        <f>_xll.ciqfunctions.udf.CIQ(A937, "IQ_PRICE_VOL_HIST_6MTH", F937)</f>
        <v>96.512699999999995</v>
      </c>
      <c r="K937">
        <f>_xll.ciqfunctions.udf.CIQ(A937, "IQ_LASTSALEPRICE", WORKDAY(F937,-1))</f>
        <v>41.10004</v>
      </c>
      <c r="L937">
        <f>_xll.ciqfunctions.udf.CIQ(A937, "IQ_LASTSALEPRICE", F937)</f>
        <v>36.900039999999997</v>
      </c>
      <c r="M937">
        <f>_xll.ciqfunctions.udf.CIQ(A937, "IQ_LASTSALEPRICE", WORKDAY(F937,5))</f>
        <v>22.62002</v>
      </c>
      <c r="N937">
        <f t="shared" si="28"/>
        <v>-0.10779645968099108</v>
      </c>
      <c r="O937">
        <f t="shared" si="29"/>
        <v>-0.59717373987684363</v>
      </c>
      <c r="P937">
        <f>LN(_xll.ciqfunctions.udf.CIQ("XBI", "IQ_LASTSALEPRICE", WORKDAY(F937,-1))/_xll.ciqfunctions.udf.CIQ("XBI", "IQ_LASTSALEPRICE", WORKDAY(F937,1)))</f>
        <v>-2.9893376987384795E-2</v>
      </c>
      <c r="Q937">
        <f>LN(_xll.ciqfunctions.udf.CIQ("XBI", "IQ_LASTSALEPRICE", WORKDAY(F937,-1))/_xll.ciqfunctions.udf.CIQ("XBI", "IQ_LASTSALEPRICE", WORKDAY(F937,5)))</f>
        <v>-1.8717578952254253E-2</v>
      </c>
      <c r="R937">
        <f>_xll.ciqfunctions.udf.CIQ(A937, "IQ_SHORT_INTEREST_PERCENT", F937)</f>
        <v>34.004950000000001</v>
      </c>
      <c r="S937">
        <f>_xll.ciqfunctions.udf.CIQ(A937, "IQ_BETA_1YR_RSQ", F937)</f>
        <v>0.21126</v>
      </c>
      <c r="T937">
        <f>_xll.ciqfunctions.udf.CIQ(A937, "IQ_VALUE_TRADED", F937)</f>
        <v>116.08748</v>
      </c>
    </row>
    <row r="938" spans="1:20" x14ac:dyDescent="0.3">
      <c r="A938" t="s">
        <v>2598</v>
      </c>
      <c r="B938" s="2">
        <v>0.71</v>
      </c>
      <c r="C938" t="s">
        <v>2599</v>
      </c>
      <c r="D938" t="s">
        <v>2600</v>
      </c>
      <c r="E938" t="s">
        <v>89</v>
      </c>
      <c r="F938" s="1">
        <v>45414</v>
      </c>
      <c r="G938" t="s">
        <v>2601</v>
      </c>
      <c r="I938">
        <f>_xll.ciqfunctions.udf.CIQ(A938, "IQ_MARKETCAP", F938)</f>
        <v>12.215109999999999</v>
      </c>
      <c r="J938">
        <f>_xll.ciqfunctions.udf.CIQ(A938, "IQ_PRICE_VOL_HIST_6MTH", F938)</f>
        <v>0</v>
      </c>
      <c r="K938">
        <f>_xll.ciqfunctions.udf.CIQ(A938, "IQ_LASTSALEPRICE", WORKDAY(F938,-1))</f>
        <v>3194.80051</v>
      </c>
      <c r="L938">
        <f>_xll.ciqfunctions.udf.CIQ(A938, "IQ_LASTSALEPRICE", F938)</f>
        <v>3454.5005500000002</v>
      </c>
      <c r="M938">
        <f>_xll.ciqfunctions.udf.CIQ(A938, "IQ_LASTSALEPRICE", WORKDAY(F938,5))</f>
        <v>3346.21054</v>
      </c>
      <c r="N938">
        <f t="shared" si="28"/>
        <v>7.8153240463831208E-2</v>
      </c>
      <c r="O938">
        <f t="shared" si="29"/>
        <v>4.6303875782586698E-2</v>
      </c>
      <c r="P938">
        <f>LN(_xll.ciqfunctions.udf.CIQ("XBI", "IQ_LASTSALEPRICE", WORKDAY(F938,-1))/_xll.ciqfunctions.udf.CIQ("XBI", "IQ_LASTSALEPRICE", WORKDAY(F938,1)))</f>
        <v>-2.9893376987384795E-2</v>
      </c>
      <c r="Q938">
        <f>LN(_xll.ciqfunctions.udf.CIQ("XBI", "IQ_LASTSALEPRICE", WORKDAY(F938,-1))/_xll.ciqfunctions.udf.CIQ("XBI", "IQ_LASTSALEPRICE", WORKDAY(F938,5)))</f>
        <v>-1.8717578952254253E-2</v>
      </c>
      <c r="R938">
        <f>_xll.ciqfunctions.udf.CIQ(A938, "IQ_SHORT_INTEREST_PERCENT", F938)</f>
        <v>0.31627</v>
      </c>
      <c r="S938">
        <f>_xll.ciqfunctions.udf.CIQ(A938, "IQ_BETA_1YR_RSQ", F938)</f>
        <v>9.7199999999999995E-3</v>
      </c>
      <c r="T938">
        <f>_xll.ciqfunctions.udf.CIQ(A938, "IQ_VALUE_TRADED", F938)</f>
        <v>1.1123499999999999</v>
      </c>
    </row>
    <row r="939" spans="1:20" x14ac:dyDescent="0.3">
      <c r="A939" t="s">
        <v>131</v>
      </c>
      <c r="B939" s="2">
        <v>2.69</v>
      </c>
      <c r="C939" t="s">
        <v>2602</v>
      </c>
      <c r="D939" t="s">
        <v>2603</v>
      </c>
      <c r="E939" t="s">
        <v>76</v>
      </c>
      <c r="F939" s="1">
        <v>45414</v>
      </c>
      <c r="G939" t="s">
        <v>2604</v>
      </c>
      <c r="H939">
        <v>145</v>
      </c>
      <c r="I939">
        <f>_xll.ciqfunctions.udf.CIQ(A939, "IQ_MARKETCAP", F939)</f>
        <v>499.31052</v>
      </c>
      <c r="J939">
        <f>_xll.ciqfunctions.udf.CIQ(A939, "IQ_PRICE_VOL_HIST_6MTH", F939)</f>
        <v>55.918599999999998</v>
      </c>
      <c r="K939">
        <f>_xll.ciqfunctions.udf.CIQ(A939, "IQ_LASTSALEPRICE", WORKDAY(F939,-1))</f>
        <v>2.6</v>
      </c>
      <c r="L939">
        <f>_xll.ciqfunctions.udf.CIQ(A939, "IQ_LASTSALEPRICE", F939)</f>
        <v>2.69</v>
      </c>
      <c r="M939">
        <f>_xll.ciqfunctions.udf.CIQ(A939, "IQ_LASTSALEPRICE", WORKDAY(F939,5))</f>
        <v>3.01</v>
      </c>
      <c r="N939">
        <f t="shared" si="28"/>
        <v>3.4029748586311255E-2</v>
      </c>
      <c r="O939">
        <f t="shared" si="29"/>
        <v>0.14642863373334788</v>
      </c>
      <c r="P939">
        <f>LN(_xll.ciqfunctions.udf.CIQ("XBI", "IQ_LASTSALEPRICE", WORKDAY(F939,-1))/_xll.ciqfunctions.udf.CIQ("XBI", "IQ_LASTSALEPRICE", WORKDAY(F939,1)))</f>
        <v>-2.9893376987384795E-2</v>
      </c>
      <c r="Q939">
        <f>LN(_xll.ciqfunctions.udf.CIQ("XBI", "IQ_LASTSALEPRICE", WORKDAY(F939,-1))/_xll.ciqfunctions.udf.CIQ("XBI", "IQ_LASTSALEPRICE", WORKDAY(F939,5)))</f>
        <v>-1.8717578952254253E-2</v>
      </c>
      <c r="R939">
        <f>_xll.ciqfunctions.udf.CIQ(A939, "IQ_SHORT_INTEREST_PERCENT", F939)</f>
        <v>0</v>
      </c>
      <c r="S939">
        <f>_xll.ciqfunctions.udf.CIQ(A939, "IQ_BETA_1YR_RSQ", F939)</f>
        <v>0</v>
      </c>
      <c r="T939">
        <f>_xll.ciqfunctions.udf.CIQ(A939, "IQ_VALUE_TRADED", F939)</f>
        <v>0.45351000000000002</v>
      </c>
    </row>
    <row r="940" spans="1:20" x14ac:dyDescent="0.3">
      <c r="A940" t="s">
        <v>1599</v>
      </c>
      <c r="B940" s="2">
        <v>1.7</v>
      </c>
      <c r="C940" t="s">
        <v>1600</v>
      </c>
      <c r="D940" t="s">
        <v>1601</v>
      </c>
      <c r="E940" t="s">
        <v>76</v>
      </c>
      <c r="F940" s="1">
        <v>45415</v>
      </c>
      <c r="G940" t="s">
        <v>2605</v>
      </c>
      <c r="H940">
        <v>11</v>
      </c>
      <c r="I940">
        <f>_xll.ciqfunctions.udf.CIQ(A940, "IQ_MARKETCAP", F940)</f>
        <v>65.930509999999998</v>
      </c>
      <c r="J940">
        <f>_xll.ciqfunctions.udf.CIQ(A940, "IQ_PRICE_VOL_HIST_6MTH", F940)</f>
        <v>166.1129</v>
      </c>
      <c r="K940">
        <f>_xll.ciqfunctions.udf.CIQ(A940, "IQ_LASTSALEPRICE", WORKDAY(F940,-1))</f>
        <v>241.91998000000001</v>
      </c>
      <c r="L940">
        <f>_xll.ciqfunctions.udf.CIQ(A940, "IQ_LASTSALEPRICE", F940)</f>
        <v>122.39999</v>
      </c>
      <c r="M940">
        <f>_xll.ciqfunctions.udf.CIQ(A940, "IQ_LASTSALEPRICE", WORKDAY(F940,5))</f>
        <v>124.55999</v>
      </c>
      <c r="N940">
        <f t="shared" si="28"/>
        <v>-0.6813127219403311</v>
      </c>
      <c r="O940">
        <f t="shared" si="29"/>
        <v>-0.66381956307606227</v>
      </c>
      <c r="P940">
        <f>LN(_xll.ciqfunctions.udf.CIQ("XBI", "IQ_LASTSALEPRICE", WORKDAY(F940,-1))/_xll.ciqfunctions.udf.CIQ("XBI", "IQ_LASTSALEPRICE", WORKDAY(F940,1)))</f>
        <v>-2.5040431959687325E-2</v>
      </c>
      <c r="Q940">
        <f>LN(_xll.ciqfunctions.udf.CIQ("XBI", "IQ_LASTSALEPRICE", WORKDAY(F940,-1))/_xll.ciqfunctions.udf.CIQ("XBI", "IQ_LASTSALEPRICE", WORKDAY(F940,5)))</f>
        <v>2.2665467545394643E-3</v>
      </c>
      <c r="R940">
        <f>_xll.ciqfunctions.udf.CIQ(A940, "IQ_SHORT_INTEREST_PERCENT", F940)</f>
        <v>1.1160699999999999</v>
      </c>
      <c r="S940">
        <f>_xll.ciqfunctions.udf.CIQ(A940, "IQ_BETA_1YR_RSQ", F940)</f>
        <v>4.2099999999999999E-2</v>
      </c>
      <c r="T940">
        <f>_xll.ciqfunctions.udf.CIQ(A940, "IQ_VALUE_TRADED", F940)</f>
        <v>1.5837300000000001</v>
      </c>
    </row>
    <row r="941" spans="1:20" x14ac:dyDescent="0.3">
      <c r="A941" t="s">
        <v>1289</v>
      </c>
      <c r="B941" s="2">
        <v>24.78</v>
      </c>
      <c r="C941" t="s">
        <v>2606</v>
      </c>
      <c r="D941" t="s">
        <v>1748</v>
      </c>
      <c r="E941" t="s">
        <v>76</v>
      </c>
      <c r="F941" s="1">
        <v>45415</v>
      </c>
      <c r="G941" t="s">
        <v>2607</v>
      </c>
      <c r="H941">
        <v>12</v>
      </c>
      <c r="I941">
        <f>_xll.ciqfunctions.udf.CIQ(A941, "IQ_MARKETCAP", F941)</f>
        <v>288.31567000000001</v>
      </c>
      <c r="J941">
        <f>_xll.ciqfunctions.udf.CIQ(A941, "IQ_PRICE_VOL_HIST_6MTH", F941)</f>
        <v>57.610399999999998</v>
      </c>
      <c r="K941">
        <f>_xll.ciqfunctions.udf.CIQ(A941, "IQ_LASTSALEPRICE", WORKDAY(F941,-1))</f>
        <v>25.44</v>
      </c>
      <c r="L941">
        <f>_xll.ciqfunctions.udf.CIQ(A941, "IQ_LASTSALEPRICE", F941)</f>
        <v>24.78</v>
      </c>
      <c r="M941">
        <f>_xll.ciqfunctions.udf.CIQ(A941, "IQ_LASTSALEPRICE", WORKDAY(F941,5))</f>
        <v>25.44</v>
      </c>
      <c r="N941">
        <f t="shared" si="28"/>
        <v>-2.6285862270924974E-2</v>
      </c>
      <c r="O941">
        <f t="shared" si="29"/>
        <v>0</v>
      </c>
      <c r="P941">
        <f>LN(_xll.ciqfunctions.udf.CIQ("XBI", "IQ_LASTSALEPRICE", WORKDAY(F941,-1))/_xll.ciqfunctions.udf.CIQ("XBI", "IQ_LASTSALEPRICE", WORKDAY(F941,1)))</f>
        <v>-2.5040431959687325E-2</v>
      </c>
      <c r="Q941">
        <f>LN(_xll.ciqfunctions.udf.CIQ("XBI", "IQ_LASTSALEPRICE", WORKDAY(F941,-1))/_xll.ciqfunctions.udf.CIQ("XBI", "IQ_LASTSALEPRICE", WORKDAY(F941,5)))</f>
        <v>2.2665467545394643E-3</v>
      </c>
      <c r="R941">
        <f>_xll.ciqfunctions.udf.CIQ(A941, "IQ_SHORT_INTEREST_PERCENT", F941)</f>
        <v>2.4218799999999998</v>
      </c>
      <c r="S941">
        <f>_xll.ciqfunctions.udf.CIQ(A941, "IQ_BETA_1YR_RSQ", F941)</f>
        <v>3.0500000000000002E-3</v>
      </c>
      <c r="T941">
        <f>_xll.ciqfunctions.udf.CIQ(A941, "IQ_VALUE_TRADED", F941)</f>
        <v>0.20352000000000001</v>
      </c>
    </row>
    <row r="942" spans="1:20" x14ac:dyDescent="0.3">
      <c r="A942" t="s">
        <v>2608</v>
      </c>
      <c r="B942" s="2">
        <v>0.74</v>
      </c>
      <c r="C942" t="s">
        <v>2606</v>
      </c>
      <c r="D942" t="s">
        <v>1748</v>
      </c>
      <c r="E942" t="s">
        <v>76</v>
      </c>
      <c r="F942" s="1">
        <v>45415</v>
      </c>
      <c r="G942" t="s">
        <v>2607</v>
      </c>
      <c r="H942">
        <v>227</v>
      </c>
      <c r="I942">
        <f>_xll.ciqfunctions.udf.CIQ(A942, "IQ_MARKETCAP", F942)</f>
        <v>167.40180000000001</v>
      </c>
      <c r="J942">
        <f>_xll.ciqfunctions.udf.CIQ(A942, "IQ_PRICE_VOL_HIST_6MTH", F942)</f>
        <v>93.967100000000002</v>
      </c>
      <c r="K942">
        <f>_xll.ciqfunctions.udf.CIQ(A942, "IQ_LASTSALEPRICE", WORKDAY(F942,-1))</f>
        <v>0.77129999999999999</v>
      </c>
      <c r="L942">
        <f>_xll.ciqfunctions.udf.CIQ(A942, "IQ_LASTSALEPRICE", F942)</f>
        <v>0.74</v>
      </c>
      <c r="M942">
        <f>_xll.ciqfunctions.udf.CIQ(A942, "IQ_LASTSALEPRICE", WORKDAY(F942,5))</f>
        <v>0.74229999999999996</v>
      </c>
      <c r="N942">
        <f t="shared" si="28"/>
        <v>-4.142721674173807E-2</v>
      </c>
      <c r="O942">
        <f t="shared" si="29"/>
        <v>-3.8323928816452205E-2</v>
      </c>
      <c r="P942">
        <f>LN(_xll.ciqfunctions.udf.CIQ("XBI", "IQ_LASTSALEPRICE", WORKDAY(F942,-1))/_xll.ciqfunctions.udf.CIQ("XBI", "IQ_LASTSALEPRICE", WORKDAY(F942,1)))</f>
        <v>-2.5040431959687325E-2</v>
      </c>
      <c r="Q942">
        <f>LN(_xll.ciqfunctions.udf.CIQ("XBI", "IQ_LASTSALEPRICE", WORKDAY(F942,-1))/_xll.ciqfunctions.udf.CIQ("XBI", "IQ_LASTSALEPRICE", WORKDAY(F942,5)))</f>
        <v>2.2665467545394643E-3</v>
      </c>
      <c r="R942">
        <f>_xll.ciqfunctions.udf.CIQ(A942, "IQ_SHORT_INTEREST_PERCENT", F942)</f>
        <v>4.9122599999999998</v>
      </c>
      <c r="S942">
        <f>_xll.ciqfunctions.udf.CIQ(A942, "IQ_BETA_1YR_RSQ", F942)</f>
        <v>0.14032</v>
      </c>
      <c r="T942">
        <f>_xll.ciqfunctions.udf.CIQ(A942, "IQ_VALUE_TRADED", F942)</f>
        <v>3.2038700000000002</v>
      </c>
    </row>
    <row r="943" spans="1:20" x14ac:dyDescent="0.3">
      <c r="A943" t="s">
        <v>1095</v>
      </c>
      <c r="B943" s="2">
        <v>36.270000000000003</v>
      </c>
      <c r="C943" t="s">
        <v>2609</v>
      </c>
      <c r="D943" t="s">
        <v>2610</v>
      </c>
      <c r="E943" t="s">
        <v>36</v>
      </c>
      <c r="F943" s="1">
        <v>45415</v>
      </c>
      <c r="G943" t="s">
        <v>2611</v>
      </c>
      <c r="H943">
        <v>76</v>
      </c>
      <c r="I943">
        <f>_xll.ciqfunctions.udf.CIQ(A943, "IQ_MARKETCAP", F943)</f>
        <v>2416.8968599999998</v>
      </c>
      <c r="J943">
        <f>_xll.ciqfunctions.udf.CIQ(A943, "IQ_PRICE_VOL_HIST_6MTH", F943)</f>
        <v>0</v>
      </c>
      <c r="K943">
        <f>_xll.ciqfunctions.udf.CIQ(A943, "IQ_LASTSALEPRICE", WORKDAY(F943,-1))</f>
        <v>39.5</v>
      </c>
      <c r="L943">
        <f>_xll.ciqfunctions.udf.CIQ(A943, "IQ_LASTSALEPRICE", F943)</f>
        <v>36.270000000000003</v>
      </c>
      <c r="M943">
        <f>_xll.ciqfunctions.udf.CIQ(A943, "IQ_LASTSALEPRICE", WORKDAY(F943,5))</f>
        <v>28.5</v>
      </c>
      <c r="N943">
        <f t="shared" si="28"/>
        <v>-8.5309718612265106E-2</v>
      </c>
      <c r="O943">
        <f t="shared" si="29"/>
        <v>-0.3263965846324714</v>
      </c>
      <c r="P943">
        <f>LN(_xll.ciqfunctions.udf.CIQ("XBI", "IQ_LASTSALEPRICE", WORKDAY(F943,-1))/_xll.ciqfunctions.udf.CIQ("XBI", "IQ_LASTSALEPRICE", WORKDAY(F943,1)))</f>
        <v>-2.5040431959687325E-2</v>
      </c>
      <c r="Q943">
        <f>LN(_xll.ciqfunctions.udf.CIQ("XBI", "IQ_LASTSALEPRICE", WORKDAY(F943,-1))/_xll.ciqfunctions.udf.CIQ("XBI", "IQ_LASTSALEPRICE", WORKDAY(F943,5)))</f>
        <v>2.2665467545394643E-3</v>
      </c>
      <c r="R943">
        <f>_xll.ciqfunctions.udf.CIQ(A943, "IQ_SHORT_INTEREST_PERCENT", F943)</f>
        <v>4.2045199999999996</v>
      </c>
      <c r="S943">
        <f>_xll.ciqfunctions.udf.CIQ(A943, "IQ_BETA_1YR_RSQ", F943)</f>
        <v>0.1641</v>
      </c>
      <c r="T943">
        <f>_xll.ciqfunctions.udf.CIQ(A943, "IQ_VALUE_TRADED", F943)</f>
        <v>88.613630000000001</v>
      </c>
    </row>
    <row r="944" spans="1:20" x14ac:dyDescent="0.3">
      <c r="A944" t="s">
        <v>500</v>
      </c>
      <c r="B944" s="2">
        <v>14.3</v>
      </c>
      <c r="C944" t="s">
        <v>2612</v>
      </c>
      <c r="D944" t="s">
        <v>2613</v>
      </c>
      <c r="E944" t="s">
        <v>36</v>
      </c>
      <c r="F944" s="1">
        <v>45416</v>
      </c>
      <c r="G944" t="s">
        <v>2614</v>
      </c>
      <c r="H944">
        <v>46</v>
      </c>
      <c r="I944">
        <f>_xll.ciqfunctions.udf.CIQ(A944, "IQ_MARKETCAP", F944)</f>
        <v>487.94583999999998</v>
      </c>
      <c r="J944">
        <f>_xll.ciqfunctions.udf.CIQ(A944, "IQ_PRICE_VOL_HIST_6MTH", F944)</f>
        <v>61.911099999999998</v>
      </c>
      <c r="K944">
        <f>_xll.ciqfunctions.udf.CIQ(A944, "IQ_LASTSALEPRICE", WORKDAY(F944,-1))</f>
        <v>14.3</v>
      </c>
      <c r="L944">
        <f>_xll.ciqfunctions.udf.CIQ(A944, "IQ_LASTSALEPRICE", F944)</f>
        <v>14.3</v>
      </c>
      <c r="M944">
        <f>_xll.ciqfunctions.udf.CIQ(A944, "IQ_LASTSALEPRICE", WORKDAY(F944,5))</f>
        <v>12.74</v>
      </c>
      <c r="N944">
        <f t="shared" si="28"/>
        <v>0</v>
      </c>
      <c r="O944">
        <f t="shared" si="29"/>
        <v>-0.11551288712184435</v>
      </c>
      <c r="P944">
        <f>LN(_xll.ciqfunctions.udf.CIQ("XBI", "IQ_LASTSALEPRICE", WORKDAY(F944,-1))/_xll.ciqfunctions.udf.CIQ("XBI", "IQ_LASTSALEPRICE", WORKDAY(F944,1)))</f>
        <v>-6.6460147150415663E-3</v>
      </c>
      <c r="Q944">
        <f>LN(_xll.ciqfunctions.udf.CIQ("XBI", "IQ_LASTSALEPRICE", WORKDAY(F944,-1))/_xll.ciqfunctions.udf.CIQ("XBI", "IQ_LASTSALEPRICE", WORKDAY(F944,5)))</f>
        <v>2.0660963999185232E-2</v>
      </c>
      <c r="R944">
        <f>_xll.ciqfunctions.udf.CIQ(A944, "IQ_SHORT_INTEREST_PERCENT", F944)</f>
        <v>12.30565</v>
      </c>
      <c r="S944">
        <f>_xll.ciqfunctions.udf.CIQ(A944, "IQ_BETA_1YR_RSQ", F944)</f>
        <v>2.043E-2</v>
      </c>
      <c r="T944">
        <f>_xll.ciqfunctions.udf.CIQ(A944, "IQ_VALUE_TRADED", F944)</f>
        <v>0</v>
      </c>
    </row>
    <row r="945" spans="1:20" x14ac:dyDescent="0.3">
      <c r="A945" t="s">
        <v>220</v>
      </c>
      <c r="B945" s="2">
        <v>10</v>
      </c>
      <c r="C945" t="s">
        <v>2615</v>
      </c>
      <c r="D945" t="s">
        <v>2541</v>
      </c>
      <c r="E945" t="s">
        <v>76</v>
      </c>
      <c r="F945" s="1">
        <v>45416</v>
      </c>
      <c r="G945" t="s">
        <v>2616</v>
      </c>
      <c r="H945">
        <v>75</v>
      </c>
      <c r="I945">
        <f>_xll.ciqfunctions.udf.CIQ(A945, "IQ_MARKETCAP", F945)</f>
        <v>718.72421999999995</v>
      </c>
      <c r="J945">
        <f>_xll.ciqfunctions.udf.CIQ(A945, "IQ_PRICE_VOL_HIST_6MTH", F945)</f>
        <v>102.3772</v>
      </c>
      <c r="K945">
        <f>_xll.ciqfunctions.udf.CIQ(A945, "IQ_LASTSALEPRICE", WORKDAY(F945,-1))</f>
        <v>10</v>
      </c>
      <c r="L945">
        <f>_xll.ciqfunctions.udf.CIQ(A945, "IQ_LASTSALEPRICE", F945)</f>
        <v>10</v>
      </c>
      <c r="M945">
        <f>_xll.ciqfunctions.udf.CIQ(A945, "IQ_LASTSALEPRICE", WORKDAY(F945,5))</f>
        <v>9.26</v>
      </c>
      <c r="N945">
        <f t="shared" si="28"/>
        <v>0</v>
      </c>
      <c r="O945">
        <f t="shared" si="29"/>
        <v>-7.6881044335957743E-2</v>
      </c>
      <c r="P945">
        <f>LN(_xll.ciqfunctions.udf.CIQ("XBI", "IQ_LASTSALEPRICE", WORKDAY(F945,-1))/_xll.ciqfunctions.udf.CIQ("XBI", "IQ_LASTSALEPRICE", WORKDAY(F945,1)))</f>
        <v>-6.6460147150415663E-3</v>
      </c>
      <c r="Q945">
        <f>LN(_xll.ciqfunctions.udf.CIQ("XBI", "IQ_LASTSALEPRICE", WORKDAY(F945,-1))/_xll.ciqfunctions.udf.CIQ("XBI", "IQ_LASTSALEPRICE", WORKDAY(F945,5)))</f>
        <v>2.0660963999185232E-2</v>
      </c>
      <c r="R945">
        <f>_xll.ciqfunctions.udf.CIQ(A945, "IQ_SHORT_INTEREST_PERCENT", F945)</f>
        <v>9.6339199999999998</v>
      </c>
      <c r="S945">
        <f>_xll.ciqfunctions.udf.CIQ(A945, "IQ_BETA_1YR_RSQ", F945)</f>
        <v>0.10019</v>
      </c>
      <c r="T945">
        <f>_xll.ciqfunctions.udf.CIQ(A945, "IQ_VALUE_TRADED", F945)</f>
        <v>0</v>
      </c>
    </row>
    <row r="946" spans="1:20" x14ac:dyDescent="0.3">
      <c r="A946" t="s">
        <v>2617</v>
      </c>
      <c r="B946" t="s">
        <v>43</v>
      </c>
      <c r="C946" t="s">
        <v>2618</v>
      </c>
      <c r="D946" t="s">
        <v>2619</v>
      </c>
      <c r="E946" t="s">
        <v>76</v>
      </c>
      <c r="F946" s="1">
        <v>45417</v>
      </c>
      <c r="G946" t="s">
        <v>2620</v>
      </c>
      <c r="H946">
        <v>59</v>
      </c>
      <c r="I946">
        <f>_xll.ciqfunctions.udf.CIQ(A946, "IQ_MARKETCAP", F946)</f>
        <v>50.960929999999998</v>
      </c>
      <c r="J946">
        <f>_xll.ciqfunctions.udf.CIQ(A946, "IQ_PRICE_VOL_HIST_6MTH", F946)</f>
        <v>67.203100000000006</v>
      </c>
      <c r="K946">
        <f>_xll.ciqfunctions.udf.CIQ(A946, "IQ_LASTSALEPRICE", WORKDAY(F946,-1))</f>
        <v>1.99</v>
      </c>
      <c r="L946">
        <f>_xll.ciqfunctions.udf.CIQ(A946, "IQ_LASTSALEPRICE", F946)</f>
        <v>1.99</v>
      </c>
      <c r="M946">
        <f>_xll.ciqfunctions.udf.CIQ(A946, "IQ_LASTSALEPRICE", WORKDAY(F946,5))</f>
        <v>1.72</v>
      </c>
      <c r="N946">
        <f t="shared" si="28"/>
        <v>0</v>
      </c>
      <c r="O946">
        <f t="shared" si="29"/>
        <v>-0.14581034791103939</v>
      </c>
      <c r="P946">
        <f>LN(_xll.ciqfunctions.udf.CIQ("XBI", "IQ_LASTSALEPRICE", WORKDAY(F946,-1))/_xll.ciqfunctions.udf.CIQ("XBI", "IQ_LASTSALEPRICE", WORKDAY(F946,1)))</f>
        <v>-6.6460147150415663E-3</v>
      </c>
      <c r="Q946">
        <f>LN(_xll.ciqfunctions.udf.CIQ("XBI", "IQ_LASTSALEPRICE", WORKDAY(F946,-1))/_xll.ciqfunctions.udf.CIQ("XBI", "IQ_LASTSALEPRICE", WORKDAY(F946,5)))</f>
        <v>2.0660963999185232E-2</v>
      </c>
      <c r="R946">
        <f>_xll.ciqfunctions.udf.CIQ(A946, "IQ_SHORT_INTEREST_PERCENT", F946)</f>
        <v>6.1708299999999996</v>
      </c>
      <c r="S946">
        <f>_xll.ciqfunctions.udf.CIQ(A946, "IQ_BETA_1YR_RSQ", F946)</f>
        <v>4.5179999999999998E-2</v>
      </c>
      <c r="T946">
        <f>_xll.ciqfunctions.udf.CIQ(A946, "IQ_VALUE_TRADED", F946)</f>
        <v>0</v>
      </c>
    </row>
    <row r="947" spans="1:20" x14ac:dyDescent="0.3">
      <c r="A947" t="s">
        <v>1426</v>
      </c>
      <c r="B947" s="2">
        <v>11.57</v>
      </c>
      <c r="C947" t="s">
        <v>2618</v>
      </c>
      <c r="D947" t="s">
        <v>2619</v>
      </c>
      <c r="E947" t="s">
        <v>76</v>
      </c>
      <c r="F947" s="1">
        <v>45417</v>
      </c>
      <c r="G947" t="s">
        <v>2620</v>
      </c>
      <c r="I947">
        <f>_xll.ciqfunctions.udf.CIQ(A947, "IQ_MARKETCAP", F947)</f>
        <v>13989.56458</v>
      </c>
      <c r="J947">
        <f>_xll.ciqfunctions.udf.CIQ(A947, "IQ_PRICE_VOL_HIST_6MTH", F947)</f>
        <v>27.685700000000001</v>
      </c>
      <c r="K947">
        <f>_xll.ciqfunctions.udf.CIQ(A947, "IQ_LASTSALEPRICE", WORKDAY(F947,-1))</f>
        <v>11.78</v>
      </c>
      <c r="L947">
        <f>_xll.ciqfunctions.udf.CIQ(A947, "IQ_LASTSALEPRICE", F947)</f>
        <v>11.78</v>
      </c>
      <c r="M947">
        <f>_xll.ciqfunctions.udf.CIQ(A947, "IQ_LASTSALEPRICE", WORKDAY(F947,5))</f>
        <v>11.16</v>
      </c>
      <c r="N947">
        <f t="shared" si="28"/>
        <v>0</v>
      </c>
      <c r="O947">
        <f t="shared" si="29"/>
        <v>-5.4067221270275703E-2</v>
      </c>
      <c r="P947">
        <f>LN(_xll.ciqfunctions.udf.CIQ("XBI", "IQ_LASTSALEPRICE", WORKDAY(F947,-1))/_xll.ciqfunctions.udf.CIQ("XBI", "IQ_LASTSALEPRICE", WORKDAY(F947,1)))</f>
        <v>-6.6460147150415663E-3</v>
      </c>
      <c r="Q947">
        <f>LN(_xll.ciqfunctions.udf.CIQ("XBI", "IQ_LASTSALEPRICE", WORKDAY(F947,-1))/_xll.ciqfunctions.udf.CIQ("XBI", "IQ_LASTSALEPRICE", WORKDAY(F947,5)))</f>
        <v>2.0660963999185232E-2</v>
      </c>
      <c r="R947">
        <f>_xll.ciqfunctions.udf.CIQ(A947, "IQ_SHORT_INTEREST_PERCENT", F947)</f>
        <v>3.4646300000000001</v>
      </c>
      <c r="S947">
        <f>_xll.ciqfunctions.udf.CIQ(A947, "IQ_BETA_1YR_RSQ", F947)</f>
        <v>7.6579999999999995E-2</v>
      </c>
      <c r="T947">
        <f>_xll.ciqfunctions.udf.CIQ(A947, "IQ_VALUE_TRADED", F947)</f>
        <v>0</v>
      </c>
    </row>
    <row r="948" spans="1:20" x14ac:dyDescent="0.3">
      <c r="A948" t="s">
        <v>556</v>
      </c>
      <c r="B948" s="2">
        <v>1.4</v>
      </c>
      <c r="C948" t="s">
        <v>2621</v>
      </c>
      <c r="D948" t="s">
        <v>2622</v>
      </c>
      <c r="E948" t="s">
        <v>89</v>
      </c>
      <c r="F948" s="1">
        <v>45418</v>
      </c>
      <c r="G948" t="s">
        <v>2623</v>
      </c>
      <c r="H948">
        <v>17</v>
      </c>
      <c r="I948">
        <f>_xll.ciqfunctions.udf.CIQ(A948, "IQ_MARKETCAP", F948)</f>
        <v>16.490600000000001</v>
      </c>
      <c r="J948">
        <f>_xll.ciqfunctions.udf.CIQ(A948, "IQ_PRICE_VOL_HIST_6MTH", F948)</f>
        <v>67.2</v>
      </c>
      <c r="K948">
        <f>_xll.ciqfunctions.udf.CIQ(A948, "IQ_LASTSALEPRICE", WORKDAY(F948,-1))</f>
        <v>1.1299999999999999</v>
      </c>
      <c r="L948">
        <f>_xll.ciqfunctions.udf.CIQ(A948, "IQ_LASTSALEPRICE", F948)</f>
        <v>1.4</v>
      </c>
      <c r="M948">
        <f>_xll.ciqfunctions.udf.CIQ(A948, "IQ_LASTSALEPRICE", WORKDAY(F948,5))</f>
        <v>1.82</v>
      </c>
      <c r="N948">
        <f t="shared" si="28"/>
        <v>0.21425460389696366</v>
      </c>
      <c r="O948">
        <f t="shared" si="29"/>
        <v>0.47661886836445494</v>
      </c>
      <c r="P948">
        <f>LN(_xll.ciqfunctions.udf.CIQ("XBI", "IQ_LASTSALEPRICE", WORKDAY(F948,-1))/_xll.ciqfunctions.udf.CIQ("XBI", "IQ_LASTSALEPRICE", WORKDAY(F948,1)))</f>
        <v>-4.9886473393625803E-3</v>
      </c>
      <c r="Q948">
        <f>LN(_xll.ciqfunctions.udf.CIQ("XBI", "IQ_LASTSALEPRICE", WORKDAY(F948,-1))/_xll.ciqfunctions.udf.CIQ("XBI", "IQ_LASTSALEPRICE", WORKDAY(F948,5)))</f>
        <v>1.1119760958978979E-3</v>
      </c>
      <c r="R948">
        <f>_xll.ciqfunctions.udf.CIQ(A948, "IQ_SHORT_INTEREST_PERCENT", F948)</f>
        <v>0.95189000000000001</v>
      </c>
      <c r="S948">
        <f>_xll.ciqfunctions.udf.CIQ(A948, "IQ_BETA_1YR_RSQ", F948)</f>
        <v>1.37E-2</v>
      </c>
      <c r="T948">
        <f>_xll.ciqfunctions.udf.CIQ(A948, "IQ_VALUE_TRADED", F948)</f>
        <v>1.4950300000000001</v>
      </c>
    </row>
    <row r="949" spans="1:20" x14ac:dyDescent="0.3">
      <c r="A949" t="s">
        <v>316</v>
      </c>
      <c r="B949" s="2">
        <v>11.2</v>
      </c>
      <c r="C949" t="s">
        <v>2624</v>
      </c>
      <c r="D949" t="s">
        <v>2352</v>
      </c>
      <c r="E949" t="s">
        <v>76</v>
      </c>
      <c r="F949" s="1">
        <v>45418</v>
      </c>
      <c r="G949" t="s">
        <v>2625</v>
      </c>
      <c r="H949">
        <v>68</v>
      </c>
      <c r="I949">
        <f>_xll.ciqfunctions.udf.CIQ(A949, "IQ_MARKETCAP", F949)</f>
        <v>583.34245999999996</v>
      </c>
      <c r="J949">
        <f>_xll.ciqfunctions.udf.CIQ(A949, "IQ_PRICE_VOL_HIST_6MTH", F949)</f>
        <v>182.37960000000001</v>
      </c>
      <c r="K949">
        <f>_xll.ciqfunctions.udf.CIQ(A949, "IQ_LASTSALEPRICE", WORKDAY(F949,-1))</f>
        <v>19.739999999999998</v>
      </c>
      <c r="L949">
        <f>_xll.ciqfunctions.udf.CIQ(A949, "IQ_LASTSALEPRICE", F949)</f>
        <v>11.2</v>
      </c>
      <c r="M949">
        <f>_xll.ciqfunctions.udf.CIQ(A949, "IQ_LASTSALEPRICE", WORKDAY(F949,5))</f>
        <v>12.22</v>
      </c>
      <c r="N949">
        <f t="shared" si="28"/>
        <v>-0.56673325570428656</v>
      </c>
      <c r="O949">
        <f t="shared" si="29"/>
        <v>-0.47957308026188605</v>
      </c>
      <c r="P949">
        <f>LN(_xll.ciqfunctions.udf.CIQ("XBI", "IQ_LASTSALEPRICE", WORKDAY(F949,-1))/_xll.ciqfunctions.udf.CIQ("XBI", "IQ_LASTSALEPRICE", WORKDAY(F949,1)))</f>
        <v>-4.9886473393625803E-3</v>
      </c>
      <c r="Q949">
        <f>LN(_xll.ciqfunctions.udf.CIQ("XBI", "IQ_LASTSALEPRICE", WORKDAY(F949,-1))/_xll.ciqfunctions.udf.CIQ("XBI", "IQ_LASTSALEPRICE", WORKDAY(F949,5)))</f>
        <v>1.1119760958978979E-3</v>
      </c>
      <c r="R949">
        <f>_xll.ciqfunctions.udf.CIQ(A949, "IQ_SHORT_INTEREST_PERCENT", F949)</f>
        <v>12.548999999999999</v>
      </c>
      <c r="S949">
        <f>_xll.ciqfunctions.udf.CIQ(A949, "IQ_BETA_1YR_RSQ", F949)</f>
        <v>4.3810000000000002E-2</v>
      </c>
      <c r="T949">
        <f>_xll.ciqfunctions.udf.CIQ(A949, "IQ_VALUE_TRADED", F949)</f>
        <v>108.1063</v>
      </c>
    </row>
    <row r="950" spans="1:20" x14ac:dyDescent="0.3">
      <c r="A950" t="s">
        <v>72</v>
      </c>
      <c r="B950" s="2">
        <v>0.32</v>
      </c>
      <c r="C950" t="s">
        <v>2626</v>
      </c>
      <c r="D950" t="s">
        <v>2627</v>
      </c>
      <c r="E950" t="s">
        <v>36</v>
      </c>
      <c r="F950" s="1">
        <v>45418</v>
      </c>
      <c r="G950" t="s">
        <v>2628</v>
      </c>
      <c r="H950">
        <v>13</v>
      </c>
      <c r="I950">
        <f>_xll.ciqfunctions.udf.CIQ(A950, "IQ_MARKETCAP", F950)</f>
        <v>20.334230000000002</v>
      </c>
      <c r="J950">
        <f>_xll.ciqfunctions.udf.CIQ(A950, "IQ_PRICE_VOL_HIST_6MTH", F950)</f>
        <v>0</v>
      </c>
      <c r="K950">
        <f>_xll.ciqfunctions.udf.CIQ(A950, "IQ_LASTSALEPRICE", WORKDAY(F950,-1))</f>
        <v>0</v>
      </c>
      <c r="L950">
        <f>_xll.ciqfunctions.udf.CIQ(A950, "IQ_LASTSALEPRICE", F950)</f>
        <v>0</v>
      </c>
      <c r="M950">
        <f>_xll.ciqfunctions.udf.CIQ(A950, "IQ_LASTSALEPRICE", WORKDAY(F950,5))</f>
        <v>0</v>
      </c>
      <c r="N950" t="e">
        <f t="shared" si="28"/>
        <v>#DIV/0!</v>
      </c>
      <c r="O950" t="e">
        <f t="shared" si="29"/>
        <v>#DIV/0!</v>
      </c>
      <c r="P950">
        <f>LN(_xll.ciqfunctions.udf.CIQ("XBI", "IQ_LASTSALEPRICE", WORKDAY(F950,-1))/_xll.ciqfunctions.udf.CIQ("XBI", "IQ_LASTSALEPRICE", WORKDAY(F950,1)))</f>
        <v>-4.9886473393625803E-3</v>
      </c>
      <c r="Q950">
        <f>LN(_xll.ciqfunctions.udf.CIQ("XBI", "IQ_LASTSALEPRICE", WORKDAY(F950,-1))/_xll.ciqfunctions.udf.CIQ("XBI", "IQ_LASTSALEPRICE", WORKDAY(F950,5)))</f>
        <v>1.1119760958978979E-3</v>
      </c>
      <c r="R950">
        <f>_xll.ciqfunctions.udf.CIQ(A950, "IQ_SHORT_INTEREST_PERCENT", F950)</f>
        <v>0</v>
      </c>
      <c r="S950">
        <f>_xll.ciqfunctions.udf.CIQ(A950, "IQ_BETA_1YR_RSQ", F950)</f>
        <v>0</v>
      </c>
      <c r="T950">
        <f>_xll.ciqfunctions.udf.CIQ(A950, "IQ_VALUE_TRADED", F950)</f>
        <v>0</v>
      </c>
    </row>
    <row r="951" spans="1:20" x14ac:dyDescent="0.3">
      <c r="A951" t="s">
        <v>68</v>
      </c>
      <c r="B951" s="2">
        <v>0.42</v>
      </c>
      <c r="C951" t="s">
        <v>69</v>
      </c>
      <c r="D951" t="s">
        <v>70</v>
      </c>
      <c r="E951" t="s">
        <v>36</v>
      </c>
      <c r="F951" s="1">
        <v>45418</v>
      </c>
      <c r="G951" t="s">
        <v>2629</v>
      </c>
      <c r="H951">
        <v>1</v>
      </c>
      <c r="I951">
        <f>_xll.ciqfunctions.udf.CIQ(A951, "IQ_MARKETCAP", F951)</f>
        <v>37.579239999999999</v>
      </c>
      <c r="J951">
        <f>_xll.ciqfunctions.udf.CIQ(A951, "IQ_PRICE_VOL_HIST_6MTH", F951)</f>
        <v>94.348100000000002</v>
      </c>
      <c r="K951">
        <f>_xll.ciqfunctions.udf.CIQ(A951, "IQ_LASTSALEPRICE", WORKDAY(F951,-1))</f>
        <v>39.65</v>
      </c>
      <c r="L951">
        <f>_xll.ciqfunctions.udf.CIQ(A951, "IQ_LASTSALEPRICE", F951)</f>
        <v>41.99</v>
      </c>
      <c r="M951">
        <f>_xll.ciqfunctions.udf.CIQ(A951, "IQ_LASTSALEPRICE", WORKDAY(F951,5))</f>
        <v>34.979999999999997</v>
      </c>
      <c r="N951">
        <f t="shared" si="28"/>
        <v>5.7340546615245062E-2</v>
      </c>
      <c r="O951">
        <f t="shared" si="29"/>
        <v>-0.125314478490401</v>
      </c>
      <c r="P951">
        <f>LN(_xll.ciqfunctions.udf.CIQ("XBI", "IQ_LASTSALEPRICE", WORKDAY(F951,-1))/_xll.ciqfunctions.udf.CIQ("XBI", "IQ_LASTSALEPRICE", WORKDAY(F951,1)))</f>
        <v>-4.9886473393625803E-3</v>
      </c>
      <c r="Q951">
        <f>LN(_xll.ciqfunctions.udf.CIQ("XBI", "IQ_LASTSALEPRICE", WORKDAY(F951,-1))/_xll.ciqfunctions.udf.CIQ("XBI", "IQ_LASTSALEPRICE", WORKDAY(F951,5)))</f>
        <v>1.1119760958978979E-3</v>
      </c>
      <c r="R951">
        <f>_xll.ciqfunctions.udf.CIQ(A951, "IQ_SHORT_INTEREST_PERCENT", F951)</f>
        <v>0.23383000000000001</v>
      </c>
      <c r="S951">
        <f>_xll.ciqfunctions.udf.CIQ(A951, "IQ_BETA_1YR_RSQ", F951)</f>
        <v>9.3729999999999994E-2</v>
      </c>
      <c r="T951">
        <f>_xll.ciqfunctions.udf.CIQ(A951, "IQ_VALUE_TRADED", F951)</f>
        <v>8.3390000000000006E-2</v>
      </c>
    </row>
    <row r="952" spans="1:20" x14ac:dyDescent="0.3">
      <c r="A952" t="s">
        <v>72</v>
      </c>
      <c r="B952" s="2">
        <v>0.32</v>
      </c>
      <c r="C952" t="s">
        <v>69</v>
      </c>
      <c r="D952" t="s">
        <v>70</v>
      </c>
      <c r="E952" t="s">
        <v>36</v>
      </c>
      <c r="F952" s="1">
        <v>45418</v>
      </c>
      <c r="G952" t="s">
        <v>2629</v>
      </c>
      <c r="H952">
        <v>13</v>
      </c>
      <c r="I952">
        <f>_xll.ciqfunctions.udf.CIQ(A952, "IQ_MARKETCAP", F952)</f>
        <v>20.334230000000002</v>
      </c>
      <c r="J952">
        <f>_xll.ciqfunctions.udf.CIQ(A952, "IQ_PRICE_VOL_HIST_6MTH", F952)</f>
        <v>0</v>
      </c>
      <c r="K952">
        <f>_xll.ciqfunctions.udf.CIQ(A952, "IQ_LASTSALEPRICE", WORKDAY(F952,-1))</f>
        <v>0</v>
      </c>
      <c r="L952">
        <f>_xll.ciqfunctions.udf.CIQ(A952, "IQ_LASTSALEPRICE", F952)</f>
        <v>0</v>
      </c>
      <c r="M952">
        <f>_xll.ciqfunctions.udf.CIQ(A952, "IQ_LASTSALEPRICE", WORKDAY(F952,5))</f>
        <v>0</v>
      </c>
      <c r="N952" t="e">
        <f t="shared" si="28"/>
        <v>#DIV/0!</v>
      </c>
      <c r="O952" t="e">
        <f t="shared" si="29"/>
        <v>#DIV/0!</v>
      </c>
      <c r="P952">
        <f>LN(_xll.ciqfunctions.udf.CIQ("XBI", "IQ_LASTSALEPRICE", WORKDAY(F952,-1))/_xll.ciqfunctions.udf.CIQ("XBI", "IQ_LASTSALEPRICE", WORKDAY(F952,1)))</f>
        <v>-4.9886473393625803E-3</v>
      </c>
      <c r="Q952">
        <f>LN(_xll.ciqfunctions.udf.CIQ("XBI", "IQ_LASTSALEPRICE", WORKDAY(F952,-1))/_xll.ciqfunctions.udf.CIQ("XBI", "IQ_LASTSALEPRICE", WORKDAY(F952,5)))</f>
        <v>1.1119760958978979E-3</v>
      </c>
      <c r="R952">
        <f>_xll.ciqfunctions.udf.CIQ(A952, "IQ_SHORT_INTEREST_PERCENT", F952)</f>
        <v>0</v>
      </c>
      <c r="S952">
        <f>_xll.ciqfunctions.udf.CIQ(A952, "IQ_BETA_1YR_RSQ", F952)</f>
        <v>0</v>
      </c>
      <c r="T952">
        <f>_xll.ciqfunctions.udf.CIQ(A952, "IQ_VALUE_TRADED", F952)</f>
        <v>0</v>
      </c>
    </row>
    <row r="953" spans="1:20" x14ac:dyDescent="0.3">
      <c r="A953" t="s">
        <v>99</v>
      </c>
      <c r="B953" s="2">
        <v>4.45</v>
      </c>
      <c r="C953" t="s">
        <v>2630</v>
      </c>
      <c r="D953" t="s">
        <v>2631</v>
      </c>
      <c r="E953" t="s">
        <v>76</v>
      </c>
      <c r="F953" s="1">
        <v>45418</v>
      </c>
      <c r="G953" t="s">
        <v>2632</v>
      </c>
      <c r="H953">
        <v>112</v>
      </c>
      <c r="I953">
        <f>_xll.ciqfunctions.udf.CIQ(A953, "IQ_MARKETCAP", F953)</f>
        <v>368.52229999999997</v>
      </c>
      <c r="J953">
        <f>_xll.ciqfunctions.udf.CIQ(A953, "IQ_PRICE_VOL_HIST_6MTH", F953)</f>
        <v>137.79150000000001</v>
      </c>
      <c r="K953">
        <f>_xll.ciqfunctions.udf.CIQ(A953, "IQ_LASTSALEPRICE", WORKDAY(F953,-1))</f>
        <v>4.9000000000000004</v>
      </c>
      <c r="L953">
        <f>_xll.ciqfunctions.udf.CIQ(A953, "IQ_LASTSALEPRICE", F953)</f>
        <v>4.45</v>
      </c>
      <c r="M953">
        <f>_xll.ciqfunctions.udf.CIQ(A953, "IQ_LASTSALEPRICE", WORKDAY(F953,5))</f>
        <v>4.1900000000000004</v>
      </c>
      <c r="N953">
        <f t="shared" si="28"/>
        <v>-9.6331108938432067E-2</v>
      </c>
      <c r="O953">
        <f t="shared" si="29"/>
        <v>-0.15653447118253452</v>
      </c>
      <c r="P953">
        <f>LN(_xll.ciqfunctions.udf.CIQ("XBI", "IQ_LASTSALEPRICE", WORKDAY(F953,-1))/_xll.ciqfunctions.udf.CIQ("XBI", "IQ_LASTSALEPRICE", WORKDAY(F953,1)))</f>
        <v>-4.9886473393625803E-3</v>
      </c>
      <c r="Q953">
        <f>LN(_xll.ciqfunctions.udf.CIQ("XBI", "IQ_LASTSALEPRICE", WORKDAY(F953,-1))/_xll.ciqfunctions.udf.CIQ("XBI", "IQ_LASTSALEPRICE", WORKDAY(F953,5)))</f>
        <v>1.1119760958978979E-3</v>
      </c>
      <c r="R953">
        <f>_xll.ciqfunctions.udf.CIQ(A953, "IQ_SHORT_INTEREST_PERCENT", F953)</f>
        <v>1.0724400000000001</v>
      </c>
      <c r="S953">
        <f>_xll.ciqfunctions.udf.CIQ(A953, "IQ_BETA_1YR_RSQ", F953)</f>
        <v>2.7009999999999999E-2</v>
      </c>
      <c r="T953">
        <f>_xll.ciqfunctions.udf.CIQ(A953, "IQ_VALUE_TRADED", F953)</f>
        <v>14.9719</v>
      </c>
    </row>
    <row r="954" spans="1:20" x14ac:dyDescent="0.3">
      <c r="A954" t="s">
        <v>312</v>
      </c>
      <c r="B954" s="2">
        <v>2.71</v>
      </c>
      <c r="C954" t="s">
        <v>2633</v>
      </c>
      <c r="D954" t="s">
        <v>2634</v>
      </c>
      <c r="E954" t="s">
        <v>184</v>
      </c>
      <c r="F954" s="1">
        <v>45418</v>
      </c>
      <c r="G954" t="s">
        <v>2635</v>
      </c>
      <c r="H954">
        <v>25</v>
      </c>
      <c r="I954">
        <f>_xll.ciqfunctions.udf.CIQ(A954, "IQ_MARKETCAP", F954)</f>
        <v>38.207990000000002</v>
      </c>
      <c r="J954">
        <f>_xll.ciqfunctions.udf.CIQ(A954, "IQ_PRICE_VOL_HIST_6MTH", F954)</f>
        <v>78.966800000000006</v>
      </c>
      <c r="K954">
        <f>_xll.ciqfunctions.udf.CIQ(A954, "IQ_LASTSALEPRICE", WORKDAY(F954,-1))</f>
        <v>2.62</v>
      </c>
      <c r="L954">
        <f>_xll.ciqfunctions.udf.CIQ(A954, "IQ_LASTSALEPRICE", F954)</f>
        <v>2.71</v>
      </c>
      <c r="M954">
        <f>_xll.ciqfunctions.udf.CIQ(A954, "IQ_LASTSALEPRICE", WORKDAY(F954,5))</f>
        <v>2.83</v>
      </c>
      <c r="N954">
        <f t="shared" si="28"/>
        <v>3.3774317118604048E-2</v>
      </c>
      <c r="O954">
        <f t="shared" si="29"/>
        <v>7.7102393882140838E-2</v>
      </c>
      <c r="P954">
        <f>LN(_xll.ciqfunctions.udf.CIQ("XBI", "IQ_LASTSALEPRICE", WORKDAY(F954,-1))/_xll.ciqfunctions.udf.CIQ("XBI", "IQ_LASTSALEPRICE", WORKDAY(F954,1)))</f>
        <v>-4.9886473393625803E-3</v>
      </c>
      <c r="Q954">
        <f>LN(_xll.ciqfunctions.udf.CIQ("XBI", "IQ_LASTSALEPRICE", WORKDAY(F954,-1))/_xll.ciqfunctions.udf.CIQ("XBI", "IQ_LASTSALEPRICE", WORKDAY(F954,5)))</f>
        <v>1.1119760958978979E-3</v>
      </c>
      <c r="R954">
        <f>_xll.ciqfunctions.udf.CIQ(A954, "IQ_SHORT_INTEREST_PERCENT", F954)</f>
        <v>0.68676000000000004</v>
      </c>
      <c r="S954">
        <f>_xll.ciqfunctions.udf.CIQ(A954, "IQ_BETA_1YR_RSQ", F954)</f>
        <v>0.12469</v>
      </c>
      <c r="T954">
        <f>_xll.ciqfunctions.udf.CIQ(A954, "IQ_VALUE_TRADED", F954)</f>
        <v>9.6879999999999994E-2</v>
      </c>
    </row>
    <row r="955" spans="1:20" x14ac:dyDescent="0.3">
      <c r="A955" t="s">
        <v>2636</v>
      </c>
      <c r="B955" s="2">
        <v>0.52</v>
      </c>
      <c r="C955" t="s">
        <v>2637</v>
      </c>
      <c r="D955" t="s">
        <v>2638</v>
      </c>
      <c r="E955" t="s">
        <v>36</v>
      </c>
      <c r="F955" s="1">
        <v>45418</v>
      </c>
      <c r="G955" t="s">
        <v>2639</v>
      </c>
      <c r="H955">
        <v>1</v>
      </c>
      <c r="I955">
        <f>_xll.ciqfunctions.udf.CIQ(A955, "IQ_MARKETCAP", F955)</f>
        <v>31.79317</v>
      </c>
      <c r="J955">
        <f>_xll.ciqfunctions.udf.CIQ(A955, "IQ_PRICE_VOL_HIST_6MTH", F955)</f>
        <v>299.79500000000002</v>
      </c>
      <c r="K955">
        <f>_xll.ciqfunctions.udf.CIQ(A955, "IQ_LASTSALEPRICE", WORKDAY(F955,-1))</f>
        <v>201.5</v>
      </c>
      <c r="L955">
        <f>_xll.ciqfunctions.udf.CIQ(A955, "IQ_LASTSALEPRICE", F955)</f>
        <v>26.074999999999999</v>
      </c>
      <c r="M955">
        <f>_xll.ciqfunctions.udf.CIQ(A955, "IQ_LASTSALEPRICE", WORKDAY(F955,5))</f>
        <v>18.13</v>
      </c>
      <c r="N955">
        <f t="shared" si="28"/>
        <v>-2.0448123804999017</v>
      </c>
      <c r="O955">
        <f t="shared" si="29"/>
        <v>-2.4082213566199782</v>
      </c>
      <c r="P955">
        <f>LN(_xll.ciqfunctions.udf.CIQ("XBI", "IQ_LASTSALEPRICE", WORKDAY(F955,-1))/_xll.ciqfunctions.udf.CIQ("XBI", "IQ_LASTSALEPRICE", WORKDAY(F955,1)))</f>
        <v>-4.9886473393625803E-3</v>
      </c>
      <c r="Q955">
        <f>LN(_xll.ciqfunctions.udf.CIQ("XBI", "IQ_LASTSALEPRICE", WORKDAY(F955,-1))/_xll.ciqfunctions.udf.CIQ("XBI", "IQ_LASTSALEPRICE", WORKDAY(F955,5)))</f>
        <v>1.1119760958978979E-3</v>
      </c>
      <c r="R955">
        <f>_xll.ciqfunctions.udf.CIQ(A955, "IQ_SHORT_INTEREST_PERCENT", F955)</f>
        <v>0.54713000000000001</v>
      </c>
      <c r="S955">
        <f>_xll.ciqfunctions.udf.CIQ(A955, "IQ_BETA_1YR_RSQ", F955)</f>
        <v>9.6299999999999997E-3</v>
      </c>
      <c r="T955">
        <f>_xll.ciqfunctions.udf.CIQ(A955, "IQ_VALUE_TRADED", F955)</f>
        <v>56.658470000000001</v>
      </c>
    </row>
    <row r="956" spans="1:20" x14ac:dyDescent="0.3">
      <c r="A956" t="s">
        <v>2640</v>
      </c>
      <c r="B956" s="2">
        <v>0.31</v>
      </c>
      <c r="C956" t="s">
        <v>2637</v>
      </c>
      <c r="D956" t="s">
        <v>2638</v>
      </c>
      <c r="E956" t="s">
        <v>36</v>
      </c>
      <c r="F956" s="1">
        <v>45418</v>
      </c>
      <c r="G956" t="s">
        <v>2639</v>
      </c>
      <c r="H956">
        <v>108</v>
      </c>
      <c r="I956">
        <f>_xll.ciqfunctions.udf.CIQ(A956, "IQ_MARKETCAP", F956)</f>
        <v>34.055790000000002</v>
      </c>
      <c r="J956">
        <f>_xll.ciqfunctions.udf.CIQ(A956, "IQ_PRICE_VOL_HIST_6MTH", F956)</f>
        <v>0</v>
      </c>
      <c r="K956">
        <f>_xll.ciqfunctions.udf.CIQ(A956, "IQ_LASTSALEPRICE", WORKDAY(F956,-1))</f>
        <v>0</v>
      </c>
      <c r="L956">
        <f>_xll.ciqfunctions.udf.CIQ(A956, "IQ_LASTSALEPRICE", F956)</f>
        <v>0</v>
      </c>
      <c r="M956">
        <f>_xll.ciqfunctions.udf.CIQ(A956, "IQ_LASTSALEPRICE", WORKDAY(F956,5))</f>
        <v>0</v>
      </c>
      <c r="N956" t="e">
        <f t="shared" si="28"/>
        <v>#DIV/0!</v>
      </c>
      <c r="O956" t="e">
        <f t="shared" si="29"/>
        <v>#DIV/0!</v>
      </c>
      <c r="P956">
        <f>LN(_xll.ciqfunctions.udf.CIQ("XBI", "IQ_LASTSALEPRICE", WORKDAY(F956,-1))/_xll.ciqfunctions.udf.CIQ("XBI", "IQ_LASTSALEPRICE", WORKDAY(F956,1)))</f>
        <v>-4.9886473393625803E-3</v>
      </c>
      <c r="Q956">
        <f>LN(_xll.ciqfunctions.udf.CIQ("XBI", "IQ_LASTSALEPRICE", WORKDAY(F956,-1))/_xll.ciqfunctions.udf.CIQ("XBI", "IQ_LASTSALEPRICE", WORKDAY(F956,5)))</f>
        <v>1.1119760958978979E-3</v>
      </c>
      <c r="R956">
        <f>_xll.ciqfunctions.udf.CIQ(A956, "IQ_SHORT_INTEREST_PERCENT", F956)</f>
        <v>0</v>
      </c>
      <c r="S956">
        <f>_xll.ciqfunctions.udf.CIQ(A956, "IQ_BETA_1YR_RSQ", F956)</f>
        <v>0</v>
      </c>
      <c r="T956">
        <f>_xll.ciqfunctions.udf.CIQ(A956, "IQ_VALUE_TRADED", F956)</f>
        <v>0</v>
      </c>
    </row>
    <row r="957" spans="1:20" x14ac:dyDescent="0.3">
      <c r="A957" t="s">
        <v>2641</v>
      </c>
      <c r="B957" s="2">
        <v>3.17</v>
      </c>
      <c r="C957" t="s">
        <v>2642</v>
      </c>
      <c r="D957" t="s">
        <v>2643</v>
      </c>
      <c r="E957" t="s">
        <v>184</v>
      </c>
      <c r="F957" s="1">
        <v>45418</v>
      </c>
      <c r="G957" t="s">
        <v>2644</v>
      </c>
      <c r="H957">
        <v>58</v>
      </c>
      <c r="I957">
        <f>_xll.ciqfunctions.udf.CIQ(A957, "IQ_MARKETCAP", F957)</f>
        <v>152.49703</v>
      </c>
      <c r="J957">
        <f>_xll.ciqfunctions.udf.CIQ(A957, "IQ_PRICE_VOL_HIST_6MTH", F957)</f>
        <v>136.4554</v>
      </c>
      <c r="K957">
        <f>_xll.ciqfunctions.udf.CIQ(A957, "IQ_LASTSALEPRICE", WORKDAY(F957,-1))</f>
        <v>3.25</v>
      </c>
      <c r="L957">
        <f>_xll.ciqfunctions.udf.CIQ(A957, "IQ_LASTSALEPRICE", F957)</f>
        <v>3.17</v>
      </c>
      <c r="M957">
        <f>_xll.ciqfunctions.udf.CIQ(A957, "IQ_LASTSALEPRICE", WORKDAY(F957,5))</f>
        <v>2.64</v>
      </c>
      <c r="N957">
        <f t="shared" si="28"/>
        <v>-2.4923408452456851E-2</v>
      </c>
      <c r="O957">
        <f t="shared" si="29"/>
        <v>-0.20787607918342121</v>
      </c>
      <c r="P957">
        <f>LN(_xll.ciqfunctions.udf.CIQ("XBI", "IQ_LASTSALEPRICE", WORKDAY(F957,-1))/_xll.ciqfunctions.udf.CIQ("XBI", "IQ_LASTSALEPRICE", WORKDAY(F957,1)))</f>
        <v>-4.9886473393625803E-3</v>
      </c>
      <c r="Q957">
        <f>LN(_xll.ciqfunctions.udf.CIQ("XBI", "IQ_LASTSALEPRICE", WORKDAY(F957,-1))/_xll.ciqfunctions.udf.CIQ("XBI", "IQ_LASTSALEPRICE", WORKDAY(F957,5)))</f>
        <v>1.1119760958978979E-3</v>
      </c>
      <c r="R957">
        <f>_xll.ciqfunctions.udf.CIQ(A957, "IQ_SHORT_INTEREST_PERCENT", F957)</f>
        <v>11.257059999999999</v>
      </c>
      <c r="S957">
        <f>_xll.ciqfunctions.udf.CIQ(A957, "IQ_BETA_1YR_RSQ", F957)</f>
        <v>0.31390000000000001</v>
      </c>
      <c r="T957">
        <f>_xll.ciqfunctions.udf.CIQ(A957, "IQ_VALUE_TRADED", F957)</f>
        <v>1.7773399999999999</v>
      </c>
    </row>
    <row r="958" spans="1:20" x14ac:dyDescent="0.3">
      <c r="A958" t="s">
        <v>2645</v>
      </c>
      <c r="B958" s="2">
        <v>2.46</v>
      </c>
      <c r="C958" t="s">
        <v>2646</v>
      </c>
      <c r="D958" t="s">
        <v>369</v>
      </c>
      <c r="E958" t="s">
        <v>89</v>
      </c>
      <c r="F958" s="1">
        <v>45418</v>
      </c>
      <c r="G958" t="s">
        <v>2647</v>
      </c>
      <c r="H958">
        <v>70</v>
      </c>
      <c r="I958">
        <f>_xll.ciqfunctions.udf.CIQ(A958, "IQ_MARKETCAP", F958)</f>
        <v>171.38971000000001</v>
      </c>
      <c r="J958">
        <f>_xll.ciqfunctions.udf.CIQ(A958, "IQ_PRICE_VOL_HIST_6MTH", F958)</f>
        <v>44.690899999999999</v>
      </c>
      <c r="K958">
        <f>_xll.ciqfunctions.udf.CIQ(A958, "IQ_LASTSALEPRICE", WORKDAY(F958,-1))</f>
        <v>2.4900000000000002</v>
      </c>
      <c r="L958">
        <f>_xll.ciqfunctions.udf.CIQ(A958, "IQ_LASTSALEPRICE", F958)</f>
        <v>2.46</v>
      </c>
      <c r="M958">
        <f>_xll.ciqfunctions.udf.CIQ(A958, "IQ_LASTSALEPRICE", WORKDAY(F958,5))</f>
        <v>2.65</v>
      </c>
      <c r="N958">
        <f t="shared" si="28"/>
        <v>-1.2121360532344963E-2</v>
      </c>
      <c r="O958">
        <f t="shared" si="29"/>
        <v>6.2276929521514507E-2</v>
      </c>
      <c r="P958">
        <f>LN(_xll.ciqfunctions.udf.CIQ("XBI", "IQ_LASTSALEPRICE", WORKDAY(F958,-1))/_xll.ciqfunctions.udf.CIQ("XBI", "IQ_LASTSALEPRICE", WORKDAY(F958,1)))</f>
        <v>-4.9886473393625803E-3</v>
      </c>
      <c r="Q958">
        <f>LN(_xll.ciqfunctions.udf.CIQ("XBI", "IQ_LASTSALEPRICE", WORKDAY(F958,-1))/_xll.ciqfunctions.udf.CIQ("XBI", "IQ_LASTSALEPRICE", WORKDAY(F958,5)))</f>
        <v>1.1119760958978979E-3</v>
      </c>
      <c r="R958">
        <f>_xll.ciqfunctions.udf.CIQ(A958, "IQ_SHORT_INTEREST_PERCENT", F958)</f>
        <v>6.2509999999999996E-2</v>
      </c>
      <c r="S958">
        <f>_xll.ciqfunctions.udf.CIQ(A958, "IQ_BETA_1YR_RSQ", F958)</f>
        <v>1.584E-2</v>
      </c>
      <c r="T958">
        <f>_xll.ciqfunctions.udf.CIQ(A958, "IQ_VALUE_TRADED", F958)</f>
        <v>0.10786</v>
      </c>
    </row>
    <row r="959" spans="1:20" x14ac:dyDescent="0.3">
      <c r="A959" t="s">
        <v>2648</v>
      </c>
      <c r="B959" s="2">
        <v>20.13</v>
      </c>
      <c r="C959" t="s">
        <v>2649</v>
      </c>
      <c r="D959" t="s">
        <v>2650</v>
      </c>
      <c r="E959" t="s">
        <v>76</v>
      </c>
      <c r="F959" s="1">
        <v>45418</v>
      </c>
      <c r="G959" t="s">
        <v>2651</v>
      </c>
      <c r="H959">
        <v>26</v>
      </c>
      <c r="I959">
        <f>_xll.ciqfunctions.udf.CIQ(A959, "IQ_MARKETCAP", F959)</f>
        <v>641.44079999999997</v>
      </c>
      <c r="J959">
        <f>_xll.ciqfunctions.udf.CIQ(A959, "IQ_PRICE_VOL_HIST_6MTH", F959)</f>
        <v>24.877600000000001</v>
      </c>
      <c r="K959">
        <f>_xll.ciqfunctions.udf.CIQ(A959, "IQ_LASTSALEPRICE", WORKDAY(F959,-1))</f>
        <v>5.3</v>
      </c>
      <c r="L959">
        <f>_xll.ciqfunctions.udf.CIQ(A959, "IQ_LASTSALEPRICE", F959)</f>
        <v>5.34</v>
      </c>
      <c r="M959">
        <f>_xll.ciqfunctions.udf.CIQ(A959, "IQ_LASTSALEPRICE", WORKDAY(F959,5))</f>
        <v>5.3</v>
      </c>
      <c r="N959">
        <f t="shared" si="28"/>
        <v>7.518832414027319E-3</v>
      </c>
      <c r="O959">
        <f t="shared" si="29"/>
        <v>0</v>
      </c>
      <c r="P959">
        <f>LN(_xll.ciqfunctions.udf.CIQ("XBI", "IQ_LASTSALEPRICE", WORKDAY(F959,-1))/_xll.ciqfunctions.udf.CIQ("XBI", "IQ_LASTSALEPRICE", WORKDAY(F959,1)))</f>
        <v>-4.9886473393625803E-3</v>
      </c>
      <c r="Q959">
        <f>LN(_xll.ciqfunctions.udf.CIQ("XBI", "IQ_LASTSALEPRICE", WORKDAY(F959,-1))/_xll.ciqfunctions.udf.CIQ("XBI", "IQ_LASTSALEPRICE", WORKDAY(F959,5)))</f>
        <v>1.1119760958978979E-3</v>
      </c>
      <c r="R959">
        <f>_xll.ciqfunctions.udf.CIQ(A959, "IQ_SHORT_INTEREST_PERCENT", F959)</f>
        <v>0</v>
      </c>
      <c r="S959">
        <f>_xll.ciqfunctions.udf.CIQ(A959, "IQ_BETA_1YR_RSQ", F959)</f>
        <v>8.3499999999999998E-3</v>
      </c>
      <c r="T959">
        <f>_xll.ciqfunctions.udf.CIQ(A959, "IQ_VALUE_TRADED", F959)</f>
        <v>4.1390000000000003E-2</v>
      </c>
    </row>
    <row r="960" spans="1:20" x14ac:dyDescent="0.3">
      <c r="A960" t="s">
        <v>2652</v>
      </c>
      <c r="B960" s="2">
        <v>43.3</v>
      </c>
      <c r="C960" t="s">
        <v>2653</v>
      </c>
      <c r="D960" t="s">
        <v>2654</v>
      </c>
      <c r="E960" t="s">
        <v>27</v>
      </c>
      <c r="F960" s="1">
        <v>45418</v>
      </c>
      <c r="G960" t="s">
        <v>2655</v>
      </c>
      <c r="H960">
        <v>32</v>
      </c>
      <c r="I960">
        <f>_xll.ciqfunctions.udf.CIQ(A960, "IQ_MARKETCAP", F960)</f>
        <v>1262.17093</v>
      </c>
      <c r="J960">
        <f>_xll.ciqfunctions.udf.CIQ(A960, "IQ_PRICE_VOL_HIST_6MTH", F960)</f>
        <v>51.336399999999998</v>
      </c>
      <c r="K960">
        <f>_xll.ciqfunctions.udf.CIQ(A960, "IQ_LASTSALEPRICE", WORKDAY(F960,-1))</f>
        <v>43.2</v>
      </c>
      <c r="L960">
        <f>_xll.ciqfunctions.udf.CIQ(A960, "IQ_LASTSALEPRICE", F960)</f>
        <v>43.3</v>
      </c>
      <c r="M960">
        <f>_xll.ciqfunctions.udf.CIQ(A960, "IQ_LASTSALEPRICE", WORKDAY(F960,5))</f>
        <v>41.685000000000002</v>
      </c>
      <c r="N960">
        <f t="shared" si="28"/>
        <v>2.3121397583793788E-3</v>
      </c>
      <c r="O960">
        <f t="shared" si="29"/>
        <v>-3.569914338748794E-2</v>
      </c>
      <c r="P960">
        <f>LN(_xll.ciqfunctions.udf.CIQ("XBI", "IQ_LASTSALEPRICE", WORKDAY(F960,-1))/_xll.ciqfunctions.udf.CIQ("XBI", "IQ_LASTSALEPRICE", WORKDAY(F960,1)))</f>
        <v>-4.9886473393625803E-3</v>
      </c>
      <c r="Q960">
        <f>LN(_xll.ciqfunctions.udf.CIQ("XBI", "IQ_LASTSALEPRICE", WORKDAY(F960,-1))/_xll.ciqfunctions.udf.CIQ("XBI", "IQ_LASTSALEPRICE", WORKDAY(F960,5)))</f>
        <v>1.1119760958978979E-3</v>
      </c>
      <c r="R960">
        <f>_xll.ciqfunctions.udf.CIQ(A960, "IQ_SHORT_INTEREST_PERCENT", F960)</f>
        <v>0.11666</v>
      </c>
      <c r="S960">
        <f>_xll.ciqfunctions.udf.CIQ(A960, "IQ_BETA_1YR_RSQ", F960)</f>
        <v>1.319E-2</v>
      </c>
      <c r="T960">
        <f>_xll.ciqfunctions.udf.CIQ(A960, "IQ_VALUE_TRADED", F960)</f>
        <v>1.54274</v>
      </c>
    </row>
    <row r="961" spans="1:20" x14ac:dyDescent="0.3">
      <c r="A961" t="s">
        <v>42</v>
      </c>
      <c r="B961" t="s">
        <v>43</v>
      </c>
      <c r="C961" t="s">
        <v>2656</v>
      </c>
      <c r="D961" t="s">
        <v>2657</v>
      </c>
      <c r="E961" t="s">
        <v>46</v>
      </c>
      <c r="F961" s="1">
        <v>45418</v>
      </c>
      <c r="G961" t="s">
        <v>2658</v>
      </c>
      <c r="I961">
        <f>_xll.ciqfunctions.udf.CIQ(A961, "IQ_MARKETCAP", F961)</f>
        <v>1424.1886300000001</v>
      </c>
      <c r="J961">
        <f>_xll.ciqfunctions.udf.CIQ(A961, "IQ_PRICE_VOL_HIST_6MTH", F961)</f>
        <v>54.177700000000002</v>
      </c>
      <c r="K961">
        <f>_xll.ciqfunctions.udf.CIQ(A961, "IQ_LASTSALEPRICE", WORKDAY(F961,-1))</f>
        <v>4.4000000000000004</v>
      </c>
      <c r="L961">
        <f>_xll.ciqfunctions.udf.CIQ(A961, "IQ_LASTSALEPRICE", F961)</f>
        <v>4.59</v>
      </c>
      <c r="M961">
        <f>_xll.ciqfunctions.udf.CIQ(A961, "IQ_LASTSALEPRICE", WORKDAY(F961,5))</f>
        <v>4.5</v>
      </c>
      <c r="N961">
        <f t="shared" si="28"/>
        <v>4.2275483148238119E-2</v>
      </c>
      <c r="O961">
        <f t="shared" si="29"/>
        <v>2.2472855852058576E-2</v>
      </c>
      <c r="P961">
        <f>LN(_xll.ciqfunctions.udf.CIQ("XBI", "IQ_LASTSALEPRICE", WORKDAY(F961,-1))/_xll.ciqfunctions.udf.CIQ("XBI", "IQ_LASTSALEPRICE", WORKDAY(F961,1)))</f>
        <v>-4.9886473393625803E-3</v>
      </c>
      <c r="Q961">
        <f>LN(_xll.ciqfunctions.udf.CIQ("XBI", "IQ_LASTSALEPRICE", WORKDAY(F961,-1))/_xll.ciqfunctions.udf.CIQ("XBI", "IQ_LASTSALEPRICE", WORKDAY(F961,5)))</f>
        <v>1.1119760958978979E-3</v>
      </c>
      <c r="R961">
        <f>_xll.ciqfunctions.udf.CIQ(A961, "IQ_SHORT_INTEREST_PERCENT", F961)</f>
        <v>0</v>
      </c>
      <c r="S961">
        <f>_xll.ciqfunctions.udf.CIQ(A961, "IQ_BETA_1YR_RSQ", F961)</f>
        <v>3.7399999999999998E-3</v>
      </c>
      <c r="T961">
        <f>_xll.ciqfunctions.udf.CIQ(A961, "IQ_VALUE_TRADED", F961)</f>
        <v>8.3809999999999996E-2</v>
      </c>
    </row>
    <row r="962" spans="1:20" x14ac:dyDescent="0.3">
      <c r="A962" t="s">
        <v>637</v>
      </c>
      <c r="B962" s="2">
        <v>1.3</v>
      </c>
      <c r="C962" t="s">
        <v>638</v>
      </c>
      <c r="D962" t="s">
        <v>639</v>
      </c>
      <c r="E962" t="s">
        <v>17</v>
      </c>
      <c r="F962" s="1">
        <v>45418</v>
      </c>
      <c r="G962" t="s">
        <v>2659</v>
      </c>
      <c r="H962">
        <v>228</v>
      </c>
      <c r="I962">
        <f>_xll.ciqfunctions.udf.CIQ(A962, "IQ_MARKETCAP", F962)</f>
        <v>245.43759</v>
      </c>
      <c r="J962">
        <f>_xll.ciqfunctions.udf.CIQ(A962, "IQ_PRICE_VOL_HIST_6MTH", F962)</f>
        <v>86.961100000000002</v>
      </c>
      <c r="K962">
        <f>_xll.ciqfunctions.udf.CIQ(A962, "IQ_LASTSALEPRICE", WORKDAY(F962,-1))</f>
        <v>1.06</v>
      </c>
      <c r="L962">
        <f>_xll.ciqfunctions.udf.CIQ(A962, "IQ_LASTSALEPRICE", F962)</f>
        <v>1.3</v>
      </c>
      <c r="M962">
        <f>_xll.ciqfunctions.udf.CIQ(A962, "IQ_LASTSALEPRICE", WORKDAY(F962,5))</f>
        <v>1.0900000000000001</v>
      </c>
      <c r="N962">
        <f t="shared" si="28"/>
        <v>0.20409535634351522</v>
      </c>
      <c r="O962">
        <f t="shared" si="29"/>
        <v>2.7908788117076658E-2</v>
      </c>
      <c r="P962">
        <f>LN(_xll.ciqfunctions.udf.CIQ("XBI", "IQ_LASTSALEPRICE", WORKDAY(F962,-1))/_xll.ciqfunctions.udf.CIQ("XBI", "IQ_LASTSALEPRICE", WORKDAY(F962,1)))</f>
        <v>-4.9886473393625803E-3</v>
      </c>
      <c r="Q962">
        <f>LN(_xll.ciqfunctions.udf.CIQ("XBI", "IQ_LASTSALEPRICE", WORKDAY(F962,-1))/_xll.ciqfunctions.udf.CIQ("XBI", "IQ_LASTSALEPRICE", WORKDAY(F962,5)))</f>
        <v>1.1119760958978979E-3</v>
      </c>
      <c r="R962">
        <f>_xll.ciqfunctions.udf.CIQ(A962, "IQ_SHORT_INTEREST_PERCENT", F962)</f>
        <v>5.6053300000000004</v>
      </c>
      <c r="S962">
        <f>_xll.ciqfunctions.udf.CIQ(A962, "IQ_BETA_1YR_RSQ", F962)</f>
        <v>1.2880000000000001E-2</v>
      </c>
      <c r="T962">
        <f>_xll.ciqfunctions.udf.CIQ(A962, "IQ_VALUE_TRADED", F962)</f>
        <v>5.3341799999999999</v>
      </c>
    </row>
    <row r="963" spans="1:20" x14ac:dyDescent="0.3">
      <c r="A963" t="s">
        <v>2009</v>
      </c>
      <c r="B963" s="2">
        <v>20.34</v>
      </c>
      <c r="C963" t="s">
        <v>2010</v>
      </c>
      <c r="D963" t="s">
        <v>2011</v>
      </c>
      <c r="E963" t="s">
        <v>76</v>
      </c>
      <c r="F963" s="1">
        <v>45418</v>
      </c>
      <c r="G963" t="s">
        <v>2660</v>
      </c>
      <c r="H963">
        <v>105</v>
      </c>
      <c r="I963">
        <f>_xll.ciqfunctions.udf.CIQ(A963, "IQ_MARKETCAP", F963)</f>
        <v>1899.9690800000001</v>
      </c>
      <c r="J963">
        <f>_xll.ciqfunctions.udf.CIQ(A963, "IQ_PRICE_VOL_HIST_6MTH", F963)</f>
        <v>90.782700000000006</v>
      </c>
      <c r="K963">
        <f>_xll.ciqfunctions.udf.CIQ(A963, "IQ_LASTSALEPRICE", WORKDAY(F963,-1))</f>
        <v>19.52</v>
      </c>
      <c r="L963">
        <f>_xll.ciqfunctions.udf.CIQ(A963, "IQ_LASTSALEPRICE", F963)</f>
        <v>20.34</v>
      </c>
      <c r="M963">
        <f>_xll.ciqfunctions.udf.CIQ(A963, "IQ_LASTSALEPRICE", WORKDAY(F963,5))</f>
        <v>17.48</v>
      </c>
      <c r="N963">
        <f t="shared" ref="N963:N1026" si="30">LN(L963/K963)</f>
        <v>4.1149809635467494E-2</v>
      </c>
      <c r="O963">
        <f t="shared" ref="O963:O1026" si="31">LN(M963/K963)</f>
        <v>-0.11038221075755694</v>
      </c>
      <c r="P963">
        <f>LN(_xll.ciqfunctions.udf.CIQ("XBI", "IQ_LASTSALEPRICE", WORKDAY(F963,-1))/_xll.ciqfunctions.udf.CIQ("XBI", "IQ_LASTSALEPRICE", WORKDAY(F963,1)))</f>
        <v>-4.9886473393625803E-3</v>
      </c>
      <c r="Q963">
        <f>LN(_xll.ciqfunctions.udf.CIQ("XBI", "IQ_LASTSALEPRICE", WORKDAY(F963,-1))/_xll.ciqfunctions.udf.CIQ("XBI", "IQ_LASTSALEPRICE", WORKDAY(F963,5)))</f>
        <v>1.1119760958978979E-3</v>
      </c>
      <c r="R963">
        <f>_xll.ciqfunctions.udf.CIQ(A963, "IQ_SHORT_INTEREST_PERCENT", F963)</f>
        <v>6.1689600000000002</v>
      </c>
      <c r="S963">
        <f>_xll.ciqfunctions.udf.CIQ(A963, "IQ_BETA_1YR_RSQ", F963)</f>
        <v>4.9169999999999998E-2</v>
      </c>
      <c r="T963">
        <f>_xll.ciqfunctions.udf.CIQ(A963, "IQ_VALUE_TRADED", F963)</f>
        <v>11.94772</v>
      </c>
    </row>
    <row r="964" spans="1:20" x14ac:dyDescent="0.3">
      <c r="A964" t="s">
        <v>117</v>
      </c>
      <c r="B964" s="2">
        <v>43.88</v>
      </c>
      <c r="C964" t="s">
        <v>2661</v>
      </c>
      <c r="D964" t="s">
        <v>2662</v>
      </c>
      <c r="E964" t="s">
        <v>36</v>
      </c>
      <c r="F964" s="1">
        <v>45418</v>
      </c>
      <c r="G964" t="s">
        <v>2663</v>
      </c>
      <c r="H964">
        <v>66</v>
      </c>
      <c r="I964">
        <f>_xll.ciqfunctions.udf.CIQ(A964, "IQ_MARKETCAP", F964)</f>
        <v>2675.49125</v>
      </c>
      <c r="J964">
        <f>_xll.ciqfunctions.udf.CIQ(A964, "IQ_PRICE_VOL_HIST_6MTH", F964)</f>
        <v>60.589199999999998</v>
      </c>
      <c r="K964">
        <f>_xll.ciqfunctions.udf.CIQ(A964, "IQ_LASTSALEPRICE", WORKDAY(F964,-1))</f>
        <v>43.76</v>
      </c>
      <c r="L964">
        <f>_xll.ciqfunctions.udf.CIQ(A964, "IQ_LASTSALEPRICE", F964)</f>
        <v>43.88</v>
      </c>
      <c r="M964">
        <f>_xll.ciqfunctions.udf.CIQ(A964, "IQ_LASTSALEPRICE", WORKDAY(F964,5))</f>
        <v>40.200000000000003</v>
      </c>
      <c r="N964">
        <f t="shared" si="30"/>
        <v>2.7384772933037706E-3</v>
      </c>
      <c r="O964">
        <f t="shared" si="31"/>
        <v>-8.4853162488750258E-2</v>
      </c>
      <c r="P964">
        <f>LN(_xll.ciqfunctions.udf.CIQ("XBI", "IQ_LASTSALEPRICE", WORKDAY(F964,-1))/_xll.ciqfunctions.udf.CIQ("XBI", "IQ_LASTSALEPRICE", WORKDAY(F964,1)))</f>
        <v>-4.9886473393625803E-3</v>
      </c>
      <c r="Q964">
        <f>LN(_xll.ciqfunctions.udf.CIQ("XBI", "IQ_LASTSALEPRICE", WORKDAY(F964,-1))/_xll.ciqfunctions.udf.CIQ("XBI", "IQ_LASTSALEPRICE", WORKDAY(F964,5)))</f>
        <v>1.1119760958978979E-3</v>
      </c>
      <c r="R964">
        <f>_xll.ciqfunctions.udf.CIQ(A964, "IQ_SHORT_INTEREST_PERCENT", F964)</f>
        <v>16.728629999999999</v>
      </c>
      <c r="S964">
        <f>_xll.ciqfunctions.udf.CIQ(A964, "IQ_BETA_1YR_RSQ", F964)</f>
        <v>0.16875999999999999</v>
      </c>
      <c r="T964">
        <f>_xll.ciqfunctions.udf.CIQ(A964, "IQ_VALUE_TRADED", F964)</f>
        <v>43.110520000000001</v>
      </c>
    </row>
    <row r="965" spans="1:20" x14ac:dyDescent="0.3">
      <c r="A965" t="s">
        <v>2032</v>
      </c>
      <c r="B965" s="2">
        <v>47.34</v>
      </c>
      <c r="C965" t="s">
        <v>2664</v>
      </c>
      <c r="D965" t="s">
        <v>2665</v>
      </c>
      <c r="E965" t="s">
        <v>11</v>
      </c>
      <c r="F965" s="1">
        <v>45418</v>
      </c>
      <c r="G965" t="s">
        <v>2666</v>
      </c>
      <c r="H965">
        <v>75</v>
      </c>
      <c r="I965">
        <f>_xll.ciqfunctions.udf.CIQ(A965, "IQ_MARKETCAP", F965)</f>
        <v>2778.2686600000002</v>
      </c>
      <c r="J965">
        <f>_xll.ciqfunctions.udf.CIQ(A965, "IQ_PRICE_VOL_HIST_6MTH", F965)</f>
        <v>49.837499999999999</v>
      </c>
      <c r="K965">
        <f>_xll.ciqfunctions.udf.CIQ(A965, "IQ_LASTSALEPRICE", WORKDAY(F965,-1))</f>
        <v>48.36</v>
      </c>
      <c r="L965">
        <f>_xll.ciqfunctions.udf.CIQ(A965, "IQ_LASTSALEPRICE", F965)</f>
        <v>47.34</v>
      </c>
      <c r="M965">
        <f>_xll.ciqfunctions.udf.CIQ(A965, "IQ_LASTSALEPRICE", WORKDAY(F965,5))</f>
        <v>45.85</v>
      </c>
      <c r="N965">
        <f t="shared" si="30"/>
        <v>-2.1317421660753968E-2</v>
      </c>
      <c r="O965">
        <f t="shared" si="31"/>
        <v>-5.3297827044118028E-2</v>
      </c>
      <c r="P965">
        <f>LN(_xll.ciqfunctions.udf.CIQ("XBI", "IQ_LASTSALEPRICE", WORKDAY(F965,-1))/_xll.ciqfunctions.udf.CIQ("XBI", "IQ_LASTSALEPRICE", WORKDAY(F965,1)))</f>
        <v>-4.9886473393625803E-3</v>
      </c>
      <c r="Q965">
        <f>LN(_xll.ciqfunctions.udf.CIQ("XBI", "IQ_LASTSALEPRICE", WORKDAY(F965,-1))/_xll.ciqfunctions.udf.CIQ("XBI", "IQ_LASTSALEPRICE", WORKDAY(F965,5)))</f>
        <v>1.1119760958978979E-3</v>
      </c>
      <c r="R965">
        <f>_xll.ciqfunctions.udf.CIQ(A965, "IQ_SHORT_INTEREST_PERCENT", F965)</f>
        <v>5.6065500000000004</v>
      </c>
      <c r="S965">
        <f>_xll.ciqfunctions.udf.CIQ(A965, "IQ_BETA_1YR_RSQ", F965)</f>
        <v>0.35682999999999998</v>
      </c>
      <c r="T965">
        <f>_xll.ciqfunctions.udf.CIQ(A965, "IQ_VALUE_TRADED", F965)</f>
        <v>24.539159999999999</v>
      </c>
    </row>
    <row r="966" spans="1:20" x14ac:dyDescent="0.3">
      <c r="A966" t="s">
        <v>2036</v>
      </c>
      <c r="B966" t="s">
        <v>43</v>
      </c>
      <c r="C966" t="s">
        <v>2664</v>
      </c>
      <c r="D966" t="s">
        <v>2665</v>
      </c>
      <c r="E966" t="s">
        <v>11</v>
      </c>
      <c r="F966" s="1">
        <v>45418</v>
      </c>
      <c r="G966" t="s">
        <v>2666</v>
      </c>
      <c r="H966">
        <v>661</v>
      </c>
      <c r="I966">
        <f>_xll.ciqfunctions.udf.CIQ(A966, "IQ_MARKETCAP", F966)</f>
        <v>129426.96926</v>
      </c>
      <c r="J966">
        <f>_xll.ciqfunctions.udf.CIQ(A966, "IQ_PRICE_VOL_HIST_6MTH", F966)</f>
        <v>33.011000000000003</v>
      </c>
      <c r="K966">
        <f>_xll.ciqfunctions.udf.CIQ(A966, "IQ_LASTSALEPRICE", WORKDAY(F966,-1))</f>
        <v>2061</v>
      </c>
      <c r="L966">
        <f>_xll.ciqfunctions.udf.CIQ(A966, "IQ_LASTSALEPRICE", F966)</f>
        <v>2004</v>
      </c>
      <c r="M966">
        <f>_xll.ciqfunctions.udf.CIQ(A966, "IQ_LASTSALEPRICE", WORKDAY(F966,5))</f>
        <v>1990</v>
      </c>
      <c r="N966">
        <f t="shared" si="30"/>
        <v>-2.8046118685703603E-2</v>
      </c>
      <c r="O966">
        <f t="shared" si="31"/>
        <v>-3.5056663171920945E-2</v>
      </c>
      <c r="P966">
        <f>LN(_xll.ciqfunctions.udf.CIQ("XBI", "IQ_LASTSALEPRICE", WORKDAY(F966,-1))/_xll.ciqfunctions.udf.CIQ("XBI", "IQ_LASTSALEPRICE", WORKDAY(F966,1)))</f>
        <v>-4.9886473393625803E-3</v>
      </c>
      <c r="Q966">
        <f>LN(_xll.ciqfunctions.udf.CIQ("XBI", "IQ_LASTSALEPRICE", WORKDAY(F966,-1))/_xll.ciqfunctions.udf.CIQ("XBI", "IQ_LASTSALEPRICE", WORKDAY(F966,5)))</f>
        <v>1.1119760958978979E-3</v>
      </c>
      <c r="R966">
        <f>_xll.ciqfunctions.udf.CIQ(A966, "IQ_SHORT_INTEREST_PERCENT", F966)</f>
        <v>0</v>
      </c>
      <c r="S966">
        <f>_xll.ciqfunctions.udf.CIQ(A966, "IQ_BETA_1YR_RSQ", F966)</f>
        <v>8.2189999999999999E-2</v>
      </c>
      <c r="T966">
        <f>_xll.ciqfunctions.udf.CIQ(A966, "IQ_VALUE_TRADED", F966)</f>
        <v>207.93704</v>
      </c>
    </row>
    <row r="967" spans="1:20" x14ac:dyDescent="0.3">
      <c r="A967" t="s">
        <v>883</v>
      </c>
      <c r="B967" s="2">
        <v>10.57</v>
      </c>
      <c r="C967" t="s">
        <v>1941</v>
      </c>
      <c r="D967" t="s">
        <v>1942</v>
      </c>
      <c r="E967" t="s">
        <v>17</v>
      </c>
      <c r="F967" s="1">
        <v>45419</v>
      </c>
      <c r="G967" t="s">
        <v>2667</v>
      </c>
      <c r="H967">
        <v>11</v>
      </c>
      <c r="I967">
        <f>_xll.ciqfunctions.udf.CIQ(A967, "IQ_MARKETCAP", F967)</f>
        <v>73.104650000000007</v>
      </c>
      <c r="J967">
        <f>_xll.ciqfunctions.udf.CIQ(A967, "IQ_PRICE_VOL_HIST_6MTH", F967)</f>
        <v>96.574399999999997</v>
      </c>
      <c r="K967">
        <f>_xll.ciqfunctions.udf.CIQ(A967, "IQ_LASTSALEPRICE", WORKDAY(F967,-1))</f>
        <v>10.66</v>
      </c>
      <c r="L967">
        <f>_xll.ciqfunctions.udf.CIQ(A967, "IQ_LASTSALEPRICE", F967)</f>
        <v>10.57</v>
      </c>
      <c r="M967">
        <f>_xll.ciqfunctions.udf.CIQ(A967, "IQ_LASTSALEPRICE", WORKDAY(F967,5))</f>
        <v>11.62</v>
      </c>
      <c r="N967">
        <f t="shared" si="30"/>
        <v>-8.4786188555522318E-3</v>
      </c>
      <c r="O967">
        <f t="shared" si="31"/>
        <v>8.622933268606657E-2</v>
      </c>
      <c r="P967">
        <f>LN(_xll.ciqfunctions.udf.CIQ("XBI", "IQ_LASTSALEPRICE", WORKDAY(F967,-1))/_xll.ciqfunctions.udf.CIQ("XBI", "IQ_LASTSALEPRICE", WORKDAY(F967,1)))</f>
        <v>1.6361876503439447E-2</v>
      </c>
      <c r="Q967">
        <f>LN(_xll.ciqfunctions.udf.CIQ("XBI", "IQ_LASTSALEPRICE", WORKDAY(F967,-1))/_xll.ciqfunctions.udf.CIQ("XBI", "IQ_LASTSALEPRICE", WORKDAY(F967,5)))</f>
        <v>-2.2055589002517848E-3</v>
      </c>
      <c r="R967">
        <f>_xll.ciqfunctions.udf.CIQ(A967, "IQ_SHORT_INTEREST_PERCENT", F967)</f>
        <v>5.0557400000000001</v>
      </c>
      <c r="S967">
        <f>_xll.ciqfunctions.udf.CIQ(A967, "IQ_BETA_1YR_RSQ", F967)</f>
        <v>0.24687999999999999</v>
      </c>
      <c r="T967">
        <f>_xll.ciqfunctions.udf.CIQ(A967, "IQ_VALUE_TRADED", F967)</f>
        <v>0.35132999999999998</v>
      </c>
    </row>
    <row r="968" spans="1:20" x14ac:dyDescent="0.3">
      <c r="A968" t="s">
        <v>2668</v>
      </c>
      <c r="B968" s="2">
        <v>4.7300000000000004</v>
      </c>
      <c r="C968" t="s">
        <v>2669</v>
      </c>
      <c r="D968" t="s">
        <v>2670</v>
      </c>
      <c r="E968" t="s">
        <v>76</v>
      </c>
      <c r="F968" s="1">
        <v>45419</v>
      </c>
      <c r="G968" t="s">
        <v>2671</v>
      </c>
      <c r="H968">
        <v>109</v>
      </c>
      <c r="I968">
        <f>_xll.ciqfunctions.udf.CIQ(A968, "IQ_MARKETCAP", F968)</f>
        <v>431.09870000000001</v>
      </c>
      <c r="J968">
        <f>_xll.ciqfunctions.udf.CIQ(A968, "IQ_PRICE_VOL_HIST_6MTH", F968)</f>
        <v>97.673299999999998</v>
      </c>
      <c r="K968">
        <f>_xll.ciqfunctions.udf.CIQ(A968, "IQ_LASTSALEPRICE", WORKDAY(F968,-1))</f>
        <v>4.8099999999999996</v>
      </c>
      <c r="L968">
        <f>_xll.ciqfunctions.udf.CIQ(A968, "IQ_LASTSALEPRICE", F968)</f>
        <v>4.7300000000000004</v>
      </c>
      <c r="M968">
        <f>_xll.ciqfunctions.udf.CIQ(A968, "IQ_LASTSALEPRICE", WORKDAY(F968,5))</f>
        <v>4.82</v>
      </c>
      <c r="N968">
        <f t="shared" si="30"/>
        <v>-1.6771881613827987E-2</v>
      </c>
      <c r="O968">
        <f t="shared" si="31"/>
        <v>2.0768439448392907E-3</v>
      </c>
      <c r="P968">
        <f>LN(_xll.ciqfunctions.udf.CIQ("XBI", "IQ_LASTSALEPRICE", WORKDAY(F968,-1))/_xll.ciqfunctions.udf.CIQ("XBI", "IQ_LASTSALEPRICE", WORKDAY(F968,1)))</f>
        <v>1.6361876503439447E-2</v>
      </c>
      <c r="Q968">
        <f>LN(_xll.ciqfunctions.udf.CIQ("XBI", "IQ_LASTSALEPRICE", WORKDAY(F968,-1))/_xll.ciqfunctions.udf.CIQ("XBI", "IQ_LASTSALEPRICE", WORKDAY(F968,5)))</f>
        <v>-2.2055589002517848E-3</v>
      </c>
      <c r="R968">
        <f>_xll.ciqfunctions.udf.CIQ(A968, "IQ_SHORT_INTEREST_PERCENT", F968)</f>
        <v>4.5446999999999997</v>
      </c>
      <c r="S968">
        <f>_xll.ciqfunctions.udf.CIQ(A968, "IQ_BETA_1YR_RSQ", F968)</f>
        <v>5.2720000000000003E-2</v>
      </c>
      <c r="T968">
        <f>_xll.ciqfunctions.udf.CIQ(A968, "IQ_VALUE_TRADED", F968)</f>
        <v>11.04964</v>
      </c>
    </row>
    <row r="969" spans="1:20" x14ac:dyDescent="0.3">
      <c r="A969" t="s">
        <v>733</v>
      </c>
      <c r="B969" s="2">
        <v>16.850000000000001</v>
      </c>
      <c r="C969" t="s">
        <v>2672</v>
      </c>
      <c r="D969" t="s">
        <v>1572</v>
      </c>
      <c r="E969" t="s">
        <v>76</v>
      </c>
      <c r="F969" s="1">
        <v>45419</v>
      </c>
      <c r="G969" t="s">
        <v>2673</v>
      </c>
      <c r="H969">
        <v>146</v>
      </c>
      <c r="I969">
        <f>_xll.ciqfunctions.udf.CIQ(A969, "IQ_MARKETCAP", F969)</f>
        <v>2402.9622599999998</v>
      </c>
      <c r="J969">
        <f>_xll.ciqfunctions.udf.CIQ(A969, "IQ_PRICE_VOL_HIST_6MTH", F969)</f>
        <v>80.393000000000001</v>
      </c>
      <c r="K969">
        <f>_xll.ciqfunctions.udf.CIQ(A969, "IQ_LASTSALEPRICE", WORKDAY(F969,-1))</f>
        <v>17.14</v>
      </c>
      <c r="L969">
        <f>_xll.ciqfunctions.udf.CIQ(A969, "IQ_LASTSALEPRICE", F969)</f>
        <v>16.850000000000001</v>
      </c>
      <c r="M969">
        <f>_xll.ciqfunctions.udf.CIQ(A969, "IQ_LASTSALEPRICE", WORKDAY(F969,5))</f>
        <v>19.75</v>
      </c>
      <c r="N969">
        <f t="shared" si="30"/>
        <v>-1.7064256371262913E-2</v>
      </c>
      <c r="O969">
        <f t="shared" si="31"/>
        <v>0.14173857817749716</v>
      </c>
      <c r="P969">
        <f>LN(_xll.ciqfunctions.udf.CIQ("XBI", "IQ_LASTSALEPRICE", WORKDAY(F969,-1))/_xll.ciqfunctions.udf.CIQ("XBI", "IQ_LASTSALEPRICE", WORKDAY(F969,1)))</f>
        <v>1.6361876503439447E-2</v>
      </c>
      <c r="Q969">
        <f>LN(_xll.ciqfunctions.udf.CIQ("XBI", "IQ_LASTSALEPRICE", WORKDAY(F969,-1))/_xll.ciqfunctions.udf.CIQ("XBI", "IQ_LASTSALEPRICE", WORKDAY(F969,5)))</f>
        <v>-2.2055589002517848E-3</v>
      </c>
      <c r="R969">
        <f>_xll.ciqfunctions.udf.CIQ(A969, "IQ_SHORT_INTEREST_PERCENT", F969)</f>
        <v>6.7146600000000003</v>
      </c>
      <c r="S969">
        <f>_xll.ciqfunctions.udf.CIQ(A969, "IQ_BETA_1YR_RSQ", F969)</f>
        <v>0.23383000000000001</v>
      </c>
      <c r="T969">
        <f>_xll.ciqfunctions.udf.CIQ(A969, "IQ_VALUE_TRADED", F969)</f>
        <v>18.52346</v>
      </c>
    </row>
    <row r="970" spans="1:20" x14ac:dyDescent="0.3">
      <c r="A970" t="s">
        <v>2674</v>
      </c>
      <c r="B970" s="2">
        <v>2.2599999999999998</v>
      </c>
      <c r="C970" t="s">
        <v>2675</v>
      </c>
      <c r="D970" t="s">
        <v>2676</v>
      </c>
      <c r="E970" t="s">
        <v>46</v>
      </c>
      <c r="F970" s="1">
        <v>45419</v>
      </c>
      <c r="G970" t="s">
        <v>2677</v>
      </c>
      <c r="H970">
        <v>59</v>
      </c>
      <c r="I970">
        <f>_xll.ciqfunctions.udf.CIQ(A970, "IQ_MARKETCAP", F970)</f>
        <v>56.077669999999998</v>
      </c>
      <c r="J970">
        <f>_xll.ciqfunctions.udf.CIQ(A970, "IQ_PRICE_VOL_HIST_6MTH", F970)</f>
        <v>76.829099999999997</v>
      </c>
      <c r="K970">
        <f>_xll.ciqfunctions.udf.CIQ(A970, "IQ_LASTSALEPRICE", WORKDAY(F970,-1))</f>
        <v>2.44</v>
      </c>
      <c r="L970">
        <f>_xll.ciqfunctions.udf.CIQ(A970, "IQ_LASTSALEPRICE", F970)</f>
        <v>2.2599999999999998</v>
      </c>
      <c r="M970">
        <f>_xll.ciqfunctions.udf.CIQ(A970, "IQ_LASTSALEPRICE", WORKDAY(F970,5))</f>
        <v>2.34</v>
      </c>
      <c r="N970">
        <f t="shared" si="30"/>
        <v>-7.6633226020916073E-2</v>
      </c>
      <c r="O970">
        <f t="shared" si="31"/>
        <v>-4.184710993550049E-2</v>
      </c>
      <c r="P970">
        <f>LN(_xll.ciqfunctions.udf.CIQ("XBI", "IQ_LASTSALEPRICE", WORKDAY(F970,-1))/_xll.ciqfunctions.udf.CIQ("XBI", "IQ_LASTSALEPRICE", WORKDAY(F970,1)))</f>
        <v>1.6361876503439447E-2</v>
      </c>
      <c r="Q970">
        <f>LN(_xll.ciqfunctions.udf.CIQ("XBI", "IQ_LASTSALEPRICE", WORKDAY(F970,-1))/_xll.ciqfunctions.udf.CIQ("XBI", "IQ_LASTSALEPRICE", WORKDAY(F970,5)))</f>
        <v>-2.2055589002517848E-3</v>
      </c>
      <c r="R970">
        <f>_xll.ciqfunctions.udf.CIQ(A970, "IQ_SHORT_INTEREST_PERCENT", F970)</f>
        <v>0.12547</v>
      </c>
      <c r="S970">
        <f>_xll.ciqfunctions.udf.CIQ(A970, "IQ_BETA_1YR_RSQ", F970)</f>
        <v>1.205E-2</v>
      </c>
      <c r="T970">
        <f>_xll.ciqfunctions.udf.CIQ(A970, "IQ_VALUE_TRADED", F970)</f>
        <v>5.7242100000000002</v>
      </c>
    </row>
    <row r="971" spans="1:20" x14ac:dyDescent="0.3">
      <c r="A971" t="s">
        <v>1297</v>
      </c>
      <c r="B971" s="2">
        <v>3.3</v>
      </c>
      <c r="C971" t="s">
        <v>1388</v>
      </c>
      <c r="D971" t="s">
        <v>1389</v>
      </c>
      <c r="E971" t="s">
        <v>76</v>
      </c>
      <c r="F971" s="1">
        <v>45419</v>
      </c>
      <c r="G971" t="s">
        <v>2678</v>
      </c>
      <c r="H971">
        <v>2</v>
      </c>
      <c r="I971" t="str">
        <f>_xll.ciqfunctions.udf.CIQ(A971, "IQ_MARKETCAP", F971)</f>
        <v>(Invalid Identifier)</v>
      </c>
      <c r="J971" t="str">
        <f>_xll.ciqfunctions.udf.CIQ(A971, "IQ_PRICE_VOL_HIST_6MTH", F971)</f>
        <v>(Invalid Identifier)</v>
      </c>
      <c r="K971" t="str">
        <f>_xll.ciqfunctions.udf.CIQ(A971, "IQ_LASTSALEPRICE", WORKDAY(F971,-1))</f>
        <v>(Invalid Identifier)</v>
      </c>
      <c r="L971" t="str">
        <f>_xll.ciqfunctions.udf.CIQ(A971, "IQ_LASTSALEPRICE", F971)</f>
        <v>(Invalid Identifier)</v>
      </c>
      <c r="M971" t="str">
        <f>_xll.ciqfunctions.udf.CIQ(A971, "IQ_LASTSALEPRICE", WORKDAY(F971,5))</f>
        <v>(Invalid Identifier)</v>
      </c>
      <c r="N971" t="e">
        <f t="shared" si="30"/>
        <v>#VALUE!</v>
      </c>
      <c r="O971" t="e">
        <f t="shared" si="31"/>
        <v>#VALUE!</v>
      </c>
      <c r="P971">
        <f>LN(_xll.ciqfunctions.udf.CIQ("XBI", "IQ_LASTSALEPRICE", WORKDAY(F971,-1))/_xll.ciqfunctions.udf.CIQ("XBI", "IQ_LASTSALEPRICE", WORKDAY(F971,1)))</f>
        <v>1.6361876503439447E-2</v>
      </c>
      <c r="Q971">
        <f>LN(_xll.ciqfunctions.udf.CIQ("XBI", "IQ_LASTSALEPRICE", WORKDAY(F971,-1))/_xll.ciqfunctions.udf.CIQ("XBI", "IQ_LASTSALEPRICE", WORKDAY(F971,5)))</f>
        <v>-2.2055589002517848E-3</v>
      </c>
      <c r="R971" t="str">
        <f>_xll.ciqfunctions.udf.CIQ(A971, "IQ_SHORT_INTEREST_PERCENT", F971)</f>
        <v>(Invalid Identifier)</v>
      </c>
      <c r="S971" t="str">
        <f>_xll.ciqfunctions.udf.CIQ(A971, "IQ_BETA_1YR_RSQ", F971)</f>
        <v>(Invalid Identifier)</v>
      </c>
      <c r="T971" t="str">
        <f>_xll.ciqfunctions.udf.CIQ(A971, "IQ_VALUE_TRADED", F971)</f>
        <v>(Invalid Identifier)</v>
      </c>
    </row>
    <row r="972" spans="1:20" x14ac:dyDescent="0.3">
      <c r="A972" t="s">
        <v>1678</v>
      </c>
      <c r="B972" s="2">
        <v>5.09</v>
      </c>
      <c r="C972" t="s">
        <v>1679</v>
      </c>
      <c r="D972" t="s">
        <v>1680</v>
      </c>
      <c r="E972" t="s">
        <v>17</v>
      </c>
      <c r="F972" s="1">
        <v>45419</v>
      </c>
      <c r="G972" t="s">
        <v>2679</v>
      </c>
      <c r="H972">
        <v>30</v>
      </c>
      <c r="I972">
        <f>_xll.ciqfunctions.udf.CIQ(A972, "IQ_MARKETCAP", F972)</f>
        <v>11.33806</v>
      </c>
      <c r="J972">
        <f>_xll.ciqfunctions.udf.CIQ(A972, "IQ_PRICE_VOL_HIST_6MTH", F972)</f>
        <v>97.556299999999993</v>
      </c>
      <c r="K972">
        <f>_xll.ciqfunctions.udf.CIQ(A972, "IQ_LASTSALEPRICE", WORKDAY(F972,-1))</f>
        <v>5.04</v>
      </c>
      <c r="L972">
        <f>_xll.ciqfunctions.udf.CIQ(A972, "IQ_LASTSALEPRICE", F972)</f>
        <v>5.09</v>
      </c>
      <c r="M972">
        <f>_xll.ciqfunctions.udf.CIQ(A972, "IQ_LASTSALEPRICE", WORKDAY(F972,5))</f>
        <v>4.8499999999999996</v>
      </c>
      <c r="N972">
        <f t="shared" si="30"/>
        <v>9.871748479154091E-3</v>
      </c>
      <c r="O972">
        <f t="shared" si="31"/>
        <v>-3.8427377133885512E-2</v>
      </c>
      <c r="P972">
        <f>LN(_xll.ciqfunctions.udf.CIQ("XBI", "IQ_LASTSALEPRICE", WORKDAY(F972,-1))/_xll.ciqfunctions.udf.CIQ("XBI", "IQ_LASTSALEPRICE", WORKDAY(F972,1)))</f>
        <v>1.6361876503439447E-2</v>
      </c>
      <c r="Q972">
        <f>LN(_xll.ciqfunctions.udf.CIQ("XBI", "IQ_LASTSALEPRICE", WORKDAY(F972,-1))/_xll.ciqfunctions.udf.CIQ("XBI", "IQ_LASTSALEPRICE", WORKDAY(F972,5)))</f>
        <v>-2.2055589002517848E-3</v>
      </c>
      <c r="R972">
        <f>_xll.ciqfunctions.udf.CIQ(A972, "IQ_SHORT_INTEREST_PERCENT", F972)</f>
        <v>1.1974800000000001</v>
      </c>
      <c r="S972">
        <f>_xll.ciqfunctions.udf.CIQ(A972, "IQ_BETA_1YR_RSQ", F972)</f>
        <v>2.3279999999999999E-2</v>
      </c>
      <c r="T972">
        <f>_xll.ciqfunctions.udf.CIQ(A972, "IQ_VALUE_TRADED", F972)</f>
        <v>0.51504000000000005</v>
      </c>
    </row>
    <row r="973" spans="1:20" x14ac:dyDescent="0.3">
      <c r="A973" t="s">
        <v>1004</v>
      </c>
      <c r="B973" s="2">
        <v>1.29</v>
      </c>
      <c r="C973" t="s">
        <v>1005</v>
      </c>
      <c r="D973" t="s">
        <v>758</v>
      </c>
      <c r="E973" t="s">
        <v>197</v>
      </c>
      <c r="F973" s="1">
        <v>45419</v>
      </c>
      <c r="G973" t="s">
        <v>2680</v>
      </c>
      <c r="H973">
        <v>23</v>
      </c>
      <c r="I973">
        <f>_xll.ciqfunctions.udf.CIQ(A973, "IQ_MARKETCAP", F973)</f>
        <v>22.360910000000001</v>
      </c>
      <c r="J973">
        <f>_xll.ciqfunctions.udf.CIQ(A973, "IQ_PRICE_VOL_HIST_6MTH", F973)</f>
        <v>137.88</v>
      </c>
      <c r="K973">
        <f>_xll.ciqfunctions.udf.CIQ(A973, "IQ_LASTSALEPRICE", WORKDAY(F973,-1))</f>
        <v>1.27</v>
      </c>
      <c r="L973">
        <f>_xll.ciqfunctions.udf.CIQ(A973, "IQ_LASTSALEPRICE", F973)</f>
        <v>1.29</v>
      </c>
      <c r="M973">
        <f>_xll.ciqfunctions.udf.CIQ(A973, "IQ_LASTSALEPRICE", WORKDAY(F973,5))</f>
        <v>1.1200000000000001</v>
      </c>
      <c r="N973">
        <f t="shared" si="30"/>
        <v>1.5625317903080815E-2</v>
      </c>
      <c r="O973">
        <f t="shared" si="31"/>
        <v>-0.12568821516349662</v>
      </c>
      <c r="P973">
        <f>LN(_xll.ciqfunctions.udf.CIQ("XBI", "IQ_LASTSALEPRICE", WORKDAY(F973,-1))/_xll.ciqfunctions.udf.CIQ("XBI", "IQ_LASTSALEPRICE", WORKDAY(F973,1)))</f>
        <v>1.6361876503439447E-2</v>
      </c>
      <c r="Q973">
        <f>LN(_xll.ciqfunctions.udf.CIQ("XBI", "IQ_LASTSALEPRICE", WORKDAY(F973,-1))/_xll.ciqfunctions.udf.CIQ("XBI", "IQ_LASTSALEPRICE", WORKDAY(F973,5)))</f>
        <v>-2.2055589002517848E-3</v>
      </c>
      <c r="R973">
        <f>_xll.ciqfunctions.udf.CIQ(A973, "IQ_SHORT_INTEREST_PERCENT", F973)</f>
        <v>0.51005</v>
      </c>
      <c r="S973">
        <f>_xll.ciqfunctions.udf.CIQ(A973, "IQ_BETA_1YR_RSQ", F973)</f>
        <v>9.6780000000000005E-2</v>
      </c>
      <c r="T973">
        <f>_xll.ciqfunctions.udf.CIQ(A973, "IQ_VALUE_TRADED", F973)</f>
        <v>0.52436000000000005</v>
      </c>
    </row>
    <row r="974" spans="1:20" x14ac:dyDescent="0.3">
      <c r="A974" t="s">
        <v>385</v>
      </c>
      <c r="B974" s="2">
        <v>955.76</v>
      </c>
      <c r="C974" t="s">
        <v>2681</v>
      </c>
      <c r="D974" t="s">
        <v>2682</v>
      </c>
      <c r="E974" t="s">
        <v>17</v>
      </c>
      <c r="F974" s="1">
        <v>45420</v>
      </c>
      <c r="G974" t="s">
        <v>2683</v>
      </c>
      <c r="H974">
        <v>105</v>
      </c>
      <c r="I974">
        <f>_xll.ciqfunctions.udf.CIQ(A974, "IQ_MARKETCAP", F974)</f>
        <v>103112.64835</v>
      </c>
      <c r="J974">
        <f>_xll.ciqfunctions.udf.CIQ(A974, "IQ_PRICE_VOL_HIST_6MTH", F974)</f>
        <v>17.021000000000001</v>
      </c>
      <c r="K974">
        <f>_xll.ciqfunctions.udf.CIQ(A974, "IQ_LASTSALEPRICE", WORKDAY(F974,-1))</f>
        <v>969.97</v>
      </c>
      <c r="L974">
        <f>_xll.ciqfunctions.udf.CIQ(A974, "IQ_LASTSALEPRICE", F974)</f>
        <v>955.76</v>
      </c>
      <c r="M974">
        <f>_xll.ciqfunctions.udf.CIQ(A974, "IQ_LASTSALEPRICE", WORKDAY(F974,5))</f>
        <v>978.21</v>
      </c>
      <c r="N974">
        <f t="shared" si="30"/>
        <v>-1.4758307675133352E-2</v>
      </c>
      <c r="O974">
        <f t="shared" si="31"/>
        <v>8.4592277272132824E-3</v>
      </c>
      <c r="P974">
        <f>LN(_xll.ciqfunctions.udf.CIQ("XBI", "IQ_LASTSALEPRICE", WORKDAY(F974,-1))/_xll.ciqfunctions.udf.CIQ("XBI", "IQ_LASTSALEPRICE", WORKDAY(F974,1)))</f>
        <v>1.6164445374493061E-2</v>
      </c>
      <c r="Q974">
        <f>LN(_xll.ciqfunctions.udf.CIQ("XBI", "IQ_LASTSALEPRICE", WORKDAY(F974,-1))/_xll.ciqfunctions.udf.CIQ("XBI", "IQ_LASTSALEPRICE", WORKDAY(F974,5)))</f>
        <v>-2.3821056429788802E-2</v>
      </c>
      <c r="R974">
        <f>_xll.ciqfunctions.udf.CIQ(A974, "IQ_SHORT_INTEREST_PERCENT", F974)</f>
        <v>1.28576</v>
      </c>
      <c r="S974">
        <f>_xll.ciqfunctions.udf.CIQ(A974, "IQ_BETA_1YR_RSQ", F974)</f>
        <v>9.3160000000000007E-2</v>
      </c>
      <c r="T974">
        <f>_xll.ciqfunctions.udf.CIQ(A974, "IQ_VALUE_TRADED", F974)</f>
        <v>406.12632000000002</v>
      </c>
    </row>
    <row r="975" spans="1:20" x14ac:dyDescent="0.3">
      <c r="A975" t="s">
        <v>2684</v>
      </c>
      <c r="B975" s="2">
        <v>8.57</v>
      </c>
      <c r="C975" t="s">
        <v>2685</v>
      </c>
      <c r="D975" t="s">
        <v>2522</v>
      </c>
      <c r="E975" t="s">
        <v>89</v>
      </c>
      <c r="F975" s="1">
        <v>45420</v>
      </c>
      <c r="G975" t="s">
        <v>2686</v>
      </c>
      <c r="H975">
        <v>55</v>
      </c>
      <c r="I975">
        <f>_xll.ciqfunctions.udf.CIQ(A975, "IQ_MARKETCAP", F975)</f>
        <v>466.10804000000002</v>
      </c>
      <c r="J975">
        <f>_xll.ciqfunctions.udf.CIQ(A975, "IQ_PRICE_VOL_HIST_6MTH", F975)</f>
        <v>69.736099999999993</v>
      </c>
      <c r="K975">
        <f>_xll.ciqfunctions.udf.CIQ(A975, "IQ_LASTSALEPRICE", WORKDAY(F975,-1))</f>
        <v>8.77</v>
      </c>
      <c r="L975">
        <f>_xll.ciqfunctions.udf.CIQ(A975, "IQ_LASTSALEPRICE", F975)</f>
        <v>8.57</v>
      </c>
      <c r="M975">
        <f>_xll.ciqfunctions.udf.CIQ(A975, "IQ_LASTSALEPRICE", WORKDAY(F975,5))</f>
        <v>8.57</v>
      </c>
      <c r="N975">
        <f t="shared" si="30"/>
        <v>-2.3069073774403124E-2</v>
      </c>
      <c r="O975">
        <f t="shared" si="31"/>
        <v>-2.3069073774403124E-2</v>
      </c>
      <c r="P975">
        <f>LN(_xll.ciqfunctions.udf.CIQ("XBI", "IQ_LASTSALEPRICE", WORKDAY(F975,-1))/_xll.ciqfunctions.udf.CIQ("XBI", "IQ_LASTSALEPRICE", WORKDAY(F975,1)))</f>
        <v>1.6164445374493061E-2</v>
      </c>
      <c r="Q975">
        <f>LN(_xll.ciqfunctions.udf.CIQ("XBI", "IQ_LASTSALEPRICE", WORKDAY(F975,-1))/_xll.ciqfunctions.udf.CIQ("XBI", "IQ_LASTSALEPRICE", WORKDAY(F975,5)))</f>
        <v>-2.3821056429788802E-2</v>
      </c>
      <c r="R975">
        <f>_xll.ciqfunctions.udf.CIQ(A975, "IQ_SHORT_INTEREST_PERCENT", F975)</f>
        <v>6.3663999999999996</v>
      </c>
      <c r="S975">
        <f>_xll.ciqfunctions.udf.CIQ(A975, "IQ_BETA_1YR_RSQ", F975)</f>
        <v>6.6049999999999998E-2</v>
      </c>
      <c r="T975">
        <f>_xll.ciqfunctions.udf.CIQ(A975, "IQ_VALUE_TRADED", F975)</f>
        <v>3.3358599999999998</v>
      </c>
    </row>
    <row r="976" spans="1:20" x14ac:dyDescent="0.3">
      <c r="A976" t="s">
        <v>106</v>
      </c>
      <c r="B976" s="2">
        <v>4.07</v>
      </c>
      <c r="C976" t="s">
        <v>2687</v>
      </c>
      <c r="D976" t="s">
        <v>296</v>
      </c>
      <c r="E976" t="s">
        <v>36</v>
      </c>
      <c r="F976" s="1">
        <v>45420</v>
      </c>
      <c r="G976" t="s">
        <v>2688</v>
      </c>
      <c r="H976">
        <v>59</v>
      </c>
      <c r="I976">
        <f>_xll.ciqfunctions.udf.CIQ(A976, "IQ_MARKETCAP", F976)</f>
        <v>241.81697</v>
      </c>
      <c r="J976">
        <f>_xll.ciqfunctions.udf.CIQ(A976, "IQ_PRICE_VOL_HIST_6MTH", F976)</f>
        <v>79.880700000000004</v>
      </c>
      <c r="K976">
        <f>_xll.ciqfunctions.udf.CIQ(A976, "IQ_LASTSALEPRICE", WORKDAY(F976,-1))</f>
        <v>4.17</v>
      </c>
      <c r="L976">
        <f>_xll.ciqfunctions.udf.CIQ(A976, "IQ_LASTSALEPRICE", F976)</f>
        <v>4.07</v>
      </c>
      <c r="M976">
        <f>_xll.ciqfunctions.udf.CIQ(A976, "IQ_LASTSALEPRICE", WORKDAY(F976,5))</f>
        <v>4.17</v>
      </c>
      <c r="N976">
        <f t="shared" si="30"/>
        <v>-2.427303635620642E-2</v>
      </c>
      <c r="O976">
        <f t="shared" si="31"/>
        <v>0</v>
      </c>
      <c r="P976">
        <f>LN(_xll.ciqfunctions.udf.CIQ("XBI", "IQ_LASTSALEPRICE", WORKDAY(F976,-1))/_xll.ciqfunctions.udf.CIQ("XBI", "IQ_LASTSALEPRICE", WORKDAY(F976,1)))</f>
        <v>1.6164445374493061E-2</v>
      </c>
      <c r="Q976">
        <f>LN(_xll.ciqfunctions.udf.CIQ("XBI", "IQ_LASTSALEPRICE", WORKDAY(F976,-1))/_xll.ciqfunctions.udf.CIQ("XBI", "IQ_LASTSALEPRICE", WORKDAY(F976,5)))</f>
        <v>-2.3821056429788802E-2</v>
      </c>
      <c r="R976">
        <f>_xll.ciqfunctions.udf.CIQ(A976, "IQ_SHORT_INTEREST_PERCENT", F976)</f>
        <v>3.9741200000000001</v>
      </c>
      <c r="S976">
        <f>_xll.ciqfunctions.udf.CIQ(A976, "IQ_BETA_1YR_RSQ", F976)</f>
        <v>0.24598</v>
      </c>
      <c r="T976">
        <f>_xll.ciqfunctions.udf.CIQ(A976, "IQ_VALUE_TRADED", F976)</f>
        <v>0.83035999999999999</v>
      </c>
    </row>
    <row r="977" spans="1:20" x14ac:dyDescent="0.3">
      <c r="A977" t="s">
        <v>519</v>
      </c>
      <c r="B977" s="2">
        <v>65.27</v>
      </c>
      <c r="C977" t="s">
        <v>2689</v>
      </c>
      <c r="D977" t="s">
        <v>2690</v>
      </c>
      <c r="E977" t="s">
        <v>22</v>
      </c>
      <c r="F977" s="1">
        <v>45420</v>
      </c>
      <c r="G977" t="s">
        <v>2691</v>
      </c>
      <c r="H977">
        <v>119</v>
      </c>
      <c r="I977">
        <f>_xll.ciqfunctions.udf.CIQ(A977, "IQ_MARKETCAP", F977)</f>
        <v>6838.5963000000002</v>
      </c>
      <c r="J977">
        <f>_xll.ciqfunctions.udf.CIQ(A977, "IQ_PRICE_VOL_HIST_6MTH", F977)</f>
        <v>107.0368</v>
      </c>
      <c r="K977">
        <f>_xll.ciqfunctions.udf.CIQ(A977, "IQ_LASTSALEPRICE", WORKDAY(F977,-1))</f>
        <v>65.28</v>
      </c>
      <c r="L977">
        <f>_xll.ciqfunctions.udf.CIQ(A977, "IQ_LASTSALEPRICE", F977)</f>
        <v>65.27</v>
      </c>
      <c r="M977">
        <f>_xll.ciqfunctions.udf.CIQ(A977, "IQ_LASTSALEPRICE", WORKDAY(F977,5))</f>
        <v>60.5</v>
      </c>
      <c r="N977">
        <f t="shared" si="30"/>
        <v>-1.5319800872559824E-4</v>
      </c>
      <c r="O977">
        <f t="shared" si="31"/>
        <v>-7.6042345619055804E-2</v>
      </c>
      <c r="P977">
        <f>LN(_xll.ciqfunctions.udf.CIQ("XBI", "IQ_LASTSALEPRICE", WORKDAY(F977,-1))/_xll.ciqfunctions.udf.CIQ("XBI", "IQ_LASTSALEPRICE", WORKDAY(F977,1)))</f>
        <v>1.6164445374493061E-2</v>
      </c>
      <c r="Q977">
        <f>LN(_xll.ciqfunctions.udf.CIQ("XBI", "IQ_LASTSALEPRICE", WORKDAY(F977,-1))/_xll.ciqfunctions.udf.CIQ("XBI", "IQ_LASTSALEPRICE", WORKDAY(F977,5)))</f>
        <v>-2.3821056429788802E-2</v>
      </c>
      <c r="R977">
        <f>_xll.ciqfunctions.udf.CIQ(A977, "IQ_SHORT_INTEREST_PERCENT", F977)</f>
        <v>13.402609999999999</v>
      </c>
      <c r="S977">
        <f>_xll.ciqfunctions.udf.CIQ(A977, "IQ_BETA_1YR_RSQ", F977)</f>
        <v>8.0700000000000008E-3</v>
      </c>
      <c r="T977">
        <f>_xll.ciqfunctions.udf.CIQ(A977, "IQ_VALUE_TRADED", F977)</f>
        <v>76.666929999999994</v>
      </c>
    </row>
    <row r="978" spans="1:20" x14ac:dyDescent="0.3">
      <c r="A978" t="s">
        <v>52</v>
      </c>
      <c r="B978" s="2">
        <v>15.74</v>
      </c>
      <c r="C978" t="s">
        <v>2692</v>
      </c>
      <c r="D978" t="s">
        <v>1086</v>
      </c>
      <c r="E978" t="s">
        <v>36</v>
      </c>
      <c r="F978" s="1">
        <v>45420</v>
      </c>
      <c r="G978" t="s">
        <v>2693</v>
      </c>
      <c r="I978">
        <f>_xll.ciqfunctions.udf.CIQ(A978, "IQ_MARKETCAP", F978)</f>
        <v>17827.762999999999</v>
      </c>
      <c r="J978">
        <f>_xll.ciqfunctions.udf.CIQ(A978, "IQ_PRICE_VOL_HIST_6MTH", F978)</f>
        <v>34.517800000000001</v>
      </c>
      <c r="K978">
        <f>_xll.ciqfunctions.udf.CIQ(A978, "IQ_LASTSALEPRICE", WORKDAY(F978,-1))</f>
        <v>13.95</v>
      </c>
      <c r="L978">
        <f>_xll.ciqfunctions.udf.CIQ(A978, "IQ_LASTSALEPRICE", F978)</f>
        <v>15.74</v>
      </c>
      <c r="M978">
        <f>_xll.ciqfunctions.udf.CIQ(A978, "IQ_LASTSALEPRICE", WORKDAY(F978,5))</f>
        <v>16.78</v>
      </c>
      <c r="N978">
        <f t="shared" si="30"/>
        <v>0.12072573472188268</v>
      </c>
      <c r="O978">
        <f t="shared" si="31"/>
        <v>0.18470819277168563</v>
      </c>
      <c r="P978">
        <f>LN(_xll.ciqfunctions.udf.CIQ("XBI", "IQ_LASTSALEPRICE", WORKDAY(F978,-1))/_xll.ciqfunctions.udf.CIQ("XBI", "IQ_LASTSALEPRICE", WORKDAY(F978,1)))</f>
        <v>1.6164445374493061E-2</v>
      </c>
      <c r="Q978">
        <f>LN(_xll.ciqfunctions.udf.CIQ("XBI", "IQ_LASTSALEPRICE", WORKDAY(F978,-1))/_xll.ciqfunctions.udf.CIQ("XBI", "IQ_LASTSALEPRICE", WORKDAY(F978,5)))</f>
        <v>-2.3821056429788802E-2</v>
      </c>
      <c r="R978">
        <f>_xll.ciqfunctions.udf.CIQ(A978, "IQ_SHORT_INTEREST_PERCENT", F978)</f>
        <v>1.02911</v>
      </c>
      <c r="S978">
        <f>_xll.ciqfunctions.udf.CIQ(A978, "IQ_BETA_1YR_RSQ", F978)</f>
        <v>5.2069999999999998E-2</v>
      </c>
      <c r="T978">
        <f>_xll.ciqfunctions.udf.CIQ(A978, "IQ_VALUE_TRADED", F978)</f>
        <v>605.95613000000003</v>
      </c>
    </row>
    <row r="979" spans="1:20" x14ac:dyDescent="0.3">
      <c r="A979" t="s">
        <v>519</v>
      </c>
      <c r="B979" s="2">
        <v>65.27</v>
      </c>
      <c r="C979" t="s">
        <v>2694</v>
      </c>
      <c r="D979" t="s">
        <v>2695</v>
      </c>
      <c r="E979" t="s">
        <v>36</v>
      </c>
      <c r="F979" s="1">
        <v>45420</v>
      </c>
      <c r="G979" t="s">
        <v>2696</v>
      </c>
      <c r="H979">
        <v>119</v>
      </c>
      <c r="I979">
        <f>_xll.ciqfunctions.udf.CIQ(A979, "IQ_MARKETCAP", F979)</f>
        <v>6838.5963000000002</v>
      </c>
      <c r="J979">
        <f>_xll.ciqfunctions.udf.CIQ(A979, "IQ_PRICE_VOL_HIST_6MTH", F979)</f>
        <v>107.0368</v>
      </c>
      <c r="K979">
        <f>_xll.ciqfunctions.udf.CIQ(A979, "IQ_LASTSALEPRICE", WORKDAY(F979,-1))</f>
        <v>65.28</v>
      </c>
      <c r="L979">
        <f>_xll.ciqfunctions.udf.CIQ(A979, "IQ_LASTSALEPRICE", F979)</f>
        <v>65.27</v>
      </c>
      <c r="M979">
        <f>_xll.ciqfunctions.udf.CIQ(A979, "IQ_LASTSALEPRICE", WORKDAY(F979,5))</f>
        <v>60.5</v>
      </c>
      <c r="N979">
        <f t="shared" si="30"/>
        <v>-1.5319800872559824E-4</v>
      </c>
      <c r="O979">
        <f t="shared" si="31"/>
        <v>-7.6042345619055804E-2</v>
      </c>
      <c r="P979">
        <f>LN(_xll.ciqfunctions.udf.CIQ("XBI", "IQ_LASTSALEPRICE", WORKDAY(F979,-1))/_xll.ciqfunctions.udf.CIQ("XBI", "IQ_LASTSALEPRICE", WORKDAY(F979,1)))</f>
        <v>1.6164445374493061E-2</v>
      </c>
      <c r="Q979">
        <f>LN(_xll.ciqfunctions.udf.CIQ("XBI", "IQ_LASTSALEPRICE", WORKDAY(F979,-1))/_xll.ciqfunctions.udf.CIQ("XBI", "IQ_LASTSALEPRICE", WORKDAY(F979,5)))</f>
        <v>-2.3821056429788802E-2</v>
      </c>
      <c r="R979">
        <f>_xll.ciqfunctions.udf.CIQ(A979, "IQ_SHORT_INTEREST_PERCENT", F979)</f>
        <v>13.402609999999999</v>
      </c>
      <c r="S979">
        <f>_xll.ciqfunctions.udf.CIQ(A979, "IQ_BETA_1YR_RSQ", F979)</f>
        <v>8.0700000000000008E-3</v>
      </c>
      <c r="T979">
        <f>_xll.ciqfunctions.udf.CIQ(A979, "IQ_VALUE_TRADED", F979)</f>
        <v>76.666929999999994</v>
      </c>
    </row>
    <row r="980" spans="1:20" x14ac:dyDescent="0.3">
      <c r="A980" t="s">
        <v>2512</v>
      </c>
      <c r="B980" s="2">
        <v>5.36</v>
      </c>
      <c r="C980" t="s">
        <v>2513</v>
      </c>
      <c r="D980" t="s">
        <v>2514</v>
      </c>
      <c r="E980" t="s">
        <v>89</v>
      </c>
      <c r="F980" s="1">
        <v>45420</v>
      </c>
      <c r="G980" t="s">
        <v>2697</v>
      </c>
      <c r="H980">
        <v>134</v>
      </c>
      <c r="I980">
        <f>_xll.ciqfunctions.udf.CIQ(A980, "IQ_MARKETCAP", F980)</f>
        <v>617.96950000000004</v>
      </c>
      <c r="J980">
        <f>_xll.ciqfunctions.udf.CIQ(A980, "IQ_PRICE_VOL_HIST_6MTH", F980)</f>
        <v>83.583699999999993</v>
      </c>
      <c r="K980">
        <f>_xll.ciqfunctions.udf.CIQ(A980, "IQ_LASTSALEPRICE", WORKDAY(F980,-1))</f>
        <v>5.57</v>
      </c>
      <c r="L980">
        <f>_xll.ciqfunctions.udf.CIQ(A980, "IQ_LASTSALEPRICE", F980)</f>
        <v>5.36</v>
      </c>
      <c r="M980">
        <f>_xll.ciqfunctions.udf.CIQ(A980, "IQ_LASTSALEPRICE", WORKDAY(F980,5))</f>
        <v>6.76</v>
      </c>
      <c r="N980">
        <f t="shared" si="30"/>
        <v>-3.8431078856482039E-2</v>
      </c>
      <c r="O980">
        <f t="shared" si="31"/>
        <v>0.19362783611568002</v>
      </c>
      <c r="P980">
        <f>LN(_xll.ciqfunctions.udf.CIQ("XBI", "IQ_LASTSALEPRICE", WORKDAY(F980,-1))/_xll.ciqfunctions.udf.CIQ("XBI", "IQ_LASTSALEPRICE", WORKDAY(F980,1)))</f>
        <v>1.6164445374493061E-2</v>
      </c>
      <c r="Q980">
        <f>LN(_xll.ciqfunctions.udf.CIQ("XBI", "IQ_LASTSALEPRICE", WORKDAY(F980,-1))/_xll.ciqfunctions.udf.CIQ("XBI", "IQ_LASTSALEPRICE", WORKDAY(F980,5)))</f>
        <v>-2.3821056429788802E-2</v>
      </c>
      <c r="R980">
        <f>_xll.ciqfunctions.udf.CIQ(A980, "IQ_SHORT_INTEREST_PERCENT", F980)</f>
        <v>8.8588699999999996</v>
      </c>
      <c r="S980">
        <f>_xll.ciqfunctions.udf.CIQ(A980, "IQ_BETA_1YR_RSQ", F980)</f>
        <v>0.21129999999999999</v>
      </c>
      <c r="T980">
        <f>_xll.ciqfunctions.udf.CIQ(A980, "IQ_VALUE_TRADED", F980)</f>
        <v>3.45228</v>
      </c>
    </row>
    <row r="981" spans="1:20" x14ac:dyDescent="0.3">
      <c r="A981" t="s">
        <v>488</v>
      </c>
      <c r="B981" s="2">
        <v>772.64</v>
      </c>
      <c r="C981" t="s">
        <v>2698</v>
      </c>
      <c r="D981" t="s">
        <v>2699</v>
      </c>
      <c r="E981" t="s">
        <v>46</v>
      </c>
      <c r="F981" s="1">
        <v>45420</v>
      </c>
      <c r="G981" t="s">
        <v>2700</v>
      </c>
      <c r="H981">
        <v>946</v>
      </c>
      <c r="I981">
        <f>_xll.ciqfunctions.udf.CIQ(A981, "IQ_MARKETCAP", F981)</f>
        <v>697814.17414999998</v>
      </c>
      <c r="J981">
        <f>_xll.ciqfunctions.udf.CIQ(A981, "IQ_PRICE_VOL_HIST_6MTH", F981)</f>
        <v>27.301500000000001</v>
      </c>
      <c r="K981">
        <f>_xll.ciqfunctions.udf.CIQ(A981, "IQ_LASTSALEPRICE", WORKDAY(F981,-1))</f>
        <v>777.77</v>
      </c>
      <c r="L981">
        <f>_xll.ciqfunctions.udf.CIQ(A981, "IQ_LASTSALEPRICE", F981)</f>
        <v>775</v>
      </c>
      <c r="M981">
        <f>_xll.ciqfunctions.udf.CIQ(A981, "IQ_LASTSALEPRICE", WORKDAY(F981,5))</f>
        <v>787.02</v>
      </c>
      <c r="N981">
        <f t="shared" si="30"/>
        <v>-3.5678212978836089E-3</v>
      </c>
      <c r="O981">
        <f t="shared" si="31"/>
        <v>1.1822810403878671E-2</v>
      </c>
      <c r="P981">
        <f>LN(_xll.ciqfunctions.udf.CIQ("XBI", "IQ_LASTSALEPRICE", WORKDAY(F981,-1))/_xll.ciqfunctions.udf.CIQ("XBI", "IQ_LASTSALEPRICE", WORKDAY(F981,1)))</f>
        <v>1.6164445374493061E-2</v>
      </c>
      <c r="Q981">
        <f>LN(_xll.ciqfunctions.udf.CIQ("XBI", "IQ_LASTSALEPRICE", WORKDAY(F981,-1))/_xll.ciqfunctions.udf.CIQ("XBI", "IQ_LASTSALEPRICE", WORKDAY(F981,5)))</f>
        <v>-2.3821056429788802E-2</v>
      </c>
      <c r="R981">
        <f>_xll.ciqfunctions.udf.CIQ(A981, "IQ_SHORT_INTEREST_PERCENT", F981)</f>
        <v>0.61482000000000003</v>
      </c>
      <c r="S981">
        <f>_xll.ciqfunctions.udf.CIQ(A981, "IQ_BETA_1YR_RSQ", F981)</f>
        <v>2.8549999999999999E-2</v>
      </c>
      <c r="T981">
        <f>_xll.ciqfunctions.udf.CIQ(A981, "IQ_VALUE_TRADED", F981)</f>
        <v>1619.69885</v>
      </c>
    </row>
    <row r="982" spans="1:20" x14ac:dyDescent="0.3">
      <c r="A982" t="s">
        <v>1872</v>
      </c>
      <c r="B982" s="2">
        <v>6.08</v>
      </c>
      <c r="C982" t="s">
        <v>2698</v>
      </c>
      <c r="D982" t="s">
        <v>2699</v>
      </c>
      <c r="E982" t="s">
        <v>46</v>
      </c>
      <c r="F982" s="1">
        <v>45420</v>
      </c>
      <c r="G982" t="s">
        <v>2700</v>
      </c>
      <c r="H982">
        <v>89</v>
      </c>
      <c r="I982">
        <f>_xll.ciqfunctions.udf.CIQ(A982, "IQ_MARKETCAP", F982)</f>
        <v>24058.536260000001</v>
      </c>
      <c r="J982">
        <f>_xll.ciqfunctions.udf.CIQ(A982, "IQ_PRICE_VOL_HIST_6MTH", F982)</f>
        <v>0</v>
      </c>
      <c r="K982">
        <f>_xll.ciqfunctions.udf.CIQ(A982, "IQ_LASTSALEPRICE", WORKDAY(F982,-1))</f>
        <v>0</v>
      </c>
      <c r="L982">
        <f>_xll.ciqfunctions.udf.CIQ(A982, "IQ_LASTSALEPRICE", F982)</f>
        <v>0</v>
      </c>
      <c r="M982">
        <f>_xll.ciqfunctions.udf.CIQ(A982, "IQ_LASTSALEPRICE", WORKDAY(F982,5))</f>
        <v>0</v>
      </c>
      <c r="N982" t="e">
        <f t="shared" si="30"/>
        <v>#DIV/0!</v>
      </c>
      <c r="O982" t="e">
        <f t="shared" si="31"/>
        <v>#DIV/0!</v>
      </c>
      <c r="P982">
        <f>LN(_xll.ciqfunctions.udf.CIQ("XBI", "IQ_LASTSALEPRICE", WORKDAY(F982,-1))/_xll.ciqfunctions.udf.CIQ("XBI", "IQ_LASTSALEPRICE", WORKDAY(F982,1)))</f>
        <v>1.6164445374493061E-2</v>
      </c>
      <c r="Q982">
        <f>LN(_xll.ciqfunctions.udf.CIQ("XBI", "IQ_LASTSALEPRICE", WORKDAY(F982,-1))/_xll.ciqfunctions.udf.CIQ("XBI", "IQ_LASTSALEPRICE", WORKDAY(F982,5)))</f>
        <v>-2.3821056429788802E-2</v>
      </c>
      <c r="R982">
        <f>_xll.ciqfunctions.udf.CIQ(A982, "IQ_SHORT_INTEREST_PERCENT", F982)</f>
        <v>0</v>
      </c>
      <c r="S982">
        <f>_xll.ciqfunctions.udf.CIQ(A982, "IQ_BETA_1YR_RSQ", F982)</f>
        <v>0</v>
      </c>
      <c r="T982">
        <f>_xll.ciqfunctions.udf.CIQ(A982, "IQ_VALUE_TRADED", F982)</f>
        <v>0</v>
      </c>
    </row>
    <row r="983" spans="1:20" x14ac:dyDescent="0.3">
      <c r="A983" t="s">
        <v>1588</v>
      </c>
      <c r="B983" s="2">
        <v>1.39</v>
      </c>
      <c r="C983" t="s">
        <v>2701</v>
      </c>
      <c r="D983" t="s">
        <v>2702</v>
      </c>
      <c r="E983" t="s">
        <v>36</v>
      </c>
      <c r="F983" s="1">
        <v>45420</v>
      </c>
      <c r="G983" t="s">
        <v>2703</v>
      </c>
      <c r="H983">
        <v>6</v>
      </c>
      <c r="I983">
        <f>_xll.ciqfunctions.udf.CIQ(A983, "IQ_MARKETCAP", F983)</f>
        <v>75.031099999999995</v>
      </c>
      <c r="J983">
        <f>_xll.ciqfunctions.udf.CIQ(A983, "IQ_PRICE_VOL_HIST_6MTH", F983)</f>
        <v>95.099199999999996</v>
      </c>
      <c r="K983">
        <f>_xll.ciqfunctions.udf.CIQ(A983, "IQ_LASTSALEPRICE", WORKDAY(F983,-1))</f>
        <v>50.10501</v>
      </c>
      <c r="L983">
        <f>_xll.ciqfunctions.udf.CIQ(A983, "IQ_LASTSALEPRICE", F983)</f>
        <v>41.704169999999998</v>
      </c>
      <c r="M983">
        <f>_xll.ciqfunctions.udf.CIQ(A983, "IQ_LASTSALEPRICE", WORKDAY(F983,5))</f>
        <v>43.204320000000003</v>
      </c>
      <c r="N983">
        <f t="shared" si="30"/>
        <v>-0.18351987928606348</v>
      </c>
      <c r="O983">
        <f t="shared" si="31"/>
        <v>-0.14818051284075445</v>
      </c>
      <c r="P983">
        <f>LN(_xll.ciqfunctions.udf.CIQ("XBI", "IQ_LASTSALEPRICE", WORKDAY(F983,-1))/_xll.ciqfunctions.udf.CIQ("XBI", "IQ_LASTSALEPRICE", WORKDAY(F983,1)))</f>
        <v>1.6164445374493061E-2</v>
      </c>
      <c r="Q983">
        <f>LN(_xll.ciqfunctions.udf.CIQ("XBI", "IQ_LASTSALEPRICE", WORKDAY(F983,-1))/_xll.ciqfunctions.udf.CIQ("XBI", "IQ_LASTSALEPRICE", WORKDAY(F983,5)))</f>
        <v>-2.3821056429788802E-2</v>
      </c>
      <c r="R983">
        <f>_xll.ciqfunctions.udf.CIQ(A983, "IQ_SHORT_INTEREST_PERCENT", F983)</f>
        <v>12.62154</v>
      </c>
      <c r="S983">
        <f>_xll.ciqfunctions.udf.CIQ(A983, "IQ_BETA_1YR_RSQ", F983)</f>
        <v>0.15651000000000001</v>
      </c>
      <c r="T983">
        <f>_xll.ciqfunctions.udf.CIQ(A983, "IQ_VALUE_TRADED", F983)</f>
        <v>5.8804100000000004</v>
      </c>
    </row>
    <row r="984" spans="1:20" x14ac:dyDescent="0.3">
      <c r="A984" t="s">
        <v>1174</v>
      </c>
      <c r="B984" s="2">
        <v>3.54</v>
      </c>
      <c r="C984" t="s">
        <v>2301</v>
      </c>
      <c r="D984" t="s">
        <v>2302</v>
      </c>
      <c r="E984" t="s">
        <v>22</v>
      </c>
      <c r="F984" s="1">
        <v>45420</v>
      </c>
      <c r="G984" t="s">
        <v>2704</v>
      </c>
      <c r="H984">
        <v>19</v>
      </c>
      <c r="I984">
        <f>_xll.ciqfunctions.udf.CIQ(A984, "IQ_MARKETCAP", F984)</f>
        <v>45.615279999999998</v>
      </c>
      <c r="J984">
        <f>_xll.ciqfunctions.udf.CIQ(A984, "IQ_PRICE_VOL_HIST_6MTH", F984)</f>
        <v>141.251</v>
      </c>
      <c r="K984">
        <f>_xll.ciqfunctions.udf.CIQ(A984, "IQ_LASTSALEPRICE", WORKDAY(F984,-1))</f>
        <v>3.43</v>
      </c>
      <c r="L984">
        <f>_xll.ciqfunctions.udf.CIQ(A984, "IQ_LASTSALEPRICE", F984)</f>
        <v>3.54</v>
      </c>
      <c r="M984">
        <f>_xll.ciqfunctions.udf.CIQ(A984, "IQ_LASTSALEPRICE", WORKDAY(F984,5))</f>
        <v>3.08</v>
      </c>
      <c r="N984">
        <f t="shared" si="30"/>
        <v>3.1566465967834509E-2</v>
      </c>
      <c r="O984">
        <f t="shared" si="31"/>
        <v>-0.10763066419236544</v>
      </c>
      <c r="P984">
        <f>LN(_xll.ciqfunctions.udf.CIQ("XBI", "IQ_LASTSALEPRICE", WORKDAY(F984,-1))/_xll.ciqfunctions.udf.CIQ("XBI", "IQ_LASTSALEPRICE", WORKDAY(F984,1)))</f>
        <v>1.6164445374493061E-2</v>
      </c>
      <c r="Q984">
        <f>LN(_xll.ciqfunctions.udf.CIQ("XBI", "IQ_LASTSALEPRICE", WORKDAY(F984,-1))/_xll.ciqfunctions.udf.CIQ("XBI", "IQ_LASTSALEPRICE", WORKDAY(F984,5)))</f>
        <v>-2.3821056429788802E-2</v>
      </c>
      <c r="R984">
        <f>_xll.ciqfunctions.udf.CIQ(A984, "IQ_SHORT_INTEREST_PERCENT", F984)</f>
        <v>3.38035</v>
      </c>
      <c r="S984">
        <f>_xll.ciqfunctions.udf.CIQ(A984, "IQ_BETA_1YR_RSQ", F984)</f>
        <v>1.24E-3</v>
      </c>
      <c r="T984">
        <f>_xll.ciqfunctions.udf.CIQ(A984, "IQ_VALUE_TRADED", F984)</f>
        <v>0.37812000000000001</v>
      </c>
    </row>
    <row r="985" spans="1:20" x14ac:dyDescent="0.3">
      <c r="A985" t="s">
        <v>2705</v>
      </c>
      <c r="B985" s="2">
        <v>2</v>
      </c>
      <c r="C985" t="s">
        <v>2706</v>
      </c>
      <c r="D985" t="s">
        <v>2707</v>
      </c>
      <c r="E985" t="s">
        <v>89</v>
      </c>
      <c r="F985" s="1">
        <v>45420</v>
      </c>
      <c r="G985" t="s">
        <v>2708</v>
      </c>
      <c r="H985">
        <v>105</v>
      </c>
      <c r="I985">
        <f>_xll.ciqfunctions.udf.CIQ(A985, "IQ_MARKETCAP", F985)</f>
        <v>162.70918</v>
      </c>
      <c r="J985">
        <f>_xll.ciqfunctions.udf.CIQ(A985, "IQ_PRICE_VOL_HIST_6MTH", F985)</f>
        <v>82.636600000000001</v>
      </c>
      <c r="K985">
        <f>_xll.ciqfunctions.udf.CIQ(A985, "IQ_LASTSALEPRICE", WORKDAY(F985,-1))</f>
        <v>1.99</v>
      </c>
      <c r="L985">
        <f>_xll.ciqfunctions.udf.CIQ(A985, "IQ_LASTSALEPRICE", F985)</f>
        <v>2</v>
      </c>
      <c r="M985">
        <f>_xll.ciqfunctions.udf.CIQ(A985, "IQ_LASTSALEPRICE", WORKDAY(F985,5))</f>
        <v>1.91</v>
      </c>
      <c r="N985">
        <f t="shared" si="30"/>
        <v>5.0125418235441935E-3</v>
      </c>
      <c r="O985">
        <f t="shared" si="31"/>
        <v>-4.103139667786259E-2</v>
      </c>
      <c r="P985">
        <f>LN(_xll.ciqfunctions.udf.CIQ("XBI", "IQ_LASTSALEPRICE", WORKDAY(F985,-1))/_xll.ciqfunctions.udf.CIQ("XBI", "IQ_LASTSALEPRICE", WORKDAY(F985,1)))</f>
        <v>1.6164445374493061E-2</v>
      </c>
      <c r="Q985">
        <f>LN(_xll.ciqfunctions.udf.CIQ("XBI", "IQ_LASTSALEPRICE", WORKDAY(F985,-1))/_xll.ciqfunctions.udf.CIQ("XBI", "IQ_LASTSALEPRICE", WORKDAY(F985,5)))</f>
        <v>-2.3821056429788802E-2</v>
      </c>
      <c r="R985">
        <f>_xll.ciqfunctions.udf.CIQ(A985, "IQ_SHORT_INTEREST_PERCENT", F985)</f>
        <v>0.29687999999999998</v>
      </c>
      <c r="S985">
        <f>_xll.ciqfunctions.udf.CIQ(A985, "IQ_BETA_1YR_RSQ", F985)</f>
        <v>6.3079999999999997E-2</v>
      </c>
      <c r="T985">
        <f>_xll.ciqfunctions.udf.CIQ(A985, "IQ_VALUE_TRADED", F985)</f>
        <v>0.23441000000000001</v>
      </c>
    </row>
    <row r="986" spans="1:20" x14ac:dyDescent="0.3">
      <c r="A986" t="s">
        <v>2709</v>
      </c>
      <c r="B986" s="2">
        <v>4.1900000000000004</v>
      </c>
      <c r="C986" t="s">
        <v>2710</v>
      </c>
      <c r="D986" t="s">
        <v>265</v>
      </c>
      <c r="E986" t="s">
        <v>22</v>
      </c>
      <c r="F986" s="1">
        <v>45420</v>
      </c>
      <c r="G986" t="s">
        <v>2711</v>
      </c>
      <c r="H986">
        <v>164</v>
      </c>
      <c r="I986">
        <f>_xll.ciqfunctions.udf.CIQ(A986, "IQ_MARKETCAP", F986)</f>
        <v>326.48216000000002</v>
      </c>
      <c r="J986">
        <f>_xll.ciqfunctions.udf.CIQ(A986, "IQ_PRICE_VOL_HIST_6MTH", F986)</f>
        <v>180.09800000000001</v>
      </c>
      <c r="K986">
        <f>_xll.ciqfunctions.udf.CIQ(A986, "IQ_LASTSALEPRICE", WORKDAY(F986,-1))</f>
        <v>4.07</v>
      </c>
      <c r="L986">
        <f>_xll.ciqfunctions.udf.CIQ(A986, "IQ_LASTSALEPRICE", F986)</f>
        <v>4.1900000000000004</v>
      </c>
      <c r="M986">
        <f>_xll.ciqfunctions.udf.CIQ(A986, "IQ_LASTSALEPRICE", WORKDAY(F986,5))</f>
        <v>1.96</v>
      </c>
      <c r="N986">
        <f t="shared" si="30"/>
        <v>2.9057734479542765E-2</v>
      </c>
      <c r="O986">
        <f t="shared" si="31"/>
        <v>-0.73069852621207787</v>
      </c>
      <c r="P986">
        <f>LN(_xll.ciqfunctions.udf.CIQ("XBI", "IQ_LASTSALEPRICE", WORKDAY(F986,-1))/_xll.ciqfunctions.udf.CIQ("XBI", "IQ_LASTSALEPRICE", WORKDAY(F986,1)))</f>
        <v>1.6164445374493061E-2</v>
      </c>
      <c r="Q986">
        <f>LN(_xll.ciqfunctions.udf.CIQ("XBI", "IQ_LASTSALEPRICE", WORKDAY(F986,-1))/_xll.ciqfunctions.udf.CIQ("XBI", "IQ_LASTSALEPRICE", WORKDAY(F986,5)))</f>
        <v>-2.3821056429788802E-2</v>
      </c>
      <c r="R986">
        <f>_xll.ciqfunctions.udf.CIQ(A986, "IQ_SHORT_INTEREST_PERCENT", F986)</f>
        <v>4.6124099999999997</v>
      </c>
      <c r="S986">
        <f>_xll.ciqfunctions.udf.CIQ(A986, "IQ_BETA_1YR_RSQ", F986)</f>
        <v>2.665E-2</v>
      </c>
      <c r="T986">
        <f>_xll.ciqfunctions.udf.CIQ(A986, "IQ_VALUE_TRADED", F986)</f>
        <v>169.7928</v>
      </c>
    </row>
    <row r="987" spans="1:20" x14ac:dyDescent="0.3">
      <c r="A987" t="s">
        <v>2097</v>
      </c>
      <c r="B987" s="2">
        <v>12.37</v>
      </c>
      <c r="C987" t="s">
        <v>2712</v>
      </c>
      <c r="D987" t="s">
        <v>2713</v>
      </c>
      <c r="E987" t="s">
        <v>76</v>
      </c>
      <c r="F987" s="1">
        <v>45420</v>
      </c>
      <c r="G987" t="s">
        <v>2714</v>
      </c>
      <c r="H987">
        <v>43</v>
      </c>
      <c r="I987">
        <f>_xll.ciqfunctions.udf.CIQ(A987, "IQ_MARKETCAP", F987)</f>
        <v>516.32745</v>
      </c>
      <c r="J987">
        <f>_xll.ciqfunctions.udf.CIQ(A987, "IQ_PRICE_VOL_HIST_6MTH", F987)</f>
        <v>39.476300000000002</v>
      </c>
      <c r="K987">
        <f>_xll.ciqfunctions.udf.CIQ(A987, "IQ_LASTSALEPRICE", WORKDAY(F987,-1))</f>
        <v>12.64</v>
      </c>
      <c r="L987">
        <f>_xll.ciqfunctions.udf.CIQ(A987, "IQ_LASTSALEPRICE", F987)</f>
        <v>12.37</v>
      </c>
      <c r="M987">
        <f>_xll.ciqfunctions.udf.CIQ(A987, "IQ_LASTSALEPRICE", WORKDAY(F987,5))</f>
        <v>12.01</v>
      </c>
      <c r="N987">
        <f t="shared" si="30"/>
        <v>-2.159220231431495E-2</v>
      </c>
      <c r="O987">
        <f t="shared" si="31"/>
        <v>-5.112675262681924E-2</v>
      </c>
      <c r="P987">
        <f>LN(_xll.ciqfunctions.udf.CIQ("XBI", "IQ_LASTSALEPRICE", WORKDAY(F987,-1))/_xll.ciqfunctions.udf.CIQ("XBI", "IQ_LASTSALEPRICE", WORKDAY(F987,1)))</f>
        <v>1.6164445374493061E-2</v>
      </c>
      <c r="Q987">
        <f>LN(_xll.ciqfunctions.udf.CIQ("XBI", "IQ_LASTSALEPRICE", WORKDAY(F987,-1))/_xll.ciqfunctions.udf.CIQ("XBI", "IQ_LASTSALEPRICE", WORKDAY(F987,5)))</f>
        <v>-2.3821056429788802E-2</v>
      </c>
      <c r="R987">
        <f>_xll.ciqfunctions.udf.CIQ(A987, "IQ_SHORT_INTEREST_PERCENT", F987)</f>
        <v>6.1269999999999998E-2</v>
      </c>
      <c r="S987">
        <f>_xll.ciqfunctions.udf.CIQ(A987, "IQ_BETA_1YR_RSQ", F987)</f>
        <v>1.789E-2</v>
      </c>
      <c r="T987">
        <f>_xll.ciqfunctions.udf.CIQ(A987, "IQ_VALUE_TRADED", F987)</f>
        <v>0.53247999999999995</v>
      </c>
    </row>
    <row r="988" spans="1:20" x14ac:dyDescent="0.3">
      <c r="A988" t="s">
        <v>130</v>
      </c>
      <c r="B988" s="2">
        <v>128.61000000000001</v>
      </c>
      <c r="C988" t="s">
        <v>2715</v>
      </c>
      <c r="D988" t="s">
        <v>2716</v>
      </c>
      <c r="E988" t="s">
        <v>36</v>
      </c>
      <c r="F988" s="1">
        <v>45421</v>
      </c>
      <c r="G988" t="s">
        <v>2717</v>
      </c>
      <c r="I988">
        <f>_xll.ciqfunctions.udf.CIQ(A988, "IQ_MARKETCAP", F988)</f>
        <v>329847.36536</v>
      </c>
      <c r="J988">
        <f>_xll.ciqfunctions.udf.CIQ(A988, "IQ_PRICE_VOL_HIST_6MTH", F988)</f>
        <v>16.7348</v>
      </c>
      <c r="K988">
        <f>_xll.ciqfunctions.udf.CIQ(A988, "IQ_LASTSALEPRICE", WORKDAY(F988,-1))</f>
        <v>129.55000000000001</v>
      </c>
      <c r="L988">
        <f>_xll.ciqfunctions.udf.CIQ(A988, "IQ_LASTSALEPRICE", F988)</f>
        <v>130.22999999999999</v>
      </c>
      <c r="M988">
        <f>_xll.ciqfunctions.udf.CIQ(A988, "IQ_LASTSALEPRICE", WORKDAY(F988,5))</f>
        <v>130.88</v>
      </c>
      <c r="N988">
        <f t="shared" si="30"/>
        <v>5.235210971492741E-3</v>
      </c>
      <c r="O988">
        <f t="shared" si="31"/>
        <v>1.0213965846317907E-2</v>
      </c>
      <c r="P988">
        <f>LN(_xll.ciqfunctions.udf.CIQ("XBI", "IQ_LASTSALEPRICE", WORKDAY(F988,-1))/_xll.ciqfunctions.udf.CIQ("XBI", "IQ_LASTSALEPRICE", WORKDAY(F988,1)))</f>
        <v>1.0945102210787433E-2</v>
      </c>
      <c r="Q988">
        <f>LN(_xll.ciqfunctions.udf.CIQ("XBI", "IQ_LASTSALEPRICE", WORKDAY(F988,-1))/_xll.ciqfunctions.udf.CIQ("XBI", "IQ_LASTSALEPRICE", WORKDAY(F988,5)))</f>
        <v>-3.8309582835327288E-2</v>
      </c>
      <c r="R988">
        <f>_xll.ciqfunctions.udf.CIQ(A988, "IQ_SHORT_INTEREST_PERCENT", F988)</f>
        <v>0.74043999999999999</v>
      </c>
      <c r="S988">
        <f>_xll.ciqfunctions.udf.CIQ(A988, "IQ_BETA_1YR_RSQ", F988)</f>
        <v>1.2330000000000001E-2</v>
      </c>
      <c r="T988">
        <f>_xll.ciqfunctions.udf.CIQ(A988, "IQ_VALUE_TRADED", F988)</f>
        <v>1200.2960499999999</v>
      </c>
    </row>
    <row r="989" spans="1:20" x14ac:dyDescent="0.3">
      <c r="A989" t="s">
        <v>1459</v>
      </c>
      <c r="B989" s="2">
        <v>27.46</v>
      </c>
      <c r="C989" t="s">
        <v>2718</v>
      </c>
      <c r="D989" t="s">
        <v>2719</v>
      </c>
      <c r="E989" t="s">
        <v>124</v>
      </c>
      <c r="F989" s="1">
        <v>45421</v>
      </c>
      <c r="G989" t="s">
        <v>2720</v>
      </c>
      <c r="H989">
        <v>24</v>
      </c>
      <c r="I989">
        <f>_xll.ciqfunctions.udf.CIQ(A989, "IQ_MARKETCAP", F989)</f>
        <v>603.02041999999994</v>
      </c>
      <c r="J989">
        <f>_xll.ciqfunctions.udf.CIQ(A989, "IQ_PRICE_VOL_HIST_6MTH", F989)</f>
        <v>48.397100000000002</v>
      </c>
      <c r="K989">
        <f>_xll.ciqfunctions.udf.CIQ(A989, "IQ_LASTSALEPRICE", WORKDAY(F989,-1))</f>
        <v>2.2149999999999999</v>
      </c>
      <c r="L989">
        <f>_xll.ciqfunctions.udf.CIQ(A989, "IQ_LASTSALEPRICE", F989)</f>
        <v>2.23</v>
      </c>
      <c r="M989">
        <f>_xll.ciqfunctions.udf.CIQ(A989, "IQ_LASTSALEPRICE", WORKDAY(F989,5))</f>
        <v>2.2200000000000002</v>
      </c>
      <c r="N989">
        <f t="shared" si="30"/>
        <v>6.7491819749285501E-3</v>
      </c>
      <c r="O989">
        <f t="shared" si="31"/>
        <v>2.2547923870893044E-3</v>
      </c>
      <c r="P989">
        <f>LN(_xll.ciqfunctions.udf.CIQ("XBI", "IQ_LASTSALEPRICE", WORKDAY(F989,-1))/_xll.ciqfunctions.udf.CIQ("XBI", "IQ_LASTSALEPRICE", WORKDAY(F989,1)))</f>
        <v>1.0945102210787433E-2</v>
      </c>
      <c r="Q989">
        <f>LN(_xll.ciqfunctions.udf.CIQ("XBI", "IQ_LASTSALEPRICE", WORKDAY(F989,-1))/_xll.ciqfunctions.udf.CIQ("XBI", "IQ_LASTSALEPRICE", WORKDAY(F989,5)))</f>
        <v>-3.8309582835327288E-2</v>
      </c>
      <c r="R989">
        <f>_xll.ciqfunctions.udf.CIQ(A989, "IQ_SHORT_INTEREST_PERCENT", F989)</f>
        <v>0</v>
      </c>
      <c r="S989">
        <f>_xll.ciqfunctions.udf.CIQ(A989, "IQ_BETA_1YR_RSQ", F989)</f>
        <v>0.10713</v>
      </c>
      <c r="T989">
        <f>_xll.ciqfunctions.udf.CIQ(A989, "IQ_VALUE_TRADED", F989)</f>
        <v>0.52339000000000002</v>
      </c>
    </row>
    <row r="990" spans="1:20" x14ac:dyDescent="0.3">
      <c r="A990" t="s">
        <v>1068</v>
      </c>
      <c r="B990" s="2">
        <v>7.8</v>
      </c>
      <c r="C990" t="s">
        <v>2721</v>
      </c>
      <c r="D990" t="s">
        <v>2722</v>
      </c>
      <c r="E990" t="s">
        <v>22</v>
      </c>
      <c r="F990" s="1">
        <v>45421</v>
      </c>
      <c r="G990" t="s">
        <v>2723</v>
      </c>
      <c r="H990">
        <v>56</v>
      </c>
      <c r="I990">
        <f>_xll.ciqfunctions.udf.CIQ(A990, "IQ_MARKETCAP", F990)</f>
        <v>392.94308000000001</v>
      </c>
      <c r="J990">
        <f>_xll.ciqfunctions.udf.CIQ(A990, "IQ_PRICE_VOL_HIST_6MTH", F990)</f>
        <v>91.423000000000002</v>
      </c>
      <c r="K990">
        <f>_xll.ciqfunctions.udf.CIQ(A990, "IQ_LASTSALEPRICE", WORKDAY(F990,-1))</f>
        <v>8.01</v>
      </c>
      <c r="L990">
        <f>_xll.ciqfunctions.udf.CIQ(A990, "IQ_LASTSALEPRICE", F990)</f>
        <v>7.8</v>
      </c>
      <c r="M990">
        <f>_xll.ciqfunctions.udf.CIQ(A990, "IQ_LASTSALEPRICE", WORKDAY(F990,5))</f>
        <v>8.9</v>
      </c>
      <c r="N990">
        <f t="shared" si="30"/>
        <v>-2.6567027384721751E-2</v>
      </c>
      <c r="O990">
        <f t="shared" si="31"/>
        <v>0.10536051565782635</v>
      </c>
      <c r="P990">
        <f>LN(_xll.ciqfunctions.udf.CIQ("XBI", "IQ_LASTSALEPRICE", WORKDAY(F990,-1))/_xll.ciqfunctions.udf.CIQ("XBI", "IQ_LASTSALEPRICE", WORKDAY(F990,1)))</f>
        <v>1.0945102210787433E-2</v>
      </c>
      <c r="Q990">
        <f>LN(_xll.ciqfunctions.udf.CIQ("XBI", "IQ_LASTSALEPRICE", WORKDAY(F990,-1))/_xll.ciqfunctions.udf.CIQ("XBI", "IQ_LASTSALEPRICE", WORKDAY(F990,5)))</f>
        <v>-3.8309582835327288E-2</v>
      </c>
      <c r="R990">
        <f>_xll.ciqfunctions.udf.CIQ(A990, "IQ_SHORT_INTEREST_PERCENT", F990)</f>
        <v>0.78998000000000002</v>
      </c>
      <c r="S990">
        <f>_xll.ciqfunctions.udf.CIQ(A990, "IQ_BETA_1YR_RSQ", F990)</f>
        <v>8.0000000000000002E-3</v>
      </c>
      <c r="T990">
        <f>_xll.ciqfunctions.udf.CIQ(A990, "IQ_VALUE_TRADED", F990)</f>
        <v>1.8627899999999999</v>
      </c>
    </row>
    <row r="991" spans="1:20" x14ac:dyDescent="0.3">
      <c r="A991" t="s">
        <v>504</v>
      </c>
      <c r="B991" s="2">
        <v>6.03</v>
      </c>
      <c r="C991" t="s">
        <v>505</v>
      </c>
      <c r="D991" t="s">
        <v>506</v>
      </c>
      <c r="E991" t="s">
        <v>36</v>
      </c>
      <c r="F991" s="1">
        <v>45421</v>
      </c>
      <c r="G991" t="s">
        <v>2724</v>
      </c>
      <c r="H991">
        <v>19</v>
      </c>
      <c r="I991">
        <f>_xll.ciqfunctions.udf.CIQ(A991, "IQ_MARKETCAP", F991)</f>
        <v>66.398129999999995</v>
      </c>
      <c r="J991">
        <f>_xll.ciqfunctions.udf.CIQ(A991, "IQ_PRICE_VOL_HIST_6MTH", F991)</f>
        <v>188.0369</v>
      </c>
      <c r="K991">
        <f>_xll.ciqfunctions.udf.CIQ(A991, "IQ_LASTSALEPRICE", WORKDAY(F991,-1))</f>
        <v>4.82</v>
      </c>
      <c r="L991">
        <f>_xll.ciqfunctions.udf.CIQ(A991, "IQ_LASTSALEPRICE", F991)</f>
        <v>6.03</v>
      </c>
      <c r="M991">
        <f>_xll.ciqfunctions.udf.CIQ(A991, "IQ_LASTSALEPRICE", WORKDAY(F991,5))</f>
        <v>8.0299999999999994</v>
      </c>
      <c r="N991">
        <f t="shared" si="30"/>
        <v>0.22397308267658514</v>
      </c>
      <c r="O991">
        <f t="shared" si="31"/>
        <v>0.51041059989616133</v>
      </c>
      <c r="P991">
        <f>LN(_xll.ciqfunctions.udf.CIQ("XBI", "IQ_LASTSALEPRICE", WORKDAY(F991,-1))/_xll.ciqfunctions.udf.CIQ("XBI", "IQ_LASTSALEPRICE", WORKDAY(F991,1)))</f>
        <v>1.0945102210787433E-2</v>
      </c>
      <c r="Q991">
        <f>LN(_xll.ciqfunctions.udf.CIQ("XBI", "IQ_LASTSALEPRICE", WORKDAY(F991,-1))/_xll.ciqfunctions.udf.CIQ("XBI", "IQ_LASTSALEPRICE", WORKDAY(F991,5)))</f>
        <v>-3.8309582835327288E-2</v>
      </c>
      <c r="R991">
        <f>_xll.ciqfunctions.udf.CIQ(A991, "IQ_SHORT_INTEREST_PERCENT", F991)</f>
        <v>14.599640000000001</v>
      </c>
      <c r="S991">
        <f>_xll.ciqfunctions.udf.CIQ(A991, "IQ_BETA_1YR_RSQ", F991)</f>
        <v>3.1730000000000001E-2</v>
      </c>
      <c r="T991">
        <f>_xll.ciqfunctions.udf.CIQ(A991, "IQ_VALUE_TRADED", F991)</f>
        <v>12.79998</v>
      </c>
    </row>
    <row r="992" spans="1:20" x14ac:dyDescent="0.3">
      <c r="A992" t="s">
        <v>2023</v>
      </c>
      <c r="B992" s="2">
        <v>2.71</v>
      </c>
      <c r="C992" t="s">
        <v>2725</v>
      </c>
      <c r="D992" t="s">
        <v>2726</v>
      </c>
      <c r="E992" t="s">
        <v>89</v>
      </c>
      <c r="F992" s="1">
        <v>45421</v>
      </c>
      <c r="G992" t="s">
        <v>2727</v>
      </c>
      <c r="H992">
        <v>97</v>
      </c>
      <c r="I992">
        <f>_xll.ciqfunctions.udf.CIQ(A992, "IQ_MARKETCAP", F992)</f>
        <v>0</v>
      </c>
      <c r="J992">
        <f>_xll.ciqfunctions.udf.CIQ(A992, "IQ_PRICE_VOL_HIST_6MTH", F992)</f>
        <v>0</v>
      </c>
      <c r="K992">
        <f>_xll.ciqfunctions.udf.CIQ(A992, "IQ_LASTSALEPRICE", WORKDAY(F992,-1))</f>
        <v>0</v>
      </c>
      <c r="L992">
        <f>_xll.ciqfunctions.udf.CIQ(A992, "IQ_LASTSALEPRICE", F992)</f>
        <v>0</v>
      </c>
      <c r="M992">
        <f>_xll.ciqfunctions.udf.CIQ(A992, "IQ_LASTSALEPRICE", WORKDAY(F992,5))</f>
        <v>0</v>
      </c>
      <c r="N992" t="e">
        <f t="shared" si="30"/>
        <v>#DIV/0!</v>
      </c>
      <c r="O992" t="e">
        <f t="shared" si="31"/>
        <v>#DIV/0!</v>
      </c>
      <c r="P992">
        <f>LN(_xll.ciqfunctions.udf.CIQ("XBI", "IQ_LASTSALEPRICE", WORKDAY(F992,-1))/_xll.ciqfunctions.udf.CIQ("XBI", "IQ_LASTSALEPRICE", WORKDAY(F992,1)))</f>
        <v>1.0945102210787433E-2</v>
      </c>
      <c r="Q992">
        <f>LN(_xll.ciqfunctions.udf.CIQ("XBI", "IQ_LASTSALEPRICE", WORKDAY(F992,-1))/_xll.ciqfunctions.udf.CIQ("XBI", "IQ_LASTSALEPRICE", WORKDAY(F992,5)))</f>
        <v>-3.8309582835327288E-2</v>
      </c>
      <c r="R992">
        <f>_xll.ciqfunctions.udf.CIQ(A992, "IQ_SHORT_INTEREST_PERCENT", F992)</f>
        <v>0</v>
      </c>
      <c r="S992">
        <f>_xll.ciqfunctions.udf.CIQ(A992, "IQ_BETA_1YR_RSQ", F992)</f>
        <v>0</v>
      </c>
      <c r="T992">
        <f>_xll.ciqfunctions.udf.CIQ(A992, "IQ_VALUE_TRADED", F992)</f>
        <v>0</v>
      </c>
    </row>
    <row r="993" spans="1:20" x14ac:dyDescent="0.3">
      <c r="A993" t="s">
        <v>2023</v>
      </c>
      <c r="B993" s="2">
        <v>2.71</v>
      </c>
      <c r="C993" t="s">
        <v>2728</v>
      </c>
      <c r="D993" t="s">
        <v>831</v>
      </c>
      <c r="E993" t="s">
        <v>89</v>
      </c>
      <c r="F993" s="1">
        <v>45421</v>
      </c>
      <c r="G993" t="s">
        <v>2729</v>
      </c>
      <c r="H993">
        <v>97</v>
      </c>
      <c r="I993">
        <f>_xll.ciqfunctions.udf.CIQ(A993, "IQ_MARKETCAP", F993)</f>
        <v>0</v>
      </c>
      <c r="J993">
        <f>_xll.ciqfunctions.udf.CIQ(A993, "IQ_PRICE_VOL_HIST_6MTH", F993)</f>
        <v>0</v>
      </c>
      <c r="K993">
        <f>_xll.ciqfunctions.udf.CIQ(A993, "IQ_LASTSALEPRICE", WORKDAY(F993,-1))</f>
        <v>0</v>
      </c>
      <c r="L993">
        <f>_xll.ciqfunctions.udf.CIQ(A993, "IQ_LASTSALEPRICE", F993)</f>
        <v>0</v>
      </c>
      <c r="M993">
        <f>_xll.ciqfunctions.udf.CIQ(A993, "IQ_LASTSALEPRICE", WORKDAY(F993,5))</f>
        <v>0</v>
      </c>
      <c r="N993" t="e">
        <f t="shared" si="30"/>
        <v>#DIV/0!</v>
      </c>
      <c r="O993" t="e">
        <f t="shared" si="31"/>
        <v>#DIV/0!</v>
      </c>
      <c r="P993">
        <f>LN(_xll.ciqfunctions.udf.CIQ("XBI", "IQ_LASTSALEPRICE", WORKDAY(F993,-1))/_xll.ciqfunctions.udf.CIQ("XBI", "IQ_LASTSALEPRICE", WORKDAY(F993,1)))</f>
        <v>1.0945102210787433E-2</v>
      </c>
      <c r="Q993">
        <f>LN(_xll.ciqfunctions.udf.CIQ("XBI", "IQ_LASTSALEPRICE", WORKDAY(F993,-1))/_xll.ciqfunctions.udf.CIQ("XBI", "IQ_LASTSALEPRICE", WORKDAY(F993,5)))</f>
        <v>-3.8309582835327288E-2</v>
      </c>
      <c r="R993">
        <f>_xll.ciqfunctions.udf.CIQ(A993, "IQ_SHORT_INTEREST_PERCENT", F993)</f>
        <v>0</v>
      </c>
      <c r="S993">
        <f>_xll.ciqfunctions.udf.CIQ(A993, "IQ_BETA_1YR_RSQ", F993)</f>
        <v>0</v>
      </c>
      <c r="T993">
        <f>_xll.ciqfunctions.udf.CIQ(A993, "IQ_VALUE_TRADED", F993)</f>
        <v>0</v>
      </c>
    </row>
    <row r="994" spans="1:20" x14ac:dyDescent="0.3">
      <c r="A994" t="s">
        <v>578</v>
      </c>
      <c r="B994" s="2">
        <v>1.36</v>
      </c>
      <c r="C994" t="s">
        <v>2730</v>
      </c>
      <c r="D994" t="s">
        <v>2731</v>
      </c>
      <c r="E994" t="s">
        <v>89</v>
      </c>
      <c r="F994" s="1">
        <v>45421</v>
      </c>
      <c r="G994" t="s">
        <v>2732</v>
      </c>
      <c r="H994">
        <v>74</v>
      </c>
      <c r="I994">
        <f>_xll.ciqfunctions.udf.CIQ(A994, "IQ_MARKETCAP", F994)</f>
        <v>8.8085100000000001</v>
      </c>
      <c r="J994">
        <f>_xll.ciqfunctions.udf.CIQ(A994, "IQ_PRICE_VOL_HIST_6MTH", F994)</f>
        <v>120.8211</v>
      </c>
      <c r="K994">
        <f>_xll.ciqfunctions.udf.CIQ(A994, "IQ_LASTSALEPRICE", WORKDAY(F994,-1))</f>
        <v>1.4</v>
      </c>
      <c r="L994">
        <f>_xll.ciqfunctions.udf.CIQ(A994, "IQ_LASTSALEPRICE", F994)</f>
        <v>1.36</v>
      </c>
      <c r="M994">
        <f>_xll.ciqfunctions.udf.CIQ(A994, "IQ_LASTSALEPRICE", WORKDAY(F994,5))</f>
        <v>1.76</v>
      </c>
      <c r="N994">
        <f t="shared" si="30"/>
        <v>-2.8987536873252187E-2</v>
      </c>
      <c r="O994">
        <f t="shared" si="31"/>
        <v>0.22884157242884764</v>
      </c>
      <c r="P994">
        <f>LN(_xll.ciqfunctions.udf.CIQ("XBI", "IQ_LASTSALEPRICE", WORKDAY(F994,-1))/_xll.ciqfunctions.udf.CIQ("XBI", "IQ_LASTSALEPRICE", WORKDAY(F994,1)))</f>
        <v>1.0945102210787433E-2</v>
      </c>
      <c r="Q994">
        <f>LN(_xll.ciqfunctions.udf.CIQ("XBI", "IQ_LASTSALEPRICE", WORKDAY(F994,-1))/_xll.ciqfunctions.udf.CIQ("XBI", "IQ_LASTSALEPRICE", WORKDAY(F994,5)))</f>
        <v>-3.8309582835327288E-2</v>
      </c>
      <c r="R994">
        <f>_xll.ciqfunctions.udf.CIQ(A994, "IQ_SHORT_INTEREST_PERCENT", F994)</f>
        <v>2.0882900000000002</v>
      </c>
      <c r="S994">
        <f>_xll.ciqfunctions.udf.CIQ(A994, "IQ_BETA_1YR_RSQ", F994)</f>
        <v>3.3180000000000001E-2</v>
      </c>
      <c r="T994">
        <f>_xll.ciqfunctions.udf.CIQ(A994, "IQ_VALUE_TRADED", F994)</f>
        <v>4.7140000000000001E-2</v>
      </c>
    </row>
    <row r="995" spans="1:20" x14ac:dyDescent="0.3">
      <c r="A995" t="s">
        <v>241</v>
      </c>
      <c r="B995" s="2">
        <v>3.9</v>
      </c>
      <c r="C995" t="s">
        <v>2733</v>
      </c>
      <c r="D995" t="s">
        <v>2734</v>
      </c>
      <c r="E995" t="s">
        <v>46</v>
      </c>
      <c r="F995" s="1">
        <v>45421</v>
      </c>
      <c r="G995" t="s">
        <v>2735</v>
      </c>
      <c r="H995">
        <v>115</v>
      </c>
      <c r="I995">
        <f>_xll.ciqfunctions.udf.CIQ(A995, "IQ_MARKETCAP", F995)</f>
        <v>443.94468000000001</v>
      </c>
      <c r="J995">
        <f>_xll.ciqfunctions.udf.CIQ(A995, "IQ_PRICE_VOL_HIST_6MTH", F995)</f>
        <v>92.31</v>
      </c>
      <c r="K995">
        <f>_xll.ciqfunctions.udf.CIQ(A995, "IQ_LASTSALEPRICE", WORKDAY(F995,-1))</f>
        <v>3.7</v>
      </c>
      <c r="L995">
        <f>_xll.ciqfunctions.udf.CIQ(A995, "IQ_LASTSALEPRICE", F995)</f>
        <v>3.9</v>
      </c>
      <c r="M995">
        <f>_xll.ciqfunctions.udf.CIQ(A995, "IQ_LASTSALEPRICE", WORKDAY(F995,5))</f>
        <v>4.1399999999999997</v>
      </c>
      <c r="N995">
        <f t="shared" si="30"/>
        <v>5.2643733485421881E-2</v>
      </c>
      <c r="O995">
        <f t="shared" si="31"/>
        <v>0.11236296818704417</v>
      </c>
      <c r="P995">
        <f>LN(_xll.ciqfunctions.udf.CIQ("XBI", "IQ_LASTSALEPRICE", WORKDAY(F995,-1))/_xll.ciqfunctions.udf.CIQ("XBI", "IQ_LASTSALEPRICE", WORKDAY(F995,1)))</f>
        <v>1.0945102210787433E-2</v>
      </c>
      <c r="Q995">
        <f>LN(_xll.ciqfunctions.udf.CIQ("XBI", "IQ_LASTSALEPRICE", WORKDAY(F995,-1))/_xll.ciqfunctions.udf.CIQ("XBI", "IQ_LASTSALEPRICE", WORKDAY(F995,5)))</f>
        <v>-3.8309582835327288E-2</v>
      </c>
      <c r="R995">
        <f>_xll.ciqfunctions.udf.CIQ(A995, "IQ_SHORT_INTEREST_PERCENT", F995)</f>
        <v>19.448920000000001</v>
      </c>
      <c r="S995">
        <f>_xll.ciqfunctions.udf.CIQ(A995, "IQ_BETA_1YR_RSQ", F995)</f>
        <v>0.20862</v>
      </c>
      <c r="T995">
        <f>_xll.ciqfunctions.udf.CIQ(A995, "IQ_VALUE_TRADED", F995)</f>
        <v>15.2216</v>
      </c>
    </row>
    <row r="996" spans="1:20" x14ac:dyDescent="0.3">
      <c r="A996" t="s">
        <v>241</v>
      </c>
      <c r="B996" s="2">
        <v>3.9</v>
      </c>
      <c r="C996" t="s">
        <v>2733</v>
      </c>
      <c r="D996" t="s">
        <v>2734</v>
      </c>
      <c r="E996" t="s">
        <v>46</v>
      </c>
      <c r="F996" s="1">
        <v>45421</v>
      </c>
      <c r="G996" t="s">
        <v>2735</v>
      </c>
      <c r="H996">
        <v>115</v>
      </c>
      <c r="I996">
        <f>_xll.ciqfunctions.udf.CIQ(A996, "IQ_MARKETCAP", F996)</f>
        <v>443.94468000000001</v>
      </c>
      <c r="J996">
        <f>_xll.ciqfunctions.udf.CIQ(A996, "IQ_PRICE_VOL_HIST_6MTH", F996)</f>
        <v>92.31</v>
      </c>
      <c r="K996">
        <f>_xll.ciqfunctions.udf.CIQ(A996, "IQ_LASTSALEPRICE", WORKDAY(F996,-1))</f>
        <v>3.7</v>
      </c>
      <c r="L996">
        <f>_xll.ciqfunctions.udf.CIQ(A996, "IQ_LASTSALEPRICE", F996)</f>
        <v>3.9</v>
      </c>
      <c r="M996">
        <f>_xll.ciqfunctions.udf.CIQ(A996, "IQ_LASTSALEPRICE", WORKDAY(F996,5))</f>
        <v>4.1399999999999997</v>
      </c>
      <c r="N996">
        <f t="shared" si="30"/>
        <v>5.2643733485421881E-2</v>
      </c>
      <c r="O996">
        <f t="shared" si="31"/>
        <v>0.11236296818704417</v>
      </c>
      <c r="P996">
        <f>LN(_xll.ciqfunctions.udf.CIQ("XBI", "IQ_LASTSALEPRICE", WORKDAY(F996,-1))/_xll.ciqfunctions.udf.CIQ("XBI", "IQ_LASTSALEPRICE", WORKDAY(F996,1)))</f>
        <v>1.0945102210787433E-2</v>
      </c>
      <c r="Q996">
        <f>LN(_xll.ciqfunctions.udf.CIQ("XBI", "IQ_LASTSALEPRICE", WORKDAY(F996,-1))/_xll.ciqfunctions.udf.CIQ("XBI", "IQ_LASTSALEPRICE", WORKDAY(F996,5)))</f>
        <v>-3.8309582835327288E-2</v>
      </c>
      <c r="R996">
        <f>_xll.ciqfunctions.udf.CIQ(A996, "IQ_SHORT_INTEREST_PERCENT", F996)</f>
        <v>19.448920000000001</v>
      </c>
      <c r="S996">
        <f>_xll.ciqfunctions.udf.CIQ(A996, "IQ_BETA_1YR_RSQ", F996)</f>
        <v>0.20862</v>
      </c>
      <c r="T996">
        <f>_xll.ciqfunctions.udf.CIQ(A996, "IQ_VALUE_TRADED", F996)</f>
        <v>15.2216</v>
      </c>
    </row>
    <row r="997" spans="1:20" x14ac:dyDescent="0.3">
      <c r="A997" t="s">
        <v>241</v>
      </c>
      <c r="B997" s="2">
        <v>3.9</v>
      </c>
      <c r="C997" t="s">
        <v>2736</v>
      </c>
      <c r="D997" t="s">
        <v>2737</v>
      </c>
      <c r="E997" t="s">
        <v>89</v>
      </c>
      <c r="F997" s="1">
        <v>45421</v>
      </c>
      <c r="G997" t="s">
        <v>2738</v>
      </c>
      <c r="H997">
        <v>115</v>
      </c>
      <c r="I997">
        <f>_xll.ciqfunctions.udf.CIQ(A997, "IQ_MARKETCAP", F997)</f>
        <v>443.94468000000001</v>
      </c>
      <c r="J997">
        <f>_xll.ciqfunctions.udf.CIQ(A997, "IQ_PRICE_VOL_HIST_6MTH", F997)</f>
        <v>92.31</v>
      </c>
      <c r="K997">
        <f>_xll.ciqfunctions.udf.CIQ(A997, "IQ_LASTSALEPRICE", WORKDAY(F997,-1))</f>
        <v>3.7</v>
      </c>
      <c r="L997">
        <f>_xll.ciqfunctions.udf.CIQ(A997, "IQ_LASTSALEPRICE", F997)</f>
        <v>3.9</v>
      </c>
      <c r="M997">
        <f>_xll.ciqfunctions.udf.CIQ(A997, "IQ_LASTSALEPRICE", WORKDAY(F997,5))</f>
        <v>4.1399999999999997</v>
      </c>
      <c r="N997">
        <f t="shared" si="30"/>
        <v>5.2643733485421881E-2</v>
      </c>
      <c r="O997">
        <f t="shared" si="31"/>
        <v>0.11236296818704417</v>
      </c>
      <c r="P997">
        <f>LN(_xll.ciqfunctions.udf.CIQ("XBI", "IQ_LASTSALEPRICE", WORKDAY(F997,-1))/_xll.ciqfunctions.udf.CIQ("XBI", "IQ_LASTSALEPRICE", WORKDAY(F997,1)))</f>
        <v>1.0945102210787433E-2</v>
      </c>
      <c r="Q997">
        <f>LN(_xll.ciqfunctions.udf.CIQ("XBI", "IQ_LASTSALEPRICE", WORKDAY(F997,-1))/_xll.ciqfunctions.udf.CIQ("XBI", "IQ_LASTSALEPRICE", WORKDAY(F997,5)))</f>
        <v>-3.8309582835327288E-2</v>
      </c>
      <c r="R997">
        <f>_xll.ciqfunctions.udf.CIQ(A997, "IQ_SHORT_INTEREST_PERCENT", F997)</f>
        <v>19.448920000000001</v>
      </c>
      <c r="S997">
        <f>_xll.ciqfunctions.udf.CIQ(A997, "IQ_BETA_1YR_RSQ", F997)</f>
        <v>0.20862</v>
      </c>
      <c r="T997">
        <f>_xll.ciqfunctions.udf.CIQ(A997, "IQ_VALUE_TRADED", F997)</f>
        <v>15.2216</v>
      </c>
    </row>
    <row r="998" spans="1:20" x14ac:dyDescent="0.3">
      <c r="A998" t="s">
        <v>967</v>
      </c>
      <c r="B998" s="2">
        <v>4.66</v>
      </c>
      <c r="C998" t="s">
        <v>968</v>
      </c>
      <c r="D998" t="s">
        <v>969</v>
      </c>
      <c r="E998" t="s">
        <v>124</v>
      </c>
      <c r="F998" s="1">
        <v>45421</v>
      </c>
      <c r="G998" t="s">
        <v>2739</v>
      </c>
      <c r="H998">
        <v>16</v>
      </c>
      <c r="I998">
        <f>_xll.ciqfunctions.udf.CIQ(A998, "IQ_MARKETCAP", F998)</f>
        <v>162.65018000000001</v>
      </c>
      <c r="J998">
        <f>_xll.ciqfunctions.udf.CIQ(A998, "IQ_PRICE_VOL_HIST_6MTH", F998)</f>
        <v>220.16409999999999</v>
      </c>
      <c r="K998">
        <f>_xll.ciqfunctions.udf.CIQ(A998, "IQ_LASTSALEPRICE", WORKDAY(F998,-1))</f>
        <v>63.84</v>
      </c>
      <c r="L998">
        <f>_xll.ciqfunctions.udf.CIQ(A998, "IQ_LASTSALEPRICE", F998)</f>
        <v>37.28</v>
      </c>
      <c r="M998">
        <f>_xll.ciqfunctions.udf.CIQ(A998, "IQ_LASTSALEPRICE", WORKDAY(F998,5))</f>
        <v>33.119999999999997</v>
      </c>
      <c r="N998">
        <f t="shared" si="30"/>
        <v>-0.53792296332416289</v>
      </c>
      <c r="O998">
        <f t="shared" si="31"/>
        <v>-0.65624262362449459</v>
      </c>
      <c r="P998">
        <f>LN(_xll.ciqfunctions.udf.CIQ("XBI", "IQ_LASTSALEPRICE", WORKDAY(F998,-1))/_xll.ciqfunctions.udf.CIQ("XBI", "IQ_LASTSALEPRICE", WORKDAY(F998,1)))</f>
        <v>1.0945102210787433E-2</v>
      </c>
      <c r="Q998">
        <f>LN(_xll.ciqfunctions.udf.CIQ("XBI", "IQ_LASTSALEPRICE", WORKDAY(F998,-1))/_xll.ciqfunctions.udf.CIQ("XBI", "IQ_LASTSALEPRICE", WORKDAY(F998,5)))</f>
        <v>-3.8309582835327288E-2</v>
      </c>
      <c r="R998">
        <f>_xll.ciqfunctions.udf.CIQ(A998, "IQ_SHORT_INTEREST_PERCENT", F998)</f>
        <v>9.2285299999999992</v>
      </c>
      <c r="S998">
        <f>_xll.ciqfunctions.udf.CIQ(A998, "IQ_BETA_1YR_RSQ", F998)</f>
        <v>8.5349999999999995E-2</v>
      </c>
      <c r="T998">
        <f>_xll.ciqfunctions.udf.CIQ(A998, "IQ_VALUE_TRADED", F998)</f>
        <v>22.714970000000001</v>
      </c>
    </row>
    <row r="999" spans="1:20" x14ac:dyDescent="0.3">
      <c r="A999" t="s">
        <v>967</v>
      </c>
      <c r="B999" s="2">
        <v>4.66</v>
      </c>
      <c r="C999" t="s">
        <v>968</v>
      </c>
      <c r="D999" t="s">
        <v>310</v>
      </c>
      <c r="E999" t="s">
        <v>124</v>
      </c>
      <c r="F999" s="1">
        <v>45421</v>
      </c>
      <c r="G999" t="s">
        <v>2739</v>
      </c>
      <c r="H999">
        <v>16</v>
      </c>
      <c r="I999">
        <f>_xll.ciqfunctions.udf.CIQ(A999, "IQ_MARKETCAP", F999)</f>
        <v>162.65018000000001</v>
      </c>
      <c r="J999">
        <f>_xll.ciqfunctions.udf.CIQ(A999, "IQ_PRICE_VOL_HIST_6MTH", F999)</f>
        <v>220.16409999999999</v>
      </c>
      <c r="K999">
        <f>_xll.ciqfunctions.udf.CIQ(A999, "IQ_LASTSALEPRICE", WORKDAY(F999,-1))</f>
        <v>63.84</v>
      </c>
      <c r="L999">
        <f>_xll.ciqfunctions.udf.CIQ(A999, "IQ_LASTSALEPRICE", F999)</f>
        <v>37.28</v>
      </c>
      <c r="M999">
        <f>_xll.ciqfunctions.udf.CIQ(A999, "IQ_LASTSALEPRICE", WORKDAY(F999,5))</f>
        <v>33.119999999999997</v>
      </c>
      <c r="N999">
        <f t="shared" si="30"/>
        <v>-0.53792296332416289</v>
      </c>
      <c r="O999">
        <f t="shared" si="31"/>
        <v>-0.65624262362449459</v>
      </c>
      <c r="P999">
        <f>LN(_xll.ciqfunctions.udf.CIQ("XBI", "IQ_LASTSALEPRICE", WORKDAY(F999,-1))/_xll.ciqfunctions.udf.CIQ("XBI", "IQ_LASTSALEPRICE", WORKDAY(F999,1)))</f>
        <v>1.0945102210787433E-2</v>
      </c>
      <c r="Q999">
        <f>LN(_xll.ciqfunctions.udf.CIQ("XBI", "IQ_LASTSALEPRICE", WORKDAY(F999,-1))/_xll.ciqfunctions.udf.CIQ("XBI", "IQ_LASTSALEPRICE", WORKDAY(F999,5)))</f>
        <v>-3.8309582835327288E-2</v>
      </c>
      <c r="R999">
        <f>_xll.ciqfunctions.udf.CIQ(A999, "IQ_SHORT_INTEREST_PERCENT", F999)</f>
        <v>9.2285299999999992</v>
      </c>
      <c r="S999">
        <f>_xll.ciqfunctions.udf.CIQ(A999, "IQ_BETA_1YR_RSQ", F999)</f>
        <v>8.5349999999999995E-2</v>
      </c>
      <c r="T999">
        <f>_xll.ciqfunctions.udf.CIQ(A999, "IQ_VALUE_TRADED", F999)</f>
        <v>22.714970000000001</v>
      </c>
    </row>
    <row r="1000" spans="1:20" x14ac:dyDescent="0.3">
      <c r="A1000" t="s">
        <v>433</v>
      </c>
      <c r="B1000" s="2">
        <v>77.13</v>
      </c>
      <c r="C1000" t="s">
        <v>2134</v>
      </c>
      <c r="D1000" t="s">
        <v>2135</v>
      </c>
      <c r="E1000" t="s">
        <v>27</v>
      </c>
      <c r="F1000" s="1">
        <v>45421</v>
      </c>
      <c r="G1000" t="s">
        <v>2740</v>
      </c>
      <c r="I1000">
        <f>_xll.ciqfunctions.udf.CIQ(A1000, "IQ_MARKETCAP", F1000)</f>
        <v>191174.98327999999</v>
      </c>
      <c r="J1000">
        <f>_xll.ciqfunctions.udf.CIQ(A1000, "IQ_PRICE_VOL_HIST_6MTH", F1000)</f>
        <v>22.2545</v>
      </c>
      <c r="K1000">
        <f>_xll.ciqfunctions.udf.CIQ(A1000, "IQ_LASTSALEPRICE", WORKDAY(F1000,-1))</f>
        <v>122.64</v>
      </c>
      <c r="L1000">
        <f>_xll.ciqfunctions.udf.CIQ(A1000, "IQ_LASTSALEPRICE", F1000)</f>
        <v>123.32</v>
      </c>
      <c r="M1000">
        <f>_xll.ciqfunctions.udf.CIQ(A1000, "IQ_LASTSALEPRICE", WORKDAY(F1000,5))</f>
        <v>121.66</v>
      </c>
      <c r="N1000">
        <f t="shared" si="30"/>
        <v>5.5293684543908398E-3</v>
      </c>
      <c r="O1000">
        <f t="shared" si="31"/>
        <v>-8.0229656709994712E-3</v>
      </c>
      <c r="P1000">
        <f>LN(_xll.ciqfunctions.udf.CIQ("XBI", "IQ_LASTSALEPRICE", WORKDAY(F1000,-1))/_xll.ciqfunctions.udf.CIQ("XBI", "IQ_LASTSALEPRICE", WORKDAY(F1000,1)))</f>
        <v>1.0945102210787433E-2</v>
      </c>
      <c r="Q1000">
        <f>LN(_xll.ciqfunctions.udf.CIQ("XBI", "IQ_LASTSALEPRICE", WORKDAY(F1000,-1))/_xll.ciqfunctions.udf.CIQ("XBI", "IQ_LASTSALEPRICE", WORKDAY(F1000,5)))</f>
        <v>-3.8309582835327288E-2</v>
      </c>
      <c r="R1000">
        <f>_xll.ciqfunctions.udf.CIQ(A1000, "IQ_SHORT_INTEREST_PERCENT", F1000)</f>
        <v>0</v>
      </c>
      <c r="S1000">
        <f>_xll.ciqfunctions.udf.CIQ(A1000, "IQ_BETA_1YR_RSQ", F1000)</f>
        <v>0.19836999999999999</v>
      </c>
      <c r="T1000">
        <f>_xll.ciqfunctions.udf.CIQ(A1000, "IQ_VALUE_TRADED", F1000)</f>
        <v>164.01042000000001</v>
      </c>
    </row>
    <row r="1001" spans="1:20" x14ac:dyDescent="0.3">
      <c r="A1001" t="s">
        <v>2741</v>
      </c>
      <c r="B1001" s="2">
        <v>26.23</v>
      </c>
      <c r="C1001" t="s">
        <v>2742</v>
      </c>
      <c r="D1001" t="s">
        <v>2743</v>
      </c>
      <c r="E1001" t="s">
        <v>36</v>
      </c>
      <c r="F1001" s="1">
        <v>45421</v>
      </c>
      <c r="G1001" t="s">
        <v>2744</v>
      </c>
      <c r="H1001">
        <v>28</v>
      </c>
      <c r="I1001">
        <f>_xll.ciqfunctions.udf.CIQ(A1001, "IQ_MARKETCAP", F1001)</f>
        <v>716.56803000000002</v>
      </c>
      <c r="J1001">
        <f>_xll.ciqfunctions.udf.CIQ(A1001, "IQ_PRICE_VOL_HIST_6MTH", F1001)</f>
        <v>59.017600000000002</v>
      </c>
      <c r="K1001">
        <f>_xll.ciqfunctions.udf.CIQ(A1001, "IQ_LASTSALEPRICE", WORKDAY(F1001,-1))</f>
        <v>25.75</v>
      </c>
      <c r="L1001">
        <f>_xll.ciqfunctions.udf.CIQ(A1001, "IQ_LASTSALEPRICE", F1001)</f>
        <v>26.23</v>
      </c>
      <c r="M1001">
        <f>_xll.ciqfunctions.udf.CIQ(A1001, "IQ_LASTSALEPRICE", WORKDAY(F1001,5))</f>
        <v>25.47</v>
      </c>
      <c r="N1001">
        <f t="shared" si="30"/>
        <v>1.846916676903711E-2</v>
      </c>
      <c r="O1001">
        <f t="shared" si="31"/>
        <v>-1.0933338118379562E-2</v>
      </c>
      <c r="P1001">
        <f>LN(_xll.ciqfunctions.udf.CIQ("XBI", "IQ_LASTSALEPRICE", WORKDAY(F1001,-1))/_xll.ciqfunctions.udf.CIQ("XBI", "IQ_LASTSALEPRICE", WORKDAY(F1001,1)))</f>
        <v>1.0945102210787433E-2</v>
      </c>
      <c r="Q1001">
        <f>LN(_xll.ciqfunctions.udf.CIQ("XBI", "IQ_LASTSALEPRICE", WORKDAY(F1001,-1))/_xll.ciqfunctions.udf.CIQ("XBI", "IQ_LASTSALEPRICE", WORKDAY(F1001,5)))</f>
        <v>-3.8309582835327288E-2</v>
      </c>
      <c r="R1001">
        <f>_xll.ciqfunctions.udf.CIQ(A1001, "IQ_SHORT_INTEREST_PERCENT", F1001)</f>
        <v>16.014510000000001</v>
      </c>
      <c r="S1001">
        <f>_xll.ciqfunctions.udf.CIQ(A1001, "IQ_BETA_1YR_RSQ", F1001)</f>
        <v>4.2419999999999999E-2</v>
      </c>
      <c r="T1001">
        <f>_xll.ciqfunctions.udf.CIQ(A1001, "IQ_VALUE_TRADED", F1001)</f>
        <v>5.9368499999999997</v>
      </c>
    </row>
    <row r="1002" spans="1:20" x14ac:dyDescent="0.3">
      <c r="A1002" t="s">
        <v>2745</v>
      </c>
      <c r="B1002" s="2">
        <v>3.83</v>
      </c>
      <c r="C1002" t="s">
        <v>2746</v>
      </c>
      <c r="D1002" t="s">
        <v>2747</v>
      </c>
      <c r="E1002" t="s">
        <v>76</v>
      </c>
      <c r="F1002" s="1">
        <v>45421</v>
      </c>
      <c r="G1002" t="s">
        <v>2748</v>
      </c>
      <c r="H1002">
        <v>46</v>
      </c>
      <c r="I1002">
        <f>_xll.ciqfunctions.udf.CIQ(A1002, "IQ_MARKETCAP", F1002)</f>
        <v>140.48161999999999</v>
      </c>
      <c r="J1002">
        <f>_xll.ciqfunctions.udf.CIQ(A1002, "IQ_PRICE_VOL_HIST_6MTH", F1002)</f>
        <v>83.174199999999999</v>
      </c>
      <c r="K1002">
        <f>_xll.ciqfunctions.udf.CIQ(A1002, "IQ_LASTSALEPRICE", WORKDAY(F1002,-1))</f>
        <v>4.0199999999999996</v>
      </c>
      <c r="L1002">
        <f>_xll.ciqfunctions.udf.CIQ(A1002, "IQ_LASTSALEPRICE", F1002)</f>
        <v>3.83</v>
      </c>
      <c r="M1002">
        <f>_xll.ciqfunctions.udf.CIQ(A1002, "IQ_LASTSALEPRICE", WORKDAY(F1002,5))</f>
        <v>3.53</v>
      </c>
      <c r="N1002">
        <f t="shared" si="30"/>
        <v>-4.8417099438374904E-2</v>
      </c>
      <c r="O1002">
        <f t="shared" si="31"/>
        <v>-0.12998403168572423</v>
      </c>
      <c r="P1002">
        <f>LN(_xll.ciqfunctions.udf.CIQ("XBI", "IQ_LASTSALEPRICE", WORKDAY(F1002,-1))/_xll.ciqfunctions.udf.CIQ("XBI", "IQ_LASTSALEPRICE", WORKDAY(F1002,1)))</f>
        <v>1.0945102210787433E-2</v>
      </c>
      <c r="Q1002">
        <f>LN(_xll.ciqfunctions.udf.CIQ("XBI", "IQ_LASTSALEPRICE", WORKDAY(F1002,-1))/_xll.ciqfunctions.udf.CIQ("XBI", "IQ_LASTSALEPRICE", WORKDAY(F1002,5)))</f>
        <v>-3.8309582835327288E-2</v>
      </c>
      <c r="R1002">
        <f>_xll.ciqfunctions.udf.CIQ(A1002, "IQ_SHORT_INTEREST_PERCENT", F1002)</f>
        <v>18.713619999999999</v>
      </c>
      <c r="S1002">
        <f>_xll.ciqfunctions.udf.CIQ(A1002, "IQ_BETA_1YR_RSQ", F1002)</f>
        <v>0.11043</v>
      </c>
      <c r="T1002">
        <f>_xll.ciqfunctions.udf.CIQ(A1002, "IQ_VALUE_TRADED", F1002)</f>
        <v>4.7817600000000002</v>
      </c>
    </row>
    <row r="1003" spans="1:20" x14ac:dyDescent="0.3">
      <c r="A1003" t="s">
        <v>1469</v>
      </c>
      <c r="B1003" s="2">
        <v>6.93</v>
      </c>
      <c r="C1003" t="s">
        <v>1470</v>
      </c>
      <c r="D1003" t="s">
        <v>1471</v>
      </c>
      <c r="E1003" t="s">
        <v>89</v>
      </c>
      <c r="F1003" s="1">
        <v>45421</v>
      </c>
      <c r="G1003" t="s">
        <v>2749</v>
      </c>
      <c r="H1003">
        <v>5</v>
      </c>
      <c r="I1003">
        <f>_xll.ciqfunctions.udf.CIQ(A1003, "IQ_MARKETCAP", F1003)</f>
        <v>3.5356000000000001</v>
      </c>
      <c r="J1003">
        <f>_xll.ciqfunctions.udf.CIQ(A1003, "IQ_PRICE_VOL_HIST_6MTH", F1003)</f>
        <v>133.72800000000001</v>
      </c>
      <c r="K1003">
        <f>_xll.ciqfunctions.udf.CIQ(A1003, "IQ_LASTSALEPRICE", WORKDAY(F1003,-1))</f>
        <v>7.2</v>
      </c>
      <c r="L1003">
        <f>_xll.ciqfunctions.udf.CIQ(A1003, "IQ_LASTSALEPRICE", F1003)</f>
        <v>6.93</v>
      </c>
      <c r="M1003">
        <f>_xll.ciqfunctions.udf.CIQ(A1003, "IQ_LASTSALEPRICE", WORKDAY(F1003,5))</f>
        <v>6.5915999999999997</v>
      </c>
      <c r="N1003">
        <f t="shared" si="30"/>
        <v>-3.8221212820197858E-2</v>
      </c>
      <c r="O1003">
        <f t="shared" si="31"/>
        <v>-8.8284914867571673E-2</v>
      </c>
      <c r="P1003">
        <f>LN(_xll.ciqfunctions.udf.CIQ("XBI", "IQ_LASTSALEPRICE", WORKDAY(F1003,-1))/_xll.ciqfunctions.udf.CIQ("XBI", "IQ_LASTSALEPRICE", WORKDAY(F1003,1)))</f>
        <v>1.0945102210787433E-2</v>
      </c>
      <c r="Q1003">
        <f>LN(_xll.ciqfunctions.udf.CIQ("XBI", "IQ_LASTSALEPRICE", WORKDAY(F1003,-1))/_xll.ciqfunctions.udf.CIQ("XBI", "IQ_LASTSALEPRICE", WORKDAY(F1003,5)))</f>
        <v>-3.8309582835327288E-2</v>
      </c>
      <c r="R1003">
        <f>_xll.ciqfunctions.udf.CIQ(A1003, "IQ_SHORT_INTEREST_PERCENT", F1003)</f>
        <v>4.0221999999999998</v>
      </c>
      <c r="S1003">
        <f>_xll.ciqfunctions.udf.CIQ(A1003, "IQ_BETA_1YR_RSQ", F1003)</f>
        <v>5.6299999999999996E-3</v>
      </c>
      <c r="T1003">
        <f>_xll.ciqfunctions.udf.CIQ(A1003, "IQ_VALUE_TRADED", F1003)</f>
        <v>6.7799999999999999E-2</v>
      </c>
    </row>
    <row r="1004" spans="1:20" x14ac:dyDescent="0.3">
      <c r="A1004" t="s">
        <v>300</v>
      </c>
      <c r="B1004" s="2">
        <v>25.64</v>
      </c>
      <c r="C1004" t="s">
        <v>2750</v>
      </c>
      <c r="D1004" t="s">
        <v>2751</v>
      </c>
      <c r="E1004" t="s">
        <v>89</v>
      </c>
      <c r="F1004" s="1">
        <v>45421</v>
      </c>
      <c r="G1004" t="s">
        <v>2752</v>
      </c>
      <c r="H1004">
        <v>46</v>
      </c>
      <c r="I1004">
        <f>_xll.ciqfunctions.udf.CIQ(A1004, "IQ_MARKETCAP", F1004)</f>
        <v>1325.6754800000001</v>
      </c>
      <c r="J1004">
        <f>_xll.ciqfunctions.udf.CIQ(A1004, "IQ_PRICE_VOL_HIST_6MTH", F1004)</f>
        <v>109.8702</v>
      </c>
      <c r="K1004">
        <f>_xll.ciqfunctions.udf.CIQ(A1004, "IQ_LASTSALEPRICE", WORKDAY(F1004,-1))</f>
        <v>26.33</v>
      </c>
      <c r="L1004">
        <f>_xll.ciqfunctions.udf.CIQ(A1004, "IQ_LASTSALEPRICE", F1004)</f>
        <v>25.64</v>
      </c>
      <c r="M1004">
        <f>_xll.ciqfunctions.udf.CIQ(A1004, "IQ_LASTSALEPRICE", WORKDAY(F1004,5))</f>
        <v>25.64</v>
      </c>
      <c r="N1004">
        <f t="shared" si="30"/>
        <v>-2.6555341455748688E-2</v>
      </c>
      <c r="O1004">
        <f t="shared" si="31"/>
        <v>-2.6555341455748688E-2</v>
      </c>
      <c r="P1004">
        <f>LN(_xll.ciqfunctions.udf.CIQ("XBI", "IQ_LASTSALEPRICE", WORKDAY(F1004,-1))/_xll.ciqfunctions.udf.CIQ("XBI", "IQ_LASTSALEPRICE", WORKDAY(F1004,1)))</f>
        <v>1.0945102210787433E-2</v>
      </c>
      <c r="Q1004">
        <f>LN(_xll.ciqfunctions.udf.CIQ("XBI", "IQ_LASTSALEPRICE", WORKDAY(F1004,-1))/_xll.ciqfunctions.udf.CIQ("XBI", "IQ_LASTSALEPRICE", WORKDAY(F1004,5)))</f>
        <v>-3.8309582835327288E-2</v>
      </c>
      <c r="R1004">
        <f>_xll.ciqfunctions.udf.CIQ(A1004, "IQ_SHORT_INTEREST_PERCENT", F1004)</f>
        <v>18.611049999999999</v>
      </c>
      <c r="S1004">
        <f>_xll.ciqfunctions.udf.CIQ(A1004, "IQ_BETA_1YR_RSQ", F1004)</f>
        <v>8.6330000000000004E-2</v>
      </c>
      <c r="T1004">
        <f>_xll.ciqfunctions.udf.CIQ(A1004, "IQ_VALUE_TRADED", F1004)</f>
        <v>8.2818199999999997</v>
      </c>
    </row>
    <row r="1005" spans="1:20" x14ac:dyDescent="0.3">
      <c r="A1005" t="s">
        <v>300</v>
      </c>
      <c r="B1005" s="2">
        <v>25.64</v>
      </c>
      <c r="C1005" t="s">
        <v>634</v>
      </c>
      <c r="D1005" t="s">
        <v>635</v>
      </c>
      <c r="E1005" t="s">
        <v>76</v>
      </c>
      <c r="F1005" s="1">
        <v>45421</v>
      </c>
      <c r="G1005" t="s">
        <v>2753</v>
      </c>
      <c r="H1005">
        <v>46</v>
      </c>
      <c r="I1005">
        <f>_xll.ciqfunctions.udf.CIQ(A1005, "IQ_MARKETCAP", F1005)</f>
        <v>1325.6754800000001</v>
      </c>
      <c r="J1005">
        <f>_xll.ciqfunctions.udf.CIQ(A1005, "IQ_PRICE_VOL_HIST_6MTH", F1005)</f>
        <v>109.8702</v>
      </c>
      <c r="K1005">
        <f>_xll.ciqfunctions.udf.CIQ(A1005, "IQ_LASTSALEPRICE", WORKDAY(F1005,-1))</f>
        <v>26.33</v>
      </c>
      <c r="L1005">
        <f>_xll.ciqfunctions.udf.CIQ(A1005, "IQ_LASTSALEPRICE", F1005)</f>
        <v>25.64</v>
      </c>
      <c r="M1005">
        <f>_xll.ciqfunctions.udf.CIQ(A1005, "IQ_LASTSALEPRICE", WORKDAY(F1005,5))</f>
        <v>25.64</v>
      </c>
      <c r="N1005">
        <f t="shared" si="30"/>
        <v>-2.6555341455748688E-2</v>
      </c>
      <c r="O1005">
        <f t="shared" si="31"/>
        <v>-2.6555341455748688E-2</v>
      </c>
      <c r="P1005">
        <f>LN(_xll.ciqfunctions.udf.CIQ("XBI", "IQ_LASTSALEPRICE", WORKDAY(F1005,-1))/_xll.ciqfunctions.udf.CIQ("XBI", "IQ_LASTSALEPRICE", WORKDAY(F1005,1)))</f>
        <v>1.0945102210787433E-2</v>
      </c>
      <c r="Q1005">
        <f>LN(_xll.ciqfunctions.udf.CIQ("XBI", "IQ_LASTSALEPRICE", WORKDAY(F1005,-1))/_xll.ciqfunctions.udf.CIQ("XBI", "IQ_LASTSALEPRICE", WORKDAY(F1005,5)))</f>
        <v>-3.8309582835327288E-2</v>
      </c>
      <c r="R1005">
        <f>_xll.ciqfunctions.udf.CIQ(A1005, "IQ_SHORT_INTEREST_PERCENT", F1005)</f>
        <v>18.611049999999999</v>
      </c>
      <c r="S1005">
        <f>_xll.ciqfunctions.udf.CIQ(A1005, "IQ_BETA_1YR_RSQ", F1005)</f>
        <v>8.6330000000000004E-2</v>
      </c>
      <c r="T1005">
        <f>_xll.ciqfunctions.udf.CIQ(A1005, "IQ_VALUE_TRADED", F1005)</f>
        <v>8.2818199999999997</v>
      </c>
    </row>
    <row r="1006" spans="1:20" x14ac:dyDescent="0.3">
      <c r="A1006" t="s">
        <v>2754</v>
      </c>
      <c r="B1006" t="s">
        <v>43</v>
      </c>
      <c r="C1006" t="s">
        <v>2755</v>
      </c>
      <c r="D1006" t="s">
        <v>2756</v>
      </c>
      <c r="E1006" t="s">
        <v>17</v>
      </c>
      <c r="F1006" s="1">
        <v>45421</v>
      </c>
      <c r="G1006" t="s">
        <v>2757</v>
      </c>
      <c r="H1006">
        <v>4</v>
      </c>
      <c r="I1006">
        <f>_xll.ciqfunctions.udf.CIQ(A1006, "IQ_MARKETCAP", F1006)</f>
        <v>5728.0869300000004</v>
      </c>
      <c r="J1006">
        <f>_xll.ciqfunctions.udf.CIQ(A1006, "IQ_PRICE_VOL_HIST_6MTH", F1006)</f>
        <v>0</v>
      </c>
      <c r="K1006">
        <f>_xll.ciqfunctions.udf.CIQ(A1006, "IQ_LASTSALEPRICE", WORKDAY(F1006,-1))</f>
        <v>0</v>
      </c>
      <c r="L1006">
        <f>_xll.ciqfunctions.udf.CIQ(A1006, "IQ_LASTSALEPRICE", F1006)</f>
        <v>0</v>
      </c>
      <c r="M1006">
        <f>_xll.ciqfunctions.udf.CIQ(A1006, "IQ_LASTSALEPRICE", WORKDAY(F1006,5))</f>
        <v>0</v>
      </c>
      <c r="N1006" t="e">
        <f t="shared" si="30"/>
        <v>#DIV/0!</v>
      </c>
      <c r="O1006" t="e">
        <f t="shared" si="31"/>
        <v>#DIV/0!</v>
      </c>
      <c r="P1006">
        <f>LN(_xll.ciqfunctions.udf.CIQ("XBI", "IQ_LASTSALEPRICE", WORKDAY(F1006,-1))/_xll.ciqfunctions.udf.CIQ("XBI", "IQ_LASTSALEPRICE", WORKDAY(F1006,1)))</f>
        <v>1.0945102210787433E-2</v>
      </c>
      <c r="Q1006">
        <f>LN(_xll.ciqfunctions.udf.CIQ("XBI", "IQ_LASTSALEPRICE", WORKDAY(F1006,-1))/_xll.ciqfunctions.udf.CIQ("XBI", "IQ_LASTSALEPRICE", WORKDAY(F1006,5)))</f>
        <v>-3.8309582835327288E-2</v>
      </c>
      <c r="R1006">
        <f>_xll.ciqfunctions.udf.CIQ(A1006, "IQ_SHORT_INTEREST_PERCENT", F1006)</f>
        <v>0</v>
      </c>
      <c r="S1006">
        <f>_xll.ciqfunctions.udf.CIQ(A1006, "IQ_BETA_1YR_RSQ", F1006)</f>
        <v>0</v>
      </c>
      <c r="T1006">
        <f>_xll.ciqfunctions.udf.CIQ(A1006, "IQ_VALUE_TRADED", F1006)</f>
        <v>0</v>
      </c>
    </row>
    <row r="1007" spans="1:20" x14ac:dyDescent="0.3">
      <c r="A1007" t="s">
        <v>2758</v>
      </c>
      <c r="B1007" s="2">
        <v>3.05</v>
      </c>
      <c r="C1007" t="s">
        <v>2759</v>
      </c>
      <c r="D1007" t="s">
        <v>243</v>
      </c>
      <c r="E1007" t="s">
        <v>89</v>
      </c>
      <c r="F1007" s="1">
        <v>45421</v>
      </c>
      <c r="G1007" t="s">
        <v>2760</v>
      </c>
      <c r="H1007">
        <v>26</v>
      </c>
      <c r="I1007">
        <f>_xll.ciqfunctions.udf.CIQ(A1007, "IQ_MARKETCAP", F1007)</f>
        <v>66.437730000000002</v>
      </c>
      <c r="J1007">
        <f>_xll.ciqfunctions.udf.CIQ(A1007, "IQ_PRICE_VOL_HIST_6MTH", F1007)</f>
        <v>132.15469999999999</v>
      </c>
      <c r="K1007">
        <f>_xll.ciqfunctions.udf.CIQ(A1007, "IQ_LASTSALEPRICE", WORKDAY(F1007,-1))</f>
        <v>2.99</v>
      </c>
      <c r="L1007">
        <f>_xll.ciqfunctions.udf.CIQ(A1007, "IQ_LASTSALEPRICE", F1007)</f>
        <v>3.05</v>
      </c>
      <c r="M1007">
        <f>_xll.ciqfunctions.udf.CIQ(A1007, "IQ_LASTSALEPRICE", WORKDAY(F1007,5))</f>
        <v>3.05</v>
      </c>
      <c r="N1007">
        <f t="shared" si="30"/>
        <v>1.9868203216724965E-2</v>
      </c>
      <c r="O1007">
        <f t="shared" si="31"/>
        <v>1.9868203216724965E-2</v>
      </c>
      <c r="P1007">
        <f>LN(_xll.ciqfunctions.udf.CIQ("XBI", "IQ_LASTSALEPRICE", WORKDAY(F1007,-1))/_xll.ciqfunctions.udf.CIQ("XBI", "IQ_LASTSALEPRICE", WORKDAY(F1007,1)))</f>
        <v>1.0945102210787433E-2</v>
      </c>
      <c r="Q1007">
        <f>LN(_xll.ciqfunctions.udf.CIQ("XBI", "IQ_LASTSALEPRICE", WORKDAY(F1007,-1))/_xll.ciqfunctions.udf.CIQ("XBI", "IQ_LASTSALEPRICE", WORKDAY(F1007,5)))</f>
        <v>-3.8309582835327288E-2</v>
      </c>
      <c r="R1007">
        <f>_xll.ciqfunctions.udf.CIQ(A1007, "IQ_SHORT_INTEREST_PERCENT", F1007)</f>
        <v>2.7314500000000002</v>
      </c>
      <c r="S1007">
        <f>_xll.ciqfunctions.udf.CIQ(A1007, "IQ_BETA_1YR_RSQ", F1007)</f>
        <v>9.1069999999999998E-2</v>
      </c>
      <c r="T1007">
        <f>_xll.ciqfunctions.udf.CIQ(A1007, "IQ_VALUE_TRADED", F1007)</f>
        <v>0.11389000000000001</v>
      </c>
    </row>
    <row r="1008" spans="1:20" x14ac:dyDescent="0.3">
      <c r="A1008" t="s">
        <v>2761</v>
      </c>
      <c r="B1008" s="2">
        <v>26.38</v>
      </c>
      <c r="C1008" t="s">
        <v>2762</v>
      </c>
      <c r="D1008" t="s">
        <v>2763</v>
      </c>
      <c r="E1008" t="s">
        <v>76</v>
      </c>
      <c r="F1008" s="1">
        <v>45421</v>
      </c>
      <c r="G1008" t="s">
        <v>2764</v>
      </c>
      <c r="H1008">
        <v>211</v>
      </c>
      <c r="I1008">
        <f>_xll.ciqfunctions.udf.CIQ(A1008, "IQ_MARKETCAP", F1008)</f>
        <v>3920.1879800000002</v>
      </c>
      <c r="J1008">
        <f>_xll.ciqfunctions.udf.CIQ(A1008, "IQ_PRICE_VOL_HIST_6MTH", F1008)</f>
        <v>37.689599999999999</v>
      </c>
      <c r="K1008">
        <f>_xll.ciqfunctions.udf.CIQ(A1008, "IQ_LASTSALEPRICE", WORKDAY(F1008,-1))</f>
        <v>26</v>
      </c>
      <c r="L1008">
        <f>_xll.ciqfunctions.udf.CIQ(A1008, "IQ_LASTSALEPRICE", F1008)</f>
        <v>26.38</v>
      </c>
      <c r="M1008">
        <f>_xll.ciqfunctions.udf.CIQ(A1008, "IQ_LASTSALEPRICE", WORKDAY(F1008,5))</f>
        <v>25.1</v>
      </c>
      <c r="N1008">
        <f t="shared" si="30"/>
        <v>1.4509609267686355E-2</v>
      </c>
      <c r="O1008">
        <f t="shared" si="31"/>
        <v>-3.5228691883743828E-2</v>
      </c>
      <c r="P1008">
        <f>LN(_xll.ciqfunctions.udf.CIQ("XBI", "IQ_LASTSALEPRICE", WORKDAY(F1008,-1))/_xll.ciqfunctions.udf.CIQ("XBI", "IQ_LASTSALEPRICE", WORKDAY(F1008,1)))</f>
        <v>1.0945102210787433E-2</v>
      </c>
      <c r="Q1008">
        <f>LN(_xll.ciqfunctions.udf.CIQ("XBI", "IQ_LASTSALEPRICE", WORKDAY(F1008,-1))/_xll.ciqfunctions.udf.CIQ("XBI", "IQ_LASTSALEPRICE", WORKDAY(F1008,5)))</f>
        <v>-3.8309582835327288E-2</v>
      </c>
      <c r="R1008">
        <f>_xll.ciqfunctions.udf.CIQ(A1008, "IQ_SHORT_INTEREST_PERCENT", F1008)</f>
        <v>5.7405900000000001</v>
      </c>
      <c r="S1008">
        <f>_xll.ciqfunctions.udf.CIQ(A1008, "IQ_BETA_1YR_RSQ", F1008)</f>
        <v>9.221E-2</v>
      </c>
      <c r="T1008">
        <f>_xll.ciqfunctions.udf.CIQ(A1008, "IQ_VALUE_TRADED", F1008)</f>
        <v>63.850569999999998</v>
      </c>
    </row>
    <row r="1009" spans="1:20" x14ac:dyDescent="0.3">
      <c r="A1009" t="s">
        <v>2009</v>
      </c>
      <c r="B1009" s="2">
        <v>20</v>
      </c>
      <c r="C1009" t="s">
        <v>2765</v>
      </c>
      <c r="D1009" t="s">
        <v>2278</v>
      </c>
      <c r="E1009" t="s">
        <v>76</v>
      </c>
      <c r="F1009" s="1">
        <v>45421</v>
      </c>
      <c r="G1009" t="s">
        <v>2766</v>
      </c>
      <c r="H1009">
        <v>105</v>
      </c>
      <c r="I1009">
        <f>_xll.ciqfunctions.udf.CIQ(A1009, "IQ_MARKETCAP", F1009)</f>
        <v>1867.97534</v>
      </c>
      <c r="J1009">
        <f>_xll.ciqfunctions.udf.CIQ(A1009, "IQ_PRICE_VOL_HIST_6MTH", F1009)</f>
        <v>90.0411</v>
      </c>
      <c r="K1009">
        <f>_xll.ciqfunctions.udf.CIQ(A1009, "IQ_LASTSALEPRICE", WORKDAY(F1009,-1))</f>
        <v>20.89</v>
      </c>
      <c r="L1009">
        <f>_xll.ciqfunctions.udf.CIQ(A1009, "IQ_LASTSALEPRICE", F1009)</f>
        <v>20</v>
      </c>
      <c r="M1009">
        <f>_xll.ciqfunctions.udf.CIQ(A1009, "IQ_LASTSALEPRICE", WORKDAY(F1009,5))</f>
        <v>18.18</v>
      </c>
      <c r="N1009">
        <f t="shared" si="30"/>
        <v>-4.3538302014483485E-2</v>
      </c>
      <c r="O1009">
        <f t="shared" si="31"/>
        <v>-0.13894848681914174</v>
      </c>
      <c r="P1009">
        <f>LN(_xll.ciqfunctions.udf.CIQ("XBI", "IQ_LASTSALEPRICE", WORKDAY(F1009,-1))/_xll.ciqfunctions.udf.CIQ("XBI", "IQ_LASTSALEPRICE", WORKDAY(F1009,1)))</f>
        <v>1.0945102210787433E-2</v>
      </c>
      <c r="Q1009">
        <f>LN(_xll.ciqfunctions.udf.CIQ("XBI", "IQ_LASTSALEPRICE", WORKDAY(F1009,-1))/_xll.ciqfunctions.udf.CIQ("XBI", "IQ_LASTSALEPRICE", WORKDAY(F1009,5)))</f>
        <v>-3.8309582835327288E-2</v>
      </c>
      <c r="R1009">
        <f>_xll.ciqfunctions.udf.CIQ(A1009, "IQ_SHORT_INTEREST_PERCENT", F1009)</f>
        <v>6.9841100000000003</v>
      </c>
      <c r="S1009">
        <f>_xll.ciqfunctions.udf.CIQ(A1009, "IQ_BETA_1YR_RSQ", F1009)</f>
        <v>4.9169999999999998E-2</v>
      </c>
      <c r="T1009">
        <f>_xll.ciqfunctions.udf.CIQ(A1009, "IQ_VALUE_TRADED", F1009)</f>
        <v>20.529699999999998</v>
      </c>
    </row>
    <row r="1010" spans="1:20" x14ac:dyDescent="0.3">
      <c r="A1010" t="s">
        <v>2767</v>
      </c>
      <c r="B1010" s="2">
        <v>2.14</v>
      </c>
      <c r="C1010" t="s">
        <v>2768</v>
      </c>
      <c r="D1010" t="s">
        <v>416</v>
      </c>
      <c r="E1010" t="s">
        <v>184</v>
      </c>
      <c r="F1010" s="1">
        <v>45421</v>
      </c>
      <c r="G1010" t="s">
        <v>2769</v>
      </c>
      <c r="H1010">
        <v>10</v>
      </c>
      <c r="I1010">
        <f>_xll.ciqfunctions.udf.CIQ(A1010, "IQ_MARKETCAP", F1010)</f>
        <v>40.422469999999997</v>
      </c>
      <c r="J1010">
        <f>_xll.ciqfunctions.udf.CIQ(A1010, "IQ_PRICE_VOL_HIST_6MTH", F1010)</f>
        <v>38.554499999999997</v>
      </c>
      <c r="K1010">
        <f>_xll.ciqfunctions.udf.CIQ(A1010, "IQ_LASTSALEPRICE", WORKDAY(F1010,-1))</f>
        <v>2.7E-2</v>
      </c>
      <c r="L1010">
        <f>_xll.ciqfunctions.udf.CIQ(A1010, "IQ_LASTSALEPRICE", F1010)</f>
        <v>2.7E-2</v>
      </c>
      <c r="M1010">
        <f>_xll.ciqfunctions.udf.CIQ(A1010, "IQ_LASTSALEPRICE", WORKDAY(F1010,5))</f>
        <v>2.5999999999999999E-2</v>
      </c>
      <c r="N1010">
        <f t="shared" si="30"/>
        <v>0</v>
      </c>
      <c r="O1010">
        <f t="shared" si="31"/>
        <v>-3.7740327982847086E-2</v>
      </c>
      <c r="P1010">
        <f>LN(_xll.ciqfunctions.udf.CIQ("XBI", "IQ_LASTSALEPRICE", WORKDAY(F1010,-1))/_xll.ciqfunctions.udf.CIQ("XBI", "IQ_LASTSALEPRICE", WORKDAY(F1010,1)))</f>
        <v>1.0945102210787433E-2</v>
      </c>
      <c r="Q1010">
        <f>LN(_xll.ciqfunctions.udf.CIQ("XBI", "IQ_LASTSALEPRICE", WORKDAY(F1010,-1))/_xll.ciqfunctions.udf.CIQ("XBI", "IQ_LASTSALEPRICE", WORKDAY(F1010,5)))</f>
        <v>-3.8309582835327288E-2</v>
      </c>
      <c r="R1010">
        <f>_xll.ciqfunctions.udf.CIQ(A1010, "IQ_SHORT_INTEREST_PERCENT", F1010)</f>
        <v>0</v>
      </c>
      <c r="S1010">
        <f>_xll.ciqfunctions.udf.CIQ(A1010, "IQ_BETA_1YR_RSQ", F1010)</f>
        <v>4.7669999999999997E-2</v>
      </c>
      <c r="T1010">
        <f>_xll.ciqfunctions.udf.CIQ(A1010, "IQ_VALUE_TRADED", F1010)</f>
        <v>1.2203200000000001</v>
      </c>
    </row>
    <row r="1011" spans="1:20" x14ac:dyDescent="0.3">
      <c r="A1011" t="s">
        <v>1753</v>
      </c>
      <c r="B1011" s="2">
        <v>117.31</v>
      </c>
      <c r="C1011" t="s">
        <v>2770</v>
      </c>
      <c r="D1011" t="s">
        <v>2771</v>
      </c>
      <c r="E1011" t="s">
        <v>849</v>
      </c>
      <c r="F1011" s="1">
        <v>45422</v>
      </c>
      <c r="G1011" t="s">
        <v>2772</v>
      </c>
      <c r="H1011">
        <v>389</v>
      </c>
      <c r="I1011">
        <f>_xll.ciqfunctions.udf.CIQ(A1011, "IQ_MARKETCAP", F1011)</f>
        <v>44957.85226</v>
      </c>
      <c r="J1011">
        <f>_xll.ciqfunctions.udf.CIQ(A1011, "IQ_PRICE_VOL_HIST_6MTH", F1011)</f>
        <v>53.18</v>
      </c>
      <c r="K1011">
        <f>_xll.ciqfunctions.udf.CIQ(A1011, "IQ_LASTSALEPRICE", WORKDAY(F1011,-1))</f>
        <v>122.69</v>
      </c>
      <c r="L1011">
        <f>_xll.ciqfunctions.udf.CIQ(A1011, "IQ_LASTSALEPRICE", F1011)</f>
        <v>117.31</v>
      </c>
      <c r="M1011">
        <f>_xll.ciqfunctions.udf.CIQ(A1011, "IQ_LASTSALEPRICE", WORKDAY(F1011,5))</f>
        <v>132.9</v>
      </c>
      <c r="N1011">
        <f t="shared" si="30"/>
        <v>-4.4840845285462422E-2</v>
      </c>
      <c r="O1011">
        <f t="shared" si="31"/>
        <v>7.9936116916108163E-2</v>
      </c>
      <c r="P1011">
        <f>LN(_xll.ciqfunctions.udf.CIQ("XBI", "IQ_LASTSALEPRICE", WORKDAY(F1011,-1))/_xll.ciqfunctions.udf.CIQ("XBI", "IQ_LASTSALEPRICE", WORKDAY(F1011,1)))</f>
        <v>-1.006382193923259E-2</v>
      </c>
      <c r="Q1011">
        <f>LN(_xll.ciqfunctions.udf.CIQ("XBI", "IQ_LASTSALEPRICE", WORKDAY(F1011,-1))/_xll.ciqfunctions.udf.CIQ("XBI", "IQ_LASTSALEPRICE", WORKDAY(F1011,5)))</f>
        <v>-2.442394940739966E-2</v>
      </c>
      <c r="R1011">
        <f>_xll.ciqfunctions.udf.CIQ(A1011, "IQ_SHORT_INTEREST_PERCENT", F1011)</f>
        <v>5.4983899999999997</v>
      </c>
      <c r="S1011">
        <f>_xll.ciqfunctions.udf.CIQ(A1011, "IQ_BETA_1YR_RSQ", F1011)</f>
        <v>0.16403999999999999</v>
      </c>
      <c r="T1011">
        <f>_xll.ciqfunctions.udf.CIQ(A1011, "IQ_VALUE_TRADED", F1011)</f>
        <v>497.21937000000003</v>
      </c>
    </row>
    <row r="1012" spans="1:20" x14ac:dyDescent="0.3">
      <c r="A1012" t="s">
        <v>2773</v>
      </c>
      <c r="B1012" s="2">
        <v>3.13</v>
      </c>
      <c r="C1012" t="s">
        <v>2774</v>
      </c>
      <c r="D1012" t="s">
        <v>2775</v>
      </c>
      <c r="E1012" t="s">
        <v>89</v>
      </c>
      <c r="F1012" s="1">
        <v>45422</v>
      </c>
      <c r="G1012" t="s">
        <v>2776</v>
      </c>
      <c r="H1012">
        <v>86</v>
      </c>
      <c r="I1012">
        <f>_xll.ciqfunctions.udf.CIQ(A1012, "IQ_MARKETCAP", F1012)</f>
        <v>259.31227999999999</v>
      </c>
      <c r="J1012">
        <f>_xll.ciqfunctions.udf.CIQ(A1012, "IQ_PRICE_VOL_HIST_6MTH", F1012)</f>
        <v>102.7914</v>
      </c>
      <c r="K1012">
        <f>_xll.ciqfunctions.udf.CIQ(A1012, "IQ_LASTSALEPRICE", WORKDAY(F1012,-1))</f>
        <v>3.04</v>
      </c>
      <c r="L1012">
        <f>_xll.ciqfunctions.udf.CIQ(A1012, "IQ_LASTSALEPRICE", F1012)</f>
        <v>3.13</v>
      </c>
      <c r="M1012">
        <f>_xll.ciqfunctions.udf.CIQ(A1012, "IQ_LASTSALEPRICE", WORKDAY(F1012,5))</f>
        <v>3.01</v>
      </c>
      <c r="N1012">
        <f t="shared" si="30"/>
        <v>2.9175489133931472E-2</v>
      </c>
      <c r="O1012">
        <f t="shared" si="31"/>
        <v>-9.9174366573460283E-3</v>
      </c>
      <c r="P1012">
        <f>LN(_xll.ciqfunctions.udf.CIQ("XBI", "IQ_LASTSALEPRICE", WORKDAY(F1012,-1))/_xll.ciqfunctions.udf.CIQ("XBI", "IQ_LASTSALEPRICE", WORKDAY(F1012,1)))</f>
        <v>-1.006382193923259E-2</v>
      </c>
      <c r="Q1012">
        <f>LN(_xll.ciqfunctions.udf.CIQ("XBI", "IQ_LASTSALEPRICE", WORKDAY(F1012,-1))/_xll.ciqfunctions.udf.CIQ("XBI", "IQ_LASTSALEPRICE", WORKDAY(F1012,5)))</f>
        <v>-2.442394940739966E-2</v>
      </c>
      <c r="R1012">
        <f>_xll.ciqfunctions.udf.CIQ(A1012, "IQ_SHORT_INTEREST_PERCENT", F1012)</f>
        <v>1.8772800000000001</v>
      </c>
      <c r="S1012">
        <f>_xll.ciqfunctions.udf.CIQ(A1012, "IQ_BETA_1YR_RSQ", F1012)</f>
        <v>3.8339999999999999E-2</v>
      </c>
      <c r="T1012">
        <f>_xll.ciqfunctions.udf.CIQ(A1012, "IQ_VALUE_TRADED", F1012)</f>
        <v>0.21839</v>
      </c>
    </row>
    <row r="1013" spans="1:20" x14ac:dyDescent="0.3">
      <c r="A1013" t="s">
        <v>846</v>
      </c>
      <c r="B1013" s="2">
        <v>22.72</v>
      </c>
      <c r="C1013" t="s">
        <v>2777</v>
      </c>
      <c r="D1013" t="s">
        <v>2778</v>
      </c>
      <c r="E1013" t="s">
        <v>22</v>
      </c>
      <c r="F1013" s="1">
        <v>45422</v>
      </c>
      <c r="G1013" t="s">
        <v>2779</v>
      </c>
      <c r="H1013">
        <v>107</v>
      </c>
      <c r="I1013">
        <f>_xll.ciqfunctions.udf.CIQ(A1013, "IQ_MARKETCAP", F1013)</f>
        <v>2062.5718299999999</v>
      </c>
      <c r="J1013">
        <f>_xll.ciqfunctions.udf.CIQ(A1013, "IQ_PRICE_VOL_HIST_6MTH", F1013)</f>
        <v>46.018999999999998</v>
      </c>
      <c r="K1013">
        <f>_xll.ciqfunctions.udf.CIQ(A1013, "IQ_LASTSALEPRICE", WORKDAY(F1013,-1))</f>
        <v>23.33</v>
      </c>
      <c r="L1013">
        <f>_xll.ciqfunctions.udf.CIQ(A1013, "IQ_LASTSALEPRICE", F1013)</f>
        <v>22.72</v>
      </c>
      <c r="M1013">
        <f>_xll.ciqfunctions.udf.CIQ(A1013, "IQ_LASTSALEPRICE", WORKDAY(F1013,5))</f>
        <v>22.62</v>
      </c>
      <c r="N1013">
        <f t="shared" si="30"/>
        <v>-2.6494492180387942E-2</v>
      </c>
      <c r="O1013">
        <f t="shared" si="31"/>
        <v>-3.0905615345364099E-2</v>
      </c>
      <c r="P1013">
        <f>LN(_xll.ciqfunctions.udf.CIQ("XBI", "IQ_LASTSALEPRICE", WORKDAY(F1013,-1))/_xll.ciqfunctions.udf.CIQ("XBI", "IQ_LASTSALEPRICE", WORKDAY(F1013,1)))</f>
        <v>-1.006382193923259E-2</v>
      </c>
      <c r="Q1013">
        <f>LN(_xll.ciqfunctions.udf.CIQ("XBI", "IQ_LASTSALEPRICE", WORKDAY(F1013,-1))/_xll.ciqfunctions.udf.CIQ("XBI", "IQ_LASTSALEPRICE", WORKDAY(F1013,5)))</f>
        <v>-2.442394940739966E-2</v>
      </c>
      <c r="R1013">
        <f>_xll.ciqfunctions.udf.CIQ(A1013, "IQ_SHORT_INTEREST_PERCENT", F1013)</f>
        <v>10.835789999999999</v>
      </c>
      <c r="S1013">
        <f>_xll.ciqfunctions.udf.CIQ(A1013, "IQ_BETA_1YR_RSQ", F1013)</f>
        <v>9.8140000000000005E-2</v>
      </c>
      <c r="T1013">
        <f>_xll.ciqfunctions.udf.CIQ(A1013, "IQ_VALUE_TRADED", F1013)</f>
        <v>9.1320300000000003</v>
      </c>
    </row>
    <row r="1014" spans="1:20" x14ac:dyDescent="0.3">
      <c r="A1014" t="s">
        <v>2402</v>
      </c>
      <c r="B1014" s="2">
        <v>6.48</v>
      </c>
      <c r="C1014" t="s">
        <v>2403</v>
      </c>
      <c r="D1014" t="s">
        <v>2404</v>
      </c>
      <c r="E1014" t="s">
        <v>89</v>
      </c>
      <c r="F1014" s="1">
        <v>45422</v>
      </c>
      <c r="G1014" t="s">
        <v>2780</v>
      </c>
      <c r="H1014">
        <v>3</v>
      </c>
      <c r="I1014">
        <f>_xll.ciqfunctions.udf.CIQ(A1014, "IQ_MARKETCAP", F1014)</f>
        <v>6.2217900000000004</v>
      </c>
      <c r="J1014">
        <f>_xll.ciqfunctions.udf.CIQ(A1014, "IQ_PRICE_VOL_HIST_6MTH", F1014)</f>
        <v>230.74979999999999</v>
      </c>
      <c r="K1014">
        <f>_xll.ciqfunctions.udf.CIQ(A1014, "IQ_LASTSALEPRICE", WORKDAY(F1014,-1))</f>
        <v>49.650350000000003</v>
      </c>
      <c r="L1014">
        <f>_xll.ciqfunctions.udf.CIQ(A1014, "IQ_LASTSALEPRICE", F1014)</f>
        <v>43.156840000000003</v>
      </c>
      <c r="M1014">
        <f>_xll.ciqfunctions.udf.CIQ(A1014, "IQ_LASTSALEPRICE", WORKDAY(F1014,5))</f>
        <v>36.363639999999997</v>
      </c>
      <c r="N1014">
        <f t="shared" si="30"/>
        <v>-0.14016451804292274</v>
      </c>
      <c r="O1014">
        <f t="shared" si="31"/>
        <v>-0.31143606550214664</v>
      </c>
      <c r="P1014">
        <f>LN(_xll.ciqfunctions.udf.CIQ("XBI", "IQ_LASTSALEPRICE", WORKDAY(F1014,-1))/_xll.ciqfunctions.udf.CIQ("XBI", "IQ_LASTSALEPRICE", WORKDAY(F1014,1)))</f>
        <v>-1.006382193923259E-2</v>
      </c>
      <c r="Q1014">
        <f>LN(_xll.ciqfunctions.udf.CIQ("XBI", "IQ_LASTSALEPRICE", WORKDAY(F1014,-1))/_xll.ciqfunctions.udf.CIQ("XBI", "IQ_LASTSALEPRICE", WORKDAY(F1014,5)))</f>
        <v>-2.442394940739966E-2</v>
      </c>
      <c r="R1014">
        <f>_xll.ciqfunctions.udf.CIQ(A1014, "IQ_SHORT_INTEREST_PERCENT", F1014)</f>
        <v>1.02826</v>
      </c>
      <c r="S1014">
        <f>_xll.ciqfunctions.udf.CIQ(A1014, "IQ_BETA_1YR_RSQ", F1014)</f>
        <v>1.3429999999999999E-2</v>
      </c>
      <c r="T1014">
        <f>_xll.ciqfunctions.udf.CIQ(A1014, "IQ_VALUE_TRADED", F1014)</f>
        <v>0.48685</v>
      </c>
    </row>
    <row r="1015" spans="1:20" x14ac:dyDescent="0.3">
      <c r="A1015" t="s">
        <v>2781</v>
      </c>
      <c r="B1015" s="2">
        <v>2.1800000000000002</v>
      </c>
      <c r="C1015" t="s">
        <v>2782</v>
      </c>
      <c r="D1015" t="s">
        <v>2783</v>
      </c>
      <c r="E1015" t="s">
        <v>17</v>
      </c>
      <c r="F1015" s="1">
        <v>45422</v>
      </c>
      <c r="G1015" t="s">
        <v>2784</v>
      </c>
      <c r="H1015">
        <v>28</v>
      </c>
      <c r="I1015">
        <f>_xll.ciqfunctions.udf.CIQ(A1015, "IQ_MARKETCAP", F1015)</f>
        <v>57.583170000000003</v>
      </c>
      <c r="J1015">
        <f>_xll.ciqfunctions.udf.CIQ(A1015, "IQ_PRICE_VOL_HIST_6MTH", F1015)</f>
        <v>105.4319</v>
      </c>
      <c r="K1015">
        <f>_xll.ciqfunctions.udf.CIQ(A1015, "IQ_LASTSALEPRICE", WORKDAY(F1015,-1))</f>
        <v>2.1800000000000002</v>
      </c>
      <c r="L1015">
        <f>_xll.ciqfunctions.udf.CIQ(A1015, "IQ_LASTSALEPRICE", F1015)</f>
        <v>2.1800000000000002</v>
      </c>
      <c r="M1015">
        <f>_xll.ciqfunctions.udf.CIQ(A1015, "IQ_LASTSALEPRICE", WORKDAY(F1015,5))</f>
        <v>2.4700000000000002</v>
      </c>
      <c r="N1015">
        <f t="shared" si="30"/>
        <v>0</v>
      </c>
      <c r="O1015">
        <f t="shared" si="31"/>
        <v>0.12489327383888817</v>
      </c>
      <c r="P1015">
        <f>LN(_xll.ciqfunctions.udf.CIQ("XBI", "IQ_LASTSALEPRICE", WORKDAY(F1015,-1))/_xll.ciqfunctions.udf.CIQ("XBI", "IQ_LASTSALEPRICE", WORKDAY(F1015,1)))</f>
        <v>-1.006382193923259E-2</v>
      </c>
      <c r="Q1015">
        <f>LN(_xll.ciqfunctions.udf.CIQ("XBI", "IQ_LASTSALEPRICE", WORKDAY(F1015,-1))/_xll.ciqfunctions.udf.CIQ("XBI", "IQ_LASTSALEPRICE", WORKDAY(F1015,5)))</f>
        <v>-2.442394940739966E-2</v>
      </c>
      <c r="R1015">
        <f>_xll.ciqfunctions.udf.CIQ(A1015, "IQ_SHORT_INTEREST_PERCENT", F1015)</f>
        <v>1.46702</v>
      </c>
      <c r="S1015">
        <f>_xll.ciqfunctions.udf.CIQ(A1015, "IQ_BETA_1YR_RSQ", F1015)</f>
        <v>2.2929999999999999E-2</v>
      </c>
      <c r="T1015">
        <f>_xll.ciqfunctions.udf.CIQ(A1015, "IQ_VALUE_TRADED", F1015)</f>
        <v>0.87973000000000001</v>
      </c>
    </row>
    <row r="1016" spans="1:20" x14ac:dyDescent="0.3">
      <c r="A1016" t="s">
        <v>2785</v>
      </c>
      <c r="B1016" s="2">
        <v>1.1000000000000001</v>
      </c>
      <c r="C1016" t="s">
        <v>2786</v>
      </c>
      <c r="D1016" t="s">
        <v>2787</v>
      </c>
      <c r="E1016" t="s">
        <v>22</v>
      </c>
      <c r="F1016" s="1">
        <v>45422</v>
      </c>
      <c r="G1016" t="s">
        <v>2788</v>
      </c>
      <c r="H1016">
        <v>79</v>
      </c>
      <c r="I1016">
        <f>_xll.ciqfunctions.udf.CIQ(A1016, "IQ_MARKETCAP", F1016)</f>
        <v>80.647689999999997</v>
      </c>
      <c r="J1016">
        <f>_xll.ciqfunctions.udf.CIQ(A1016, "IQ_PRICE_VOL_HIST_6MTH", F1016)</f>
        <v>56.225299999999997</v>
      </c>
      <c r="K1016">
        <f>_xll.ciqfunctions.udf.CIQ(A1016, "IQ_LASTSALEPRICE", WORKDAY(F1016,-1))</f>
        <v>1.25</v>
      </c>
      <c r="L1016">
        <f>_xll.ciqfunctions.udf.CIQ(A1016, "IQ_LASTSALEPRICE", F1016)</f>
        <v>1.1000000000000001</v>
      </c>
      <c r="M1016">
        <f>_xll.ciqfunctions.udf.CIQ(A1016, "IQ_LASTSALEPRICE", WORKDAY(F1016,5))</f>
        <v>1.1399999999999999</v>
      </c>
      <c r="N1016">
        <f t="shared" si="30"/>
        <v>-0.12783337150988477</v>
      </c>
      <c r="O1016">
        <f t="shared" si="31"/>
        <v>-9.2115288907805751E-2</v>
      </c>
      <c r="P1016">
        <f>LN(_xll.ciqfunctions.udf.CIQ("XBI", "IQ_LASTSALEPRICE", WORKDAY(F1016,-1))/_xll.ciqfunctions.udf.CIQ("XBI", "IQ_LASTSALEPRICE", WORKDAY(F1016,1)))</f>
        <v>-1.006382193923259E-2</v>
      </c>
      <c r="Q1016">
        <f>LN(_xll.ciqfunctions.udf.CIQ("XBI", "IQ_LASTSALEPRICE", WORKDAY(F1016,-1))/_xll.ciqfunctions.udf.CIQ("XBI", "IQ_LASTSALEPRICE", WORKDAY(F1016,5)))</f>
        <v>-2.442394940739966E-2</v>
      </c>
      <c r="R1016">
        <f>_xll.ciqfunctions.udf.CIQ(A1016, "IQ_SHORT_INTEREST_PERCENT", F1016)</f>
        <v>9.5280699999999996</v>
      </c>
      <c r="S1016">
        <f>_xll.ciqfunctions.udf.CIQ(A1016, "IQ_BETA_1YR_RSQ", F1016)</f>
        <v>6.2230000000000001E-2</v>
      </c>
      <c r="T1016">
        <f>_xll.ciqfunctions.udf.CIQ(A1016, "IQ_VALUE_TRADED", F1016)</f>
        <v>2.3960300000000001</v>
      </c>
    </row>
    <row r="1017" spans="1:20" x14ac:dyDescent="0.3">
      <c r="A1017" t="s">
        <v>1913</v>
      </c>
      <c r="B1017" s="2">
        <v>3.31</v>
      </c>
      <c r="C1017" t="s">
        <v>1914</v>
      </c>
      <c r="D1017" t="s">
        <v>1893</v>
      </c>
      <c r="E1017" t="s">
        <v>76</v>
      </c>
      <c r="F1017" s="1">
        <v>45422</v>
      </c>
      <c r="G1017" t="s">
        <v>2789</v>
      </c>
      <c r="H1017">
        <v>63</v>
      </c>
      <c r="I1017">
        <f>_xll.ciqfunctions.udf.CIQ(A1017, "IQ_MARKETCAP", F1017)</f>
        <v>207.31675000000001</v>
      </c>
      <c r="J1017">
        <f>_xll.ciqfunctions.udf.CIQ(A1017, "IQ_PRICE_VOL_HIST_6MTH", F1017)</f>
        <v>225.29490000000001</v>
      </c>
      <c r="K1017">
        <f>_xll.ciqfunctions.udf.CIQ(A1017, "IQ_LASTSALEPRICE", WORKDAY(F1017,-1))</f>
        <v>14.67</v>
      </c>
      <c r="L1017">
        <f>_xll.ciqfunctions.udf.CIQ(A1017, "IQ_LASTSALEPRICE", F1017)</f>
        <v>3.31</v>
      </c>
      <c r="M1017">
        <f>_xll.ciqfunctions.udf.CIQ(A1017, "IQ_LASTSALEPRICE", WORKDAY(F1017,5))</f>
        <v>4.3650000000000002</v>
      </c>
      <c r="N1017">
        <f t="shared" si="30"/>
        <v>-1.4888564027659188</v>
      </c>
      <c r="O1017">
        <f t="shared" si="31"/>
        <v>-1.2121864028633249</v>
      </c>
      <c r="P1017">
        <f>LN(_xll.ciqfunctions.udf.CIQ("XBI", "IQ_LASTSALEPRICE", WORKDAY(F1017,-1))/_xll.ciqfunctions.udf.CIQ("XBI", "IQ_LASTSALEPRICE", WORKDAY(F1017,1)))</f>
        <v>-1.006382193923259E-2</v>
      </c>
      <c r="Q1017">
        <f>LN(_xll.ciqfunctions.udf.CIQ("XBI", "IQ_LASTSALEPRICE", WORKDAY(F1017,-1))/_xll.ciqfunctions.udf.CIQ("XBI", "IQ_LASTSALEPRICE", WORKDAY(F1017,5)))</f>
        <v>-2.442394940739966E-2</v>
      </c>
      <c r="R1017">
        <f>_xll.ciqfunctions.udf.CIQ(A1017, "IQ_SHORT_INTEREST_PERCENT", F1017)</f>
        <v>15.909000000000001</v>
      </c>
      <c r="S1017">
        <f>_xll.ciqfunctions.udf.CIQ(A1017, "IQ_BETA_1YR_RSQ", F1017)</f>
        <v>1.8600000000000001E-3</v>
      </c>
      <c r="T1017">
        <f>_xll.ciqfunctions.udf.CIQ(A1017, "IQ_VALUE_TRADED", F1017)</f>
        <v>116.34107</v>
      </c>
    </row>
    <row r="1018" spans="1:20" x14ac:dyDescent="0.3">
      <c r="A1018" t="s">
        <v>203</v>
      </c>
      <c r="B1018" s="2">
        <v>44.27</v>
      </c>
      <c r="C1018" t="s">
        <v>2790</v>
      </c>
      <c r="D1018" t="s">
        <v>2791</v>
      </c>
      <c r="E1018" t="s">
        <v>36</v>
      </c>
      <c r="F1018" s="1">
        <v>45422</v>
      </c>
      <c r="G1018" t="s">
        <v>2792</v>
      </c>
      <c r="I1018">
        <f>_xll.ciqfunctions.udf.CIQ(A1018, "IQ_MARKETCAP", F1018)</f>
        <v>91097.87831</v>
      </c>
      <c r="J1018">
        <f>_xll.ciqfunctions.udf.CIQ(A1018, "IQ_PRICE_VOL_HIST_6MTH", F1018)</f>
        <v>23.394500000000001</v>
      </c>
      <c r="K1018">
        <f>_xll.ciqfunctions.udf.CIQ(A1018, "IQ_LASTSALEPRICE", WORKDAY(F1018,-1))</f>
        <v>44.74</v>
      </c>
      <c r="L1018">
        <f>_xll.ciqfunctions.udf.CIQ(A1018, "IQ_LASTSALEPRICE", F1018)</f>
        <v>44.94</v>
      </c>
      <c r="M1018">
        <f>_xll.ciqfunctions.udf.CIQ(A1018, "IQ_LASTSALEPRICE", WORKDAY(F1018,5))</f>
        <v>44.03</v>
      </c>
      <c r="N1018">
        <f t="shared" si="30"/>
        <v>4.4603106951993697E-3</v>
      </c>
      <c r="O1018">
        <f t="shared" si="31"/>
        <v>-1.5996736294321089E-2</v>
      </c>
      <c r="P1018">
        <f>LN(_xll.ciqfunctions.udf.CIQ("XBI", "IQ_LASTSALEPRICE", WORKDAY(F1018,-1))/_xll.ciqfunctions.udf.CIQ("XBI", "IQ_LASTSALEPRICE", WORKDAY(F1018,1)))</f>
        <v>-1.006382193923259E-2</v>
      </c>
      <c r="Q1018">
        <f>LN(_xll.ciqfunctions.udf.CIQ("XBI", "IQ_LASTSALEPRICE", WORKDAY(F1018,-1))/_xll.ciqfunctions.udf.CIQ("XBI", "IQ_LASTSALEPRICE", WORKDAY(F1018,5)))</f>
        <v>-2.442394940739966E-2</v>
      </c>
      <c r="R1018">
        <f>_xll.ciqfunctions.udf.CIQ(A1018, "IQ_SHORT_INTEREST_PERCENT", F1018)</f>
        <v>1.3825000000000001</v>
      </c>
      <c r="S1018">
        <f>_xll.ciqfunctions.udf.CIQ(A1018, "IQ_BETA_1YR_RSQ", F1018)</f>
        <v>3.2779999999999997E-2</v>
      </c>
      <c r="T1018">
        <f>_xll.ciqfunctions.udf.CIQ(A1018, "IQ_VALUE_TRADED", F1018)</f>
        <v>390.95979999999997</v>
      </c>
    </row>
    <row r="1019" spans="1:20" x14ac:dyDescent="0.3">
      <c r="A1019" t="s">
        <v>2410</v>
      </c>
      <c r="B1019" s="2">
        <v>1.47</v>
      </c>
      <c r="C1019" t="s">
        <v>2411</v>
      </c>
      <c r="D1019" t="s">
        <v>2412</v>
      </c>
      <c r="E1019" t="s">
        <v>89</v>
      </c>
      <c r="F1019" s="1">
        <v>45422</v>
      </c>
      <c r="G1019" t="s">
        <v>2793</v>
      </c>
      <c r="H1019">
        <v>83</v>
      </c>
      <c r="I1019">
        <f>_xll.ciqfunctions.udf.CIQ(A1019, "IQ_MARKETCAP", F1019)</f>
        <v>133.20396</v>
      </c>
      <c r="J1019">
        <f>_xll.ciqfunctions.udf.CIQ(A1019, "IQ_PRICE_VOL_HIST_6MTH", F1019)</f>
        <v>105.0398</v>
      </c>
      <c r="K1019">
        <f>_xll.ciqfunctions.udf.CIQ(A1019, "IQ_LASTSALEPRICE", WORKDAY(F1019,-1))</f>
        <v>1.63</v>
      </c>
      <c r="L1019">
        <f>_xll.ciqfunctions.udf.CIQ(A1019, "IQ_LASTSALEPRICE", F1019)</f>
        <v>1.47</v>
      </c>
      <c r="M1019">
        <f>_xll.ciqfunctions.udf.CIQ(A1019, "IQ_LASTSALEPRICE", WORKDAY(F1019,5))</f>
        <v>1.6</v>
      </c>
      <c r="N1019">
        <f t="shared" si="30"/>
        <v>-0.10331761402802601</v>
      </c>
      <c r="O1019">
        <f t="shared" si="31"/>
        <v>-1.8576385572935304E-2</v>
      </c>
      <c r="P1019">
        <f>LN(_xll.ciqfunctions.udf.CIQ("XBI", "IQ_LASTSALEPRICE", WORKDAY(F1019,-1))/_xll.ciqfunctions.udf.CIQ("XBI", "IQ_LASTSALEPRICE", WORKDAY(F1019,1)))</f>
        <v>-1.006382193923259E-2</v>
      </c>
      <c r="Q1019">
        <f>LN(_xll.ciqfunctions.udf.CIQ("XBI", "IQ_LASTSALEPRICE", WORKDAY(F1019,-1))/_xll.ciqfunctions.udf.CIQ("XBI", "IQ_LASTSALEPRICE", WORKDAY(F1019,5)))</f>
        <v>-2.442394940739966E-2</v>
      </c>
      <c r="R1019">
        <f>_xll.ciqfunctions.udf.CIQ(A1019, "IQ_SHORT_INTEREST_PERCENT", F1019)</f>
        <v>8.4700799999999994</v>
      </c>
      <c r="S1019">
        <f>_xll.ciqfunctions.udf.CIQ(A1019, "IQ_BETA_1YR_RSQ", F1019)</f>
        <v>2.1860000000000001E-2</v>
      </c>
      <c r="T1019">
        <f>_xll.ciqfunctions.udf.CIQ(A1019, "IQ_VALUE_TRADED", F1019)</f>
        <v>1.3813899999999999</v>
      </c>
    </row>
    <row r="1020" spans="1:20" x14ac:dyDescent="0.3">
      <c r="A1020" t="s">
        <v>130</v>
      </c>
      <c r="B1020" s="2">
        <v>127.68</v>
      </c>
      <c r="C1020" t="s">
        <v>2794</v>
      </c>
      <c r="D1020" t="s">
        <v>2795</v>
      </c>
      <c r="E1020" t="s">
        <v>36</v>
      </c>
      <c r="F1020" s="1">
        <v>45425</v>
      </c>
      <c r="G1020" t="s">
        <v>2796</v>
      </c>
      <c r="I1020">
        <f>_xll.ciqfunctions.udf.CIQ(A1020, "IQ_MARKETCAP", F1020)</f>
        <v>327466.52743000002</v>
      </c>
      <c r="J1020">
        <f>_xll.ciqfunctions.udf.CIQ(A1020, "IQ_PRICE_VOL_HIST_6MTH", F1020)</f>
        <v>16.651</v>
      </c>
      <c r="K1020">
        <f>_xll.ciqfunctions.udf.CIQ(A1020, "IQ_LASTSALEPRICE", WORKDAY(F1020,-1))</f>
        <v>130.06</v>
      </c>
      <c r="L1020">
        <f>_xll.ciqfunctions.udf.CIQ(A1020, "IQ_LASTSALEPRICE", F1020)</f>
        <v>129.29</v>
      </c>
      <c r="M1020">
        <f>_xll.ciqfunctions.udf.CIQ(A1020, "IQ_LASTSALEPRICE", WORKDAY(F1020,5))</f>
        <v>130.99</v>
      </c>
      <c r="N1020">
        <f t="shared" si="30"/>
        <v>-5.9379391745438981E-3</v>
      </c>
      <c r="O1020">
        <f t="shared" si="31"/>
        <v>7.1251019685518013E-3</v>
      </c>
      <c r="P1020">
        <f>LN(_xll.ciqfunctions.udf.CIQ("XBI", "IQ_LASTSALEPRICE", WORKDAY(F1020,-1))/_xll.ciqfunctions.udf.CIQ("XBI", "IQ_LASTSALEPRICE", WORKDAY(F1020,1)))</f>
        <v>-2.9512537614478581E-2</v>
      </c>
      <c r="Q1020">
        <f>LN(_xll.ciqfunctions.udf.CIQ("XBI", "IQ_LASTSALEPRICE", WORKDAY(F1020,-1))/_xll.ciqfunctions.udf.CIQ("XBI", "IQ_LASTSALEPRICE", WORKDAY(F1020,5)))</f>
        <v>-4.5792602176623461E-2</v>
      </c>
      <c r="R1020">
        <f>_xll.ciqfunctions.udf.CIQ(A1020, "IQ_SHORT_INTEREST_PERCENT", F1020)</f>
        <v>0.74043999999999999</v>
      </c>
      <c r="S1020">
        <f>_xll.ciqfunctions.udf.CIQ(A1020, "IQ_BETA_1YR_RSQ", F1020)</f>
        <v>1.4160000000000001E-2</v>
      </c>
      <c r="T1020">
        <f>_xll.ciqfunctions.udf.CIQ(A1020, "IQ_VALUE_TRADED", F1020)</f>
        <v>919.24051999999995</v>
      </c>
    </row>
    <row r="1021" spans="1:20" x14ac:dyDescent="0.3">
      <c r="A1021" t="s">
        <v>2797</v>
      </c>
      <c r="B1021" s="2">
        <v>7.61</v>
      </c>
      <c r="C1021" t="s">
        <v>2798</v>
      </c>
      <c r="D1021" t="s">
        <v>2799</v>
      </c>
      <c r="E1021" t="s">
        <v>36</v>
      </c>
      <c r="F1021" s="1">
        <v>45425</v>
      </c>
      <c r="G1021" t="s">
        <v>2800</v>
      </c>
      <c r="H1021">
        <v>81</v>
      </c>
      <c r="I1021">
        <f>_xll.ciqfunctions.udf.CIQ(A1021, "IQ_MARKETCAP", F1021)</f>
        <v>479.09555999999998</v>
      </c>
      <c r="J1021">
        <f>_xll.ciqfunctions.udf.CIQ(A1021, "IQ_PRICE_VOL_HIST_6MTH", F1021)</f>
        <v>53.725499999999997</v>
      </c>
      <c r="K1021">
        <f>_xll.ciqfunctions.udf.CIQ(A1021, "IQ_LASTSALEPRICE", WORKDAY(F1021,-1))</f>
        <v>7.4198000000000004</v>
      </c>
      <c r="L1021">
        <f>_xll.ciqfunctions.udf.CIQ(A1021, "IQ_LASTSALEPRICE", F1021)</f>
        <v>7.61</v>
      </c>
      <c r="M1021">
        <f>_xll.ciqfunctions.udf.CIQ(A1021, "IQ_LASTSALEPRICE", WORKDAY(F1021,5))</f>
        <v>8.84</v>
      </c>
      <c r="N1021">
        <f t="shared" si="30"/>
        <v>2.5311069235473431E-2</v>
      </c>
      <c r="O1021">
        <f t="shared" si="31"/>
        <v>0.17513477401143093</v>
      </c>
      <c r="P1021">
        <f>LN(_xll.ciqfunctions.udf.CIQ("XBI", "IQ_LASTSALEPRICE", WORKDAY(F1021,-1))/_xll.ciqfunctions.udf.CIQ("XBI", "IQ_LASTSALEPRICE", WORKDAY(F1021,1)))</f>
        <v>-2.9512537614478581E-2</v>
      </c>
      <c r="Q1021">
        <f>LN(_xll.ciqfunctions.udf.CIQ("XBI", "IQ_LASTSALEPRICE", WORKDAY(F1021,-1))/_xll.ciqfunctions.udf.CIQ("XBI", "IQ_LASTSALEPRICE", WORKDAY(F1021,5)))</f>
        <v>-4.5792602176623461E-2</v>
      </c>
      <c r="R1021">
        <f>_xll.ciqfunctions.udf.CIQ(A1021, "IQ_SHORT_INTEREST_PERCENT", F1021)</f>
        <v>0</v>
      </c>
      <c r="S1021">
        <f>_xll.ciqfunctions.udf.CIQ(A1021, "IQ_BETA_1YR_RSQ", F1021)</f>
        <v>0</v>
      </c>
      <c r="T1021">
        <f>_xll.ciqfunctions.udf.CIQ(A1021, "IQ_VALUE_TRADED", F1021)</f>
        <v>2.1729999999999999E-2</v>
      </c>
    </row>
    <row r="1022" spans="1:20" x14ac:dyDescent="0.3">
      <c r="A1022" t="s">
        <v>2032</v>
      </c>
      <c r="B1022" s="2">
        <v>45.85</v>
      </c>
      <c r="C1022" t="s">
        <v>2801</v>
      </c>
      <c r="D1022" t="s">
        <v>2802</v>
      </c>
      <c r="E1022" t="s">
        <v>76</v>
      </c>
      <c r="F1022" s="1">
        <v>45425</v>
      </c>
      <c r="G1022" t="s">
        <v>2803</v>
      </c>
      <c r="H1022">
        <v>75</v>
      </c>
      <c r="I1022">
        <f>_xll.ciqfunctions.udf.CIQ(A1022, "IQ_MARKETCAP", F1022)</f>
        <v>2690.8242100000002</v>
      </c>
      <c r="J1022">
        <f>_xll.ciqfunctions.udf.CIQ(A1022, "IQ_PRICE_VOL_HIST_6MTH", F1022)</f>
        <v>50.234400000000001</v>
      </c>
      <c r="K1022">
        <f>_xll.ciqfunctions.udf.CIQ(A1022, "IQ_LASTSALEPRICE", WORKDAY(F1022,-1))</f>
        <v>44.52</v>
      </c>
      <c r="L1022">
        <f>_xll.ciqfunctions.udf.CIQ(A1022, "IQ_LASTSALEPRICE", F1022)</f>
        <v>45.85</v>
      </c>
      <c r="M1022">
        <f>_xll.ciqfunctions.udf.CIQ(A1022, "IQ_LASTSALEPRICE", WORKDAY(F1022,5))</f>
        <v>43.63</v>
      </c>
      <c r="N1022">
        <f t="shared" si="30"/>
        <v>2.943667229512982E-2</v>
      </c>
      <c r="O1022">
        <f t="shared" si="31"/>
        <v>-2.0193539271825833E-2</v>
      </c>
      <c r="P1022">
        <f>LN(_xll.ciqfunctions.udf.CIQ("XBI", "IQ_LASTSALEPRICE", WORKDAY(F1022,-1))/_xll.ciqfunctions.udf.CIQ("XBI", "IQ_LASTSALEPRICE", WORKDAY(F1022,1)))</f>
        <v>-2.9512537614478581E-2</v>
      </c>
      <c r="Q1022">
        <f>LN(_xll.ciqfunctions.udf.CIQ("XBI", "IQ_LASTSALEPRICE", WORKDAY(F1022,-1))/_xll.ciqfunctions.udf.CIQ("XBI", "IQ_LASTSALEPRICE", WORKDAY(F1022,5)))</f>
        <v>-4.5792602176623461E-2</v>
      </c>
      <c r="R1022">
        <f>_xll.ciqfunctions.udf.CIQ(A1022, "IQ_SHORT_INTEREST_PERCENT", F1022)</f>
        <v>5.7613000000000003</v>
      </c>
      <c r="S1022">
        <f>_xll.ciqfunctions.udf.CIQ(A1022, "IQ_BETA_1YR_RSQ", F1022)</f>
        <v>0.31258999999999998</v>
      </c>
      <c r="T1022">
        <f>_xll.ciqfunctions.udf.CIQ(A1022, "IQ_VALUE_TRADED", F1022)</f>
        <v>38.200290000000003</v>
      </c>
    </row>
    <row r="1023" spans="1:20" x14ac:dyDescent="0.3">
      <c r="A1023" t="s">
        <v>2036</v>
      </c>
      <c r="B1023" t="s">
        <v>43</v>
      </c>
      <c r="C1023" t="s">
        <v>2801</v>
      </c>
      <c r="D1023" t="s">
        <v>2802</v>
      </c>
      <c r="E1023" t="s">
        <v>76</v>
      </c>
      <c r="F1023" s="1">
        <v>45425</v>
      </c>
      <c r="G1023" t="s">
        <v>2803</v>
      </c>
      <c r="H1023">
        <v>661</v>
      </c>
      <c r="I1023">
        <f>_xll.ciqfunctions.udf.CIQ(A1023, "IQ_MARKETCAP", F1023)</f>
        <v>128536.3288</v>
      </c>
      <c r="J1023">
        <f>_xll.ciqfunctions.udf.CIQ(A1023, "IQ_PRICE_VOL_HIST_6MTH", F1023)</f>
        <v>30.7879</v>
      </c>
      <c r="K1023">
        <f>_xll.ciqfunctions.udf.CIQ(A1023, "IQ_LASTSALEPRICE", WORKDAY(F1023,-1))</f>
        <v>2003</v>
      </c>
      <c r="L1023">
        <f>_xll.ciqfunctions.udf.CIQ(A1023, "IQ_LASTSALEPRICE", F1023)</f>
        <v>1990</v>
      </c>
      <c r="M1023">
        <f>_xll.ciqfunctions.udf.CIQ(A1023, "IQ_LASTSALEPRICE", WORKDAY(F1023,5))</f>
        <v>2041</v>
      </c>
      <c r="N1023">
        <f t="shared" si="30"/>
        <v>-6.5114179472801357E-3</v>
      </c>
      <c r="O1023">
        <f t="shared" si="31"/>
        <v>1.8793827144026616E-2</v>
      </c>
      <c r="P1023">
        <f>LN(_xll.ciqfunctions.udf.CIQ("XBI", "IQ_LASTSALEPRICE", WORKDAY(F1023,-1))/_xll.ciqfunctions.udf.CIQ("XBI", "IQ_LASTSALEPRICE", WORKDAY(F1023,1)))</f>
        <v>-2.9512537614478581E-2</v>
      </c>
      <c r="Q1023">
        <f>LN(_xll.ciqfunctions.udf.CIQ("XBI", "IQ_LASTSALEPRICE", WORKDAY(F1023,-1))/_xll.ciqfunctions.udf.CIQ("XBI", "IQ_LASTSALEPRICE", WORKDAY(F1023,5)))</f>
        <v>-4.5792602176623461E-2</v>
      </c>
      <c r="R1023">
        <f>_xll.ciqfunctions.udf.CIQ(A1023, "IQ_SHORT_INTEREST_PERCENT", F1023)</f>
        <v>0</v>
      </c>
      <c r="S1023">
        <f>_xll.ciqfunctions.udf.CIQ(A1023, "IQ_BETA_1YR_RSQ", F1023)</f>
        <v>8.9770000000000003E-2</v>
      </c>
      <c r="T1023">
        <f>_xll.ciqfunctions.udf.CIQ(A1023, "IQ_VALUE_TRADED", F1023)</f>
        <v>231.41113000000001</v>
      </c>
    </row>
    <row r="1024" spans="1:20" x14ac:dyDescent="0.3">
      <c r="A1024" t="s">
        <v>2127</v>
      </c>
      <c r="B1024" s="2">
        <v>1.02</v>
      </c>
      <c r="C1024" t="s">
        <v>2804</v>
      </c>
      <c r="D1024" t="s">
        <v>2805</v>
      </c>
      <c r="E1024" t="s">
        <v>22</v>
      </c>
      <c r="F1024" s="1">
        <v>45425</v>
      </c>
      <c r="G1024" t="s">
        <v>2806</v>
      </c>
      <c r="H1024">
        <v>4</v>
      </c>
      <c r="I1024">
        <f>_xll.ciqfunctions.udf.CIQ(A1024, "IQ_MARKETCAP", F1024)</f>
        <v>45.006399999999999</v>
      </c>
      <c r="J1024">
        <f>_xll.ciqfunctions.udf.CIQ(A1024, "IQ_PRICE_VOL_HIST_6MTH", F1024)</f>
        <v>131.67570000000001</v>
      </c>
      <c r="K1024">
        <f>_xll.ciqfunctions.udf.CIQ(A1024, "IQ_LASTSALEPRICE", WORKDAY(F1024,-1))</f>
        <v>30.30003</v>
      </c>
      <c r="L1024">
        <f>_xll.ciqfunctions.udf.CIQ(A1024, "IQ_LASTSALEPRICE", F1024)</f>
        <v>30.60003</v>
      </c>
      <c r="M1024">
        <f>_xll.ciqfunctions.udf.CIQ(A1024, "IQ_LASTSALEPRICE", WORKDAY(F1024,5))</f>
        <v>30.60003</v>
      </c>
      <c r="N1024">
        <f t="shared" si="30"/>
        <v>9.8522867361682774E-3</v>
      </c>
      <c r="O1024">
        <f t="shared" si="31"/>
        <v>9.8522867361682774E-3</v>
      </c>
      <c r="P1024">
        <f>LN(_xll.ciqfunctions.udf.CIQ("XBI", "IQ_LASTSALEPRICE", WORKDAY(F1024,-1))/_xll.ciqfunctions.udf.CIQ("XBI", "IQ_LASTSALEPRICE", WORKDAY(F1024,1)))</f>
        <v>-2.9512537614478581E-2</v>
      </c>
      <c r="Q1024">
        <f>LN(_xll.ciqfunctions.udf.CIQ("XBI", "IQ_LASTSALEPRICE", WORKDAY(F1024,-1))/_xll.ciqfunctions.udf.CIQ("XBI", "IQ_LASTSALEPRICE", WORKDAY(F1024,5)))</f>
        <v>-4.5792602176623461E-2</v>
      </c>
      <c r="R1024">
        <f>_xll.ciqfunctions.udf.CIQ(A1024, "IQ_SHORT_INTEREST_PERCENT", F1024)</f>
        <v>0.40777999999999998</v>
      </c>
      <c r="S1024">
        <f>_xll.ciqfunctions.udf.CIQ(A1024, "IQ_BETA_1YR_RSQ", F1024)</f>
        <v>1.1129999999999999E-2</v>
      </c>
      <c r="T1024">
        <f>_xll.ciqfunctions.udf.CIQ(A1024, "IQ_VALUE_TRADED", F1024)</f>
        <v>4.5870000000000001E-2</v>
      </c>
    </row>
    <row r="1025" spans="1:20" x14ac:dyDescent="0.3">
      <c r="A1025" t="s">
        <v>519</v>
      </c>
      <c r="B1025" s="2">
        <v>57.89</v>
      </c>
      <c r="C1025" t="s">
        <v>2807</v>
      </c>
      <c r="D1025" t="s">
        <v>2808</v>
      </c>
      <c r="E1025" t="s">
        <v>36</v>
      </c>
      <c r="F1025" s="1">
        <v>45425</v>
      </c>
      <c r="G1025" t="s">
        <v>2809</v>
      </c>
      <c r="H1025">
        <v>119</v>
      </c>
      <c r="I1025">
        <f>_xll.ciqfunctions.udf.CIQ(A1025, "IQ_MARKETCAP", F1025)</f>
        <v>6069.9933099999998</v>
      </c>
      <c r="J1025">
        <f>_xll.ciqfunctions.udf.CIQ(A1025, "IQ_PRICE_VOL_HIST_6MTH", F1025)</f>
        <v>107.383</v>
      </c>
      <c r="K1025">
        <f>_xll.ciqfunctions.udf.CIQ(A1025, "IQ_LASTSALEPRICE", WORKDAY(F1025,-1))</f>
        <v>62.1</v>
      </c>
      <c r="L1025">
        <f>_xll.ciqfunctions.udf.CIQ(A1025, "IQ_LASTSALEPRICE", F1025)</f>
        <v>57.89</v>
      </c>
      <c r="M1025">
        <f>_xll.ciqfunctions.udf.CIQ(A1025, "IQ_LASTSALEPRICE", WORKDAY(F1025,5))</f>
        <v>60.6</v>
      </c>
      <c r="N1025">
        <f t="shared" si="30"/>
        <v>-7.0201330848519886E-2</v>
      </c>
      <c r="O1025">
        <f t="shared" si="31"/>
        <v>-2.4451095864164309E-2</v>
      </c>
      <c r="P1025">
        <f>LN(_xll.ciqfunctions.udf.CIQ("XBI", "IQ_LASTSALEPRICE", WORKDAY(F1025,-1))/_xll.ciqfunctions.udf.CIQ("XBI", "IQ_LASTSALEPRICE", WORKDAY(F1025,1)))</f>
        <v>-2.9512537614478581E-2</v>
      </c>
      <c r="Q1025">
        <f>LN(_xll.ciqfunctions.udf.CIQ("XBI", "IQ_LASTSALEPRICE", WORKDAY(F1025,-1))/_xll.ciqfunctions.udf.CIQ("XBI", "IQ_LASTSALEPRICE", WORKDAY(F1025,5)))</f>
        <v>-4.5792602176623461E-2</v>
      </c>
      <c r="R1025">
        <f>_xll.ciqfunctions.udf.CIQ(A1025, "IQ_SHORT_INTEREST_PERCENT", F1025)</f>
        <v>13.03782</v>
      </c>
      <c r="S1025">
        <f>_xll.ciqfunctions.udf.CIQ(A1025, "IQ_BETA_1YR_RSQ", F1025)</f>
        <v>6.0899999999999999E-3</v>
      </c>
      <c r="T1025">
        <f>_xll.ciqfunctions.udf.CIQ(A1025, "IQ_VALUE_TRADED", F1025)</f>
        <v>205.63645</v>
      </c>
    </row>
    <row r="1026" spans="1:20" x14ac:dyDescent="0.3">
      <c r="A1026" t="s">
        <v>2009</v>
      </c>
      <c r="B1026" s="2">
        <v>17.48</v>
      </c>
      <c r="C1026" t="s">
        <v>2810</v>
      </c>
      <c r="D1026" t="s">
        <v>2811</v>
      </c>
      <c r="E1026" t="s">
        <v>76</v>
      </c>
      <c r="F1026" s="1">
        <v>45425</v>
      </c>
      <c r="G1026" t="s">
        <v>2812</v>
      </c>
      <c r="H1026">
        <v>105</v>
      </c>
      <c r="I1026">
        <f>_xll.ciqfunctions.udf.CIQ(A1026, "IQ_MARKETCAP", F1026)</f>
        <v>1632.6104499999999</v>
      </c>
      <c r="J1026">
        <f>_xll.ciqfunctions.udf.CIQ(A1026, "IQ_PRICE_VOL_HIST_6MTH", F1026)</f>
        <v>90.139099999999999</v>
      </c>
      <c r="K1026">
        <f>_xll.ciqfunctions.udf.CIQ(A1026, "IQ_LASTSALEPRICE", WORKDAY(F1026,-1))</f>
        <v>18.329999999999998</v>
      </c>
      <c r="L1026">
        <f>_xll.ciqfunctions.udf.CIQ(A1026, "IQ_LASTSALEPRICE", F1026)</f>
        <v>17.48</v>
      </c>
      <c r="M1026">
        <f>_xll.ciqfunctions.udf.CIQ(A1026, "IQ_LASTSALEPRICE", WORKDAY(F1026,5))</f>
        <v>18.77</v>
      </c>
      <c r="N1026">
        <f t="shared" si="30"/>
        <v>-4.7481691624224151E-2</v>
      </c>
      <c r="O1026">
        <f t="shared" si="31"/>
        <v>2.3720788746803854E-2</v>
      </c>
      <c r="P1026">
        <f>LN(_xll.ciqfunctions.udf.CIQ("XBI", "IQ_LASTSALEPRICE", WORKDAY(F1026,-1))/_xll.ciqfunctions.udf.CIQ("XBI", "IQ_LASTSALEPRICE", WORKDAY(F1026,1)))</f>
        <v>-2.9512537614478581E-2</v>
      </c>
      <c r="Q1026">
        <f>LN(_xll.ciqfunctions.udf.CIQ("XBI", "IQ_LASTSALEPRICE", WORKDAY(F1026,-1))/_xll.ciqfunctions.udf.CIQ("XBI", "IQ_LASTSALEPRICE", WORKDAY(F1026,5)))</f>
        <v>-4.5792602176623461E-2</v>
      </c>
      <c r="R1026">
        <f>_xll.ciqfunctions.udf.CIQ(A1026, "IQ_SHORT_INTEREST_PERCENT", F1026)</f>
        <v>6.9841100000000003</v>
      </c>
      <c r="S1026">
        <f>_xll.ciqfunctions.udf.CIQ(A1026, "IQ_BETA_1YR_RSQ", F1026)</f>
        <v>4.1459999999999997E-2</v>
      </c>
      <c r="T1026">
        <f>_xll.ciqfunctions.udf.CIQ(A1026, "IQ_VALUE_TRADED", F1026)</f>
        <v>11.142189999999999</v>
      </c>
    </row>
    <row r="1027" spans="1:20" x14ac:dyDescent="0.3">
      <c r="A1027" t="s">
        <v>654</v>
      </c>
      <c r="B1027" s="2">
        <v>14.14</v>
      </c>
      <c r="C1027" t="s">
        <v>2813</v>
      </c>
      <c r="D1027" t="s">
        <v>2814</v>
      </c>
      <c r="E1027" t="s">
        <v>124</v>
      </c>
      <c r="F1027" s="1">
        <v>45426</v>
      </c>
      <c r="G1027" t="s">
        <v>2815</v>
      </c>
      <c r="H1027">
        <v>61</v>
      </c>
      <c r="I1027">
        <f>_xll.ciqfunctions.udf.CIQ(A1027, "IQ_MARKETCAP", F1027)</f>
        <v>853.00725999999997</v>
      </c>
      <c r="J1027">
        <f>_xll.ciqfunctions.udf.CIQ(A1027, "IQ_PRICE_VOL_HIST_6MTH", F1027)</f>
        <v>56.818199999999997</v>
      </c>
      <c r="K1027">
        <f>_xll.ciqfunctions.udf.CIQ(A1027, "IQ_LASTSALEPRICE", WORKDAY(F1027,-1))</f>
        <v>13.67</v>
      </c>
      <c r="L1027">
        <f>_xll.ciqfunctions.udf.CIQ(A1027, "IQ_LASTSALEPRICE", F1027)</f>
        <v>14.14</v>
      </c>
      <c r="M1027">
        <f>_xll.ciqfunctions.udf.CIQ(A1027, "IQ_LASTSALEPRICE", WORKDAY(F1027,5))</f>
        <v>14.59</v>
      </c>
      <c r="N1027">
        <f t="shared" ref="N1027:N1090" si="32">LN(L1027/K1027)</f>
        <v>3.3804009732568543E-2</v>
      </c>
      <c r="O1027">
        <f t="shared" ref="O1027:O1090" si="33">LN(M1027/K1027)</f>
        <v>6.513271179883609E-2</v>
      </c>
      <c r="P1027">
        <f>LN(_xll.ciqfunctions.udf.CIQ("XBI", "IQ_LASTSALEPRICE", WORKDAY(F1027,-1))/_xll.ciqfunctions.udf.CIQ("XBI", "IQ_LASTSALEPRICE", WORKDAY(F1027,1)))</f>
        <v>-2.9921679865049271E-2</v>
      </c>
      <c r="Q1027">
        <f>LN(_xll.ciqfunctions.udf.CIQ("XBI", "IQ_LASTSALEPRICE", WORKDAY(F1027,-1))/_xll.ciqfunctions.udf.CIQ("XBI", "IQ_LASTSALEPRICE", WORKDAY(F1027,5)))</f>
        <v>-1.8628259802512346E-2</v>
      </c>
      <c r="R1027">
        <f>_xll.ciqfunctions.udf.CIQ(A1027, "IQ_SHORT_INTEREST_PERCENT", F1027)</f>
        <v>12.50717</v>
      </c>
      <c r="S1027">
        <f>_xll.ciqfunctions.udf.CIQ(A1027, "IQ_BETA_1YR_RSQ", F1027)</f>
        <v>7.1489999999999998E-2</v>
      </c>
      <c r="T1027">
        <f>_xll.ciqfunctions.udf.CIQ(A1027, "IQ_VALUE_TRADED", F1027)</f>
        <v>13.775119999999999</v>
      </c>
    </row>
    <row r="1028" spans="1:20" x14ac:dyDescent="0.3">
      <c r="A1028" t="s">
        <v>707</v>
      </c>
      <c r="B1028" s="2">
        <v>21.4</v>
      </c>
      <c r="C1028" t="s">
        <v>2816</v>
      </c>
      <c r="D1028" t="s">
        <v>2817</v>
      </c>
      <c r="E1028" t="s">
        <v>27</v>
      </c>
      <c r="F1028" s="1">
        <v>45426</v>
      </c>
      <c r="G1028" t="s">
        <v>2818</v>
      </c>
      <c r="H1028">
        <v>174</v>
      </c>
      <c r="I1028">
        <f>_xll.ciqfunctions.udf.CIQ(A1028, "IQ_MARKETCAP", F1028)</f>
        <v>2936.5633400000002</v>
      </c>
      <c r="J1028">
        <f>_xll.ciqfunctions.udf.CIQ(A1028, "IQ_PRICE_VOL_HIST_6MTH", F1028)</f>
        <v>58.981200000000001</v>
      </c>
      <c r="K1028">
        <f>_xll.ciqfunctions.udf.CIQ(A1028, "IQ_LASTSALEPRICE", WORKDAY(F1028,-1))</f>
        <v>3.5</v>
      </c>
      <c r="L1028">
        <f>_xll.ciqfunctions.udf.CIQ(A1028, "IQ_LASTSALEPRICE", F1028)</f>
        <v>3.44</v>
      </c>
      <c r="M1028">
        <f>_xll.ciqfunctions.udf.CIQ(A1028, "IQ_LASTSALEPRICE", WORKDAY(F1028,5))</f>
        <v>3.15</v>
      </c>
      <c r="N1028">
        <f t="shared" si="32"/>
        <v>-1.7291497110060994E-2</v>
      </c>
      <c r="O1028">
        <f t="shared" si="33"/>
        <v>-0.10536051565782628</v>
      </c>
      <c r="P1028">
        <f>LN(_xll.ciqfunctions.udf.CIQ("XBI", "IQ_LASTSALEPRICE", WORKDAY(F1028,-1))/_xll.ciqfunctions.udf.CIQ("XBI", "IQ_LASTSALEPRICE", WORKDAY(F1028,1)))</f>
        <v>-2.9921679865049271E-2</v>
      </c>
      <c r="Q1028">
        <f>LN(_xll.ciqfunctions.udf.CIQ("XBI", "IQ_LASTSALEPRICE", WORKDAY(F1028,-1))/_xll.ciqfunctions.udf.CIQ("XBI", "IQ_LASTSALEPRICE", WORKDAY(F1028,5)))</f>
        <v>-1.8628259802512346E-2</v>
      </c>
      <c r="R1028">
        <f>_xll.ciqfunctions.udf.CIQ(A1028, "IQ_SHORT_INTEREST_PERCENT", F1028)</f>
        <v>0</v>
      </c>
      <c r="S1028">
        <f>_xll.ciqfunctions.udf.CIQ(A1028, "IQ_BETA_1YR_RSQ", F1028)</f>
        <v>7.5579999999999994E-2</v>
      </c>
      <c r="T1028">
        <f>_xll.ciqfunctions.udf.CIQ(A1028, "IQ_VALUE_TRADED", F1028)</f>
        <v>0.19084000000000001</v>
      </c>
    </row>
    <row r="1029" spans="1:20" x14ac:dyDescent="0.3">
      <c r="A1029" t="s">
        <v>641</v>
      </c>
      <c r="B1029" s="2">
        <v>3.84</v>
      </c>
      <c r="C1029" t="s">
        <v>2819</v>
      </c>
      <c r="D1029" t="s">
        <v>2820</v>
      </c>
      <c r="E1029" t="s">
        <v>36</v>
      </c>
      <c r="F1029" s="1">
        <v>45426</v>
      </c>
      <c r="G1029" t="s">
        <v>2821</v>
      </c>
      <c r="H1029">
        <v>52</v>
      </c>
      <c r="I1029">
        <f>_xll.ciqfunctions.udf.CIQ(A1029, "IQ_MARKETCAP", F1029)</f>
        <v>201.10130000000001</v>
      </c>
      <c r="J1029">
        <f>_xll.ciqfunctions.udf.CIQ(A1029, "IQ_PRICE_VOL_HIST_6MTH", F1029)</f>
        <v>118.02889999999999</v>
      </c>
      <c r="K1029">
        <f>_xll.ciqfunctions.udf.CIQ(A1029, "IQ_LASTSALEPRICE", WORKDAY(F1029,-1))</f>
        <v>3.83</v>
      </c>
      <c r="L1029">
        <f>_xll.ciqfunctions.udf.CIQ(A1029, "IQ_LASTSALEPRICE", F1029)</f>
        <v>3.84</v>
      </c>
      <c r="M1029">
        <f>_xll.ciqfunctions.udf.CIQ(A1029, "IQ_LASTSALEPRICE", WORKDAY(F1029,5))</f>
        <v>3.21</v>
      </c>
      <c r="N1029">
        <f t="shared" si="32"/>
        <v>2.6075634070807695E-3</v>
      </c>
      <c r="O1029">
        <f t="shared" si="33"/>
        <v>-0.17659386605063015</v>
      </c>
      <c r="P1029">
        <f>LN(_xll.ciqfunctions.udf.CIQ("XBI", "IQ_LASTSALEPRICE", WORKDAY(F1029,-1))/_xll.ciqfunctions.udf.CIQ("XBI", "IQ_LASTSALEPRICE", WORKDAY(F1029,1)))</f>
        <v>-2.9921679865049271E-2</v>
      </c>
      <c r="Q1029">
        <f>LN(_xll.ciqfunctions.udf.CIQ("XBI", "IQ_LASTSALEPRICE", WORKDAY(F1029,-1))/_xll.ciqfunctions.udf.CIQ("XBI", "IQ_LASTSALEPRICE", WORKDAY(F1029,5)))</f>
        <v>-1.8628259802512346E-2</v>
      </c>
      <c r="R1029">
        <f>_xll.ciqfunctions.udf.CIQ(A1029, "IQ_SHORT_INTEREST_PERCENT", F1029)</f>
        <v>4.9672200000000002</v>
      </c>
      <c r="S1029">
        <f>_xll.ciqfunctions.udf.CIQ(A1029, "IQ_BETA_1YR_RSQ", F1029)</f>
        <v>0.18154000000000001</v>
      </c>
      <c r="T1029">
        <f>_xll.ciqfunctions.udf.CIQ(A1029, "IQ_VALUE_TRADED", F1029)</f>
        <v>1.0907</v>
      </c>
    </row>
    <row r="1030" spans="1:20" x14ac:dyDescent="0.3">
      <c r="A1030" t="s">
        <v>707</v>
      </c>
      <c r="B1030" s="2">
        <v>21.4</v>
      </c>
      <c r="C1030" t="s">
        <v>2822</v>
      </c>
      <c r="D1030" t="s">
        <v>2823</v>
      </c>
      <c r="E1030" t="s">
        <v>36</v>
      </c>
      <c r="F1030" s="1">
        <v>45426</v>
      </c>
      <c r="G1030" t="s">
        <v>2824</v>
      </c>
      <c r="H1030">
        <v>174</v>
      </c>
      <c r="I1030">
        <f>_xll.ciqfunctions.udf.CIQ(A1030, "IQ_MARKETCAP", F1030)</f>
        <v>2936.5633400000002</v>
      </c>
      <c r="J1030">
        <f>_xll.ciqfunctions.udf.CIQ(A1030, "IQ_PRICE_VOL_HIST_6MTH", F1030)</f>
        <v>58.981200000000001</v>
      </c>
      <c r="K1030">
        <f>_xll.ciqfunctions.udf.CIQ(A1030, "IQ_LASTSALEPRICE", WORKDAY(F1030,-1))</f>
        <v>3.5</v>
      </c>
      <c r="L1030">
        <f>_xll.ciqfunctions.udf.CIQ(A1030, "IQ_LASTSALEPRICE", F1030)</f>
        <v>3.44</v>
      </c>
      <c r="M1030">
        <f>_xll.ciqfunctions.udf.CIQ(A1030, "IQ_LASTSALEPRICE", WORKDAY(F1030,5))</f>
        <v>3.15</v>
      </c>
      <c r="N1030">
        <f t="shared" si="32"/>
        <v>-1.7291497110060994E-2</v>
      </c>
      <c r="O1030">
        <f t="shared" si="33"/>
        <v>-0.10536051565782628</v>
      </c>
      <c r="P1030">
        <f>LN(_xll.ciqfunctions.udf.CIQ("XBI", "IQ_LASTSALEPRICE", WORKDAY(F1030,-1))/_xll.ciqfunctions.udf.CIQ("XBI", "IQ_LASTSALEPRICE", WORKDAY(F1030,1)))</f>
        <v>-2.9921679865049271E-2</v>
      </c>
      <c r="Q1030">
        <f>LN(_xll.ciqfunctions.udf.CIQ("XBI", "IQ_LASTSALEPRICE", WORKDAY(F1030,-1))/_xll.ciqfunctions.udf.CIQ("XBI", "IQ_LASTSALEPRICE", WORKDAY(F1030,5)))</f>
        <v>-1.8628259802512346E-2</v>
      </c>
      <c r="R1030">
        <f>_xll.ciqfunctions.udf.CIQ(A1030, "IQ_SHORT_INTEREST_PERCENT", F1030)</f>
        <v>0</v>
      </c>
      <c r="S1030">
        <f>_xll.ciqfunctions.udf.CIQ(A1030, "IQ_BETA_1YR_RSQ", F1030)</f>
        <v>7.5579999999999994E-2</v>
      </c>
      <c r="T1030">
        <f>_xll.ciqfunctions.udf.CIQ(A1030, "IQ_VALUE_TRADED", F1030)</f>
        <v>0.19084000000000001</v>
      </c>
    </row>
    <row r="1031" spans="1:20" x14ac:dyDescent="0.3">
      <c r="A1031" t="s">
        <v>2825</v>
      </c>
      <c r="B1031" s="2">
        <v>11</v>
      </c>
      <c r="C1031" t="s">
        <v>2826</v>
      </c>
      <c r="D1031" t="s">
        <v>2827</v>
      </c>
      <c r="E1031" t="s">
        <v>281</v>
      </c>
      <c r="F1031" s="1">
        <v>45426</v>
      </c>
      <c r="G1031" t="s">
        <v>2828</v>
      </c>
      <c r="H1031">
        <v>117</v>
      </c>
      <c r="I1031">
        <f>_xll.ciqfunctions.udf.CIQ(A1031, "IQ_MARKETCAP", F1031)</f>
        <v>1439.80881</v>
      </c>
      <c r="J1031">
        <f>_xll.ciqfunctions.udf.CIQ(A1031, "IQ_PRICE_VOL_HIST_6MTH", F1031)</f>
        <v>27.203499999999998</v>
      </c>
      <c r="K1031">
        <f>_xll.ciqfunctions.udf.CIQ(A1031, "IQ_LASTSALEPRICE", WORKDAY(F1031,-1))</f>
        <v>11.03</v>
      </c>
      <c r="L1031">
        <f>_xll.ciqfunctions.udf.CIQ(A1031, "IQ_LASTSALEPRICE", F1031)</f>
        <v>11</v>
      </c>
      <c r="M1031">
        <f>_xll.ciqfunctions.udf.CIQ(A1031, "IQ_LASTSALEPRICE", WORKDAY(F1031,5))</f>
        <v>11.46</v>
      </c>
      <c r="N1031">
        <f t="shared" si="32"/>
        <v>-2.7235604670404925E-3</v>
      </c>
      <c r="O1031">
        <f t="shared" si="33"/>
        <v>3.824387802118253E-2</v>
      </c>
      <c r="P1031">
        <f>LN(_xll.ciqfunctions.udf.CIQ("XBI", "IQ_LASTSALEPRICE", WORKDAY(F1031,-1))/_xll.ciqfunctions.udf.CIQ("XBI", "IQ_LASTSALEPRICE", WORKDAY(F1031,1)))</f>
        <v>-2.9921679865049271E-2</v>
      </c>
      <c r="Q1031">
        <f>LN(_xll.ciqfunctions.udf.CIQ("XBI", "IQ_LASTSALEPRICE", WORKDAY(F1031,-1))/_xll.ciqfunctions.udf.CIQ("XBI", "IQ_LASTSALEPRICE", WORKDAY(F1031,5)))</f>
        <v>-1.8628259802512346E-2</v>
      </c>
      <c r="R1031">
        <f>_xll.ciqfunctions.udf.CIQ(A1031, "IQ_SHORT_INTEREST_PERCENT", F1031)</f>
        <v>14.991540000000001</v>
      </c>
      <c r="S1031">
        <f>_xll.ciqfunctions.udf.CIQ(A1031, "IQ_BETA_1YR_RSQ", F1031)</f>
        <v>7.5300000000000002E-3</v>
      </c>
      <c r="T1031">
        <f>_xll.ciqfunctions.udf.CIQ(A1031, "IQ_VALUE_TRADED", F1031)</f>
        <v>37.453749999999999</v>
      </c>
    </row>
    <row r="1032" spans="1:20" x14ac:dyDescent="0.3">
      <c r="A1032" t="s">
        <v>556</v>
      </c>
      <c r="B1032" s="2">
        <v>2.2599999999999998</v>
      </c>
      <c r="C1032" t="s">
        <v>557</v>
      </c>
      <c r="D1032" t="s">
        <v>558</v>
      </c>
      <c r="E1032" t="s">
        <v>89</v>
      </c>
      <c r="F1032" s="1">
        <v>45426</v>
      </c>
      <c r="G1032" t="s">
        <v>2829</v>
      </c>
      <c r="H1032">
        <v>17</v>
      </c>
      <c r="I1032">
        <f>_xll.ciqfunctions.udf.CIQ(A1032, "IQ_MARKETCAP", F1032)</f>
        <v>26.620539999999998</v>
      </c>
      <c r="J1032">
        <f>_xll.ciqfunctions.udf.CIQ(A1032, "IQ_PRICE_VOL_HIST_6MTH", F1032)</f>
        <v>80.680800000000005</v>
      </c>
      <c r="K1032">
        <f>_xll.ciqfunctions.udf.CIQ(A1032, "IQ_LASTSALEPRICE", WORKDAY(F1032,-1))</f>
        <v>1.82</v>
      </c>
      <c r="L1032">
        <f>_xll.ciqfunctions.udf.CIQ(A1032, "IQ_LASTSALEPRICE", F1032)</f>
        <v>2.2599999999999998</v>
      </c>
      <c r="M1032">
        <f>_xll.ciqfunctions.udf.CIQ(A1032, "IQ_LASTSALEPRICE", WORKDAY(F1032,5))</f>
        <v>2.1800000000000002</v>
      </c>
      <c r="N1032">
        <f t="shared" si="32"/>
        <v>0.21652831219549037</v>
      </c>
      <c r="O1032">
        <f t="shared" si="33"/>
        <v>0.18048837571229362</v>
      </c>
      <c r="P1032">
        <f>LN(_xll.ciqfunctions.udf.CIQ("XBI", "IQ_LASTSALEPRICE", WORKDAY(F1032,-1))/_xll.ciqfunctions.udf.CIQ("XBI", "IQ_LASTSALEPRICE", WORKDAY(F1032,1)))</f>
        <v>-2.9921679865049271E-2</v>
      </c>
      <c r="Q1032">
        <f>LN(_xll.ciqfunctions.udf.CIQ("XBI", "IQ_LASTSALEPRICE", WORKDAY(F1032,-1))/_xll.ciqfunctions.udf.CIQ("XBI", "IQ_LASTSALEPRICE", WORKDAY(F1032,5)))</f>
        <v>-1.8628259802512346E-2</v>
      </c>
      <c r="R1032">
        <f>_xll.ciqfunctions.udf.CIQ(A1032, "IQ_SHORT_INTEREST_PERCENT", F1032)</f>
        <v>0.8508</v>
      </c>
      <c r="S1032">
        <f>_xll.ciqfunctions.udf.CIQ(A1032, "IQ_BETA_1YR_RSQ", F1032)</f>
        <v>2.5399999999999999E-2</v>
      </c>
      <c r="T1032">
        <f>_xll.ciqfunctions.udf.CIQ(A1032, "IQ_VALUE_TRADED", F1032)</f>
        <v>1.51749</v>
      </c>
    </row>
    <row r="1033" spans="1:20" x14ac:dyDescent="0.3">
      <c r="A1033" t="s">
        <v>2830</v>
      </c>
      <c r="B1033" s="2">
        <v>9.58</v>
      </c>
      <c r="C1033" t="s">
        <v>2831</v>
      </c>
      <c r="D1033" t="s">
        <v>2832</v>
      </c>
      <c r="E1033" t="s">
        <v>76</v>
      </c>
      <c r="F1033" s="1">
        <v>45426</v>
      </c>
      <c r="G1033" t="s">
        <v>2833</v>
      </c>
      <c r="H1033">
        <v>161</v>
      </c>
      <c r="I1033">
        <f>_xll.ciqfunctions.udf.CIQ(A1033, "IQ_MARKETCAP", F1033)</f>
        <v>1528.2398900000001</v>
      </c>
      <c r="J1033">
        <f>_xll.ciqfunctions.udf.CIQ(A1033, "IQ_PRICE_VOL_HIST_6MTH", F1033)</f>
        <v>73.244699999999995</v>
      </c>
      <c r="K1033">
        <f>_xll.ciqfunctions.udf.CIQ(A1033, "IQ_LASTSALEPRICE", WORKDAY(F1033,-1))</f>
        <v>8.9600000000000009</v>
      </c>
      <c r="L1033">
        <f>_xll.ciqfunctions.udf.CIQ(A1033, "IQ_LASTSALEPRICE", F1033)</f>
        <v>9.58</v>
      </c>
      <c r="M1033">
        <f>_xll.ciqfunctions.udf.CIQ(A1033, "IQ_LASTSALEPRICE", WORKDAY(F1033,5))</f>
        <v>9.4499999999999993</v>
      </c>
      <c r="N1033">
        <f t="shared" si="32"/>
        <v>6.6907364995929891E-2</v>
      </c>
      <c r="O1033">
        <f t="shared" si="33"/>
        <v>5.3244514518812069E-2</v>
      </c>
      <c r="P1033">
        <f>LN(_xll.ciqfunctions.udf.CIQ("XBI", "IQ_LASTSALEPRICE", WORKDAY(F1033,-1))/_xll.ciqfunctions.udf.CIQ("XBI", "IQ_LASTSALEPRICE", WORKDAY(F1033,1)))</f>
        <v>-2.9921679865049271E-2</v>
      </c>
      <c r="Q1033">
        <f>LN(_xll.ciqfunctions.udf.CIQ("XBI", "IQ_LASTSALEPRICE", WORKDAY(F1033,-1))/_xll.ciqfunctions.udf.CIQ("XBI", "IQ_LASTSALEPRICE", WORKDAY(F1033,5)))</f>
        <v>-1.8628259802512346E-2</v>
      </c>
      <c r="R1033">
        <f>_xll.ciqfunctions.udf.CIQ(A1033, "IQ_SHORT_INTEREST_PERCENT", F1033)</f>
        <v>4.1256500000000003</v>
      </c>
      <c r="S1033">
        <f>_xll.ciqfunctions.udf.CIQ(A1033, "IQ_BETA_1YR_RSQ", F1033)</f>
        <v>3.7229999999999999E-2</v>
      </c>
      <c r="T1033">
        <f>_xll.ciqfunctions.udf.CIQ(A1033, "IQ_VALUE_TRADED", F1033)</f>
        <v>5.6368400000000003</v>
      </c>
    </row>
    <row r="1034" spans="1:20" x14ac:dyDescent="0.3">
      <c r="A1034" t="s">
        <v>1829</v>
      </c>
      <c r="B1034" s="2">
        <v>1.54</v>
      </c>
      <c r="C1034" t="s">
        <v>2834</v>
      </c>
      <c r="D1034" t="s">
        <v>2835</v>
      </c>
      <c r="E1034" t="s">
        <v>36</v>
      </c>
      <c r="F1034" s="1">
        <v>45426</v>
      </c>
      <c r="G1034" t="s">
        <v>2836</v>
      </c>
      <c r="H1034">
        <v>59</v>
      </c>
      <c r="I1034">
        <f>_xll.ciqfunctions.udf.CIQ(A1034, "IQ_MARKETCAP", F1034)</f>
        <v>54.292319999999997</v>
      </c>
      <c r="J1034">
        <f>_xll.ciqfunctions.udf.CIQ(A1034, "IQ_PRICE_VOL_HIST_6MTH", F1034)</f>
        <v>130.62739999999999</v>
      </c>
      <c r="K1034">
        <f>_xll.ciqfunctions.udf.CIQ(A1034, "IQ_LASTSALEPRICE", WORKDAY(F1034,-1))</f>
        <v>1.54</v>
      </c>
      <c r="L1034">
        <f>_xll.ciqfunctions.udf.CIQ(A1034, "IQ_LASTSALEPRICE", F1034)</f>
        <v>1.54</v>
      </c>
      <c r="M1034">
        <f>_xll.ciqfunctions.udf.CIQ(A1034, "IQ_LASTSALEPRICE", WORKDAY(F1034,5))</f>
        <v>1.51</v>
      </c>
      <c r="N1034">
        <f t="shared" si="32"/>
        <v>0</v>
      </c>
      <c r="O1034">
        <f t="shared" si="33"/>
        <v>-1.9672765598704893E-2</v>
      </c>
      <c r="P1034">
        <f>LN(_xll.ciqfunctions.udf.CIQ("XBI", "IQ_LASTSALEPRICE", WORKDAY(F1034,-1))/_xll.ciqfunctions.udf.CIQ("XBI", "IQ_LASTSALEPRICE", WORKDAY(F1034,1)))</f>
        <v>-2.9921679865049271E-2</v>
      </c>
      <c r="Q1034">
        <f>LN(_xll.ciqfunctions.udf.CIQ("XBI", "IQ_LASTSALEPRICE", WORKDAY(F1034,-1))/_xll.ciqfunctions.udf.CIQ("XBI", "IQ_LASTSALEPRICE", WORKDAY(F1034,5)))</f>
        <v>-1.8628259802512346E-2</v>
      </c>
      <c r="R1034">
        <f>_xll.ciqfunctions.udf.CIQ(A1034, "IQ_SHORT_INTEREST_PERCENT", F1034)</f>
        <v>1.07335</v>
      </c>
      <c r="S1034">
        <f>_xll.ciqfunctions.udf.CIQ(A1034, "IQ_BETA_1YR_RSQ", F1034)</f>
        <v>2.1299999999999999E-3</v>
      </c>
      <c r="T1034">
        <f>_xll.ciqfunctions.udf.CIQ(A1034, "IQ_VALUE_TRADED", F1034)</f>
        <v>0.22114</v>
      </c>
    </row>
    <row r="1035" spans="1:20" x14ac:dyDescent="0.3">
      <c r="A1035" t="s">
        <v>2837</v>
      </c>
      <c r="B1035" s="2">
        <v>1.82</v>
      </c>
      <c r="C1035" t="s">
        <v>2838</v>
      </c>
      <c r="D1035" t="s">
        <v>2839</v>
      </c>
      <c r="E1035" t="s">
        <v>36</v>
      </c>
      <c r="F1035" s="1">
        <v>45426</v>
      </c>
      <c r="G1035" t="s">
        <v>2840</v>
      </c>
      <c r="H1035">
        <v>97</v>
      </c>
      <c r="I1035">
        <f>_xll.ciqfunctions.udf.CIQ(A1035, "IQ_MARKETCAP", F1035)</f>
        <v>125.59990999999999</v>
      </c>
      <c r="J1035">
        <f>_xll.ciqfunctions.udf.CIQ(A1035, "IQ_PRICE_VOL_HIST_6MTH", F1035)</f>
        <v>62.176699999999997</v>
      </c>
      <c r="K1035">
        <f>_xll.ciqfunctions.udf.CIQ(A1035, "IQ_LASTSALEPRICE", WORKDAY(F1035,-1))</f>
        <v>1.7</v>
      </c>
      <c r="L1035">
        <f>_xll.ciqfunctions.udf.CIQ(A1035, "IQ_LASTSALEPRICE", F1035)</f>
        <v>1.82</v>
      </c>
      <c r="M1035">
        <f>_xll.ciqfunctions.udf.CIQ(A1035, "IQ_LASTSALEPRICE", WORKDAY(F1035,5))</f>
        <v>1.95</v>
      </c>
      <c r="N1035">
        <f t="shared" si="32"/>
        <v>6.8208250026533565E-2</v>
      </c>
      <c r="O1035">
        <f t="shared" si="33"/>
        <v>0.13720112151348496</v>
      </c>
      <c r="P1035">
        <f>LN(_xll.ciqfunctions.udf.CIQ("XBI", "IQ_LASTSALEPRICE", WORKDAY(F1035,-1))/_xll.ciqfunctions.udf.CIQ("XBI", "IQ_LASTSALEPRICE", WORKDAY(F1035,1)))</f>
        <v>-2.9921679865049271E-2</v>
      </c>
      <c r="Q1035">
        <f>LN(_xll.ciqfunctions.udf.CIQ("XBI", "IQ_LASTSALEPRICE", WORKDAY(F1035,-1))/_xll.ciqfunctions.udf.CIQ("XBI", "IQ_LASTSALEPRICE", WORKDAY(F1035,5)))</f>
        <v>-1.8628259802512346E-2</v>
      </c>
      <c r="R1035">
        <f>_xll.ciqfunctions.udf.CIQ(A1035, "IQ_SHORT_INTEREST_PERCENT", F1035)</f>
        <v>0.92191000000000001</v>
      </c>
      <c r="S1035">
        <f>_xll.ciqfunctions.udf.CIQ(A1035, "IQ_BETA_1YR_RSQ", F1035)</f>
        <v>0.10340000000000001</v>
      </c>
      <c r="T1035">
        <f>_xll.ciqfunctions.udf.CIQ(A1035, "IQ_VALUE_TRADED", F1035)</f>
        <v>0.75622</v>
      </c>
    </row>
    <row r="1036" spans="1:20" x14ac:dyDescent="0.3">
      <c r="A1036" t="s">
        <v>1877</v>
      </c>
      <c r="B1036" s="2">
        <v>2.57</v>
      </c>
      <c r="C1036" t="s">
        <v>2841</v>
      </c>
      <c r="D1036" t="s">
        <v>2842</v>
      </c>
      <c r="E1036" t="s">
        <v>17</v>
      </c>
      <c r="F1036" s="1">
        <v>45426</v>
      </c>
      <c r="G1036" t="s">
        <v>2843</v>
      </c>
      <c r="I1036">
        <f>_xll.ciqfunctions.udf.CIQ(A1036, "IQ_MARKETCAP", F1036)</f>
        <v>5.3935300000000002</v>
      </c>
      <c r="J1036">
        <f>_xll.ciqfunctions.udf.CIQ(A1036, "IQ_PRICE_VOL_HIST_6MTH", F1036)</f>
        <v>113.77719999999999</v>
      </c>
      <c r="K1036">
        <f>_xll.ciqfunctions.udf.CIQ(A1036, "IQ_LASTSALEPRICE", WORKDAY(F1036,-1))</f>
        <v>119.5</v>
      </c>
      <c r="L1036">
        <f>_xll.ciqfunctions.udf.CIQ(A1036, "IQ_LASTSALEPRICE", F1036)</f>
        <v>128.5</v>
      </c>
      <c r="M1036">
        <f>_xll.ciqfunctions.udf.CIQ(A1036, "IQ_LASTSALEPRICE", WORKDAY(F1036,5))</f>
        <v>117.5</v>
      </c>
      <c r="N1036">
        <f t="shared" si="32"/>
        <v>7.2612532963709217E-2</v>
      </c>
      <c r="O1036">
        <f t="shared" si="33"/>
        <v>-1.6878037787351748E-2</v>
      </c>
      <c r="P1036">
        <f>LN(_xll.ciqfunctions.udf.CIQ("XBI", "IQ_LASTSALEPRICE", WORKDAY(F1036,-1))/_xll.ciqfunctions.udf.CIQ("XBI", "IQ_LASTSALEPRICE", WORKDAY(F1036,1)))</f>
        <v>-2.9921679865049271E-2</v>
      </c>
      <c r="Q1036">
        <f>LN(_xll.ciqfunctions.udf.CIQ("XBI", "IQ_LASTSALEPRICE", WORKDAY(F1036,-1))/_xll.ciqfunctions.udf.CIQ("XBI", "IQ_LASTSALEPRICE", WORKDAY(F1036,5)))</f>
        <v>-1.8628259802512346E-2</v>
      </c>
      <c r="R1036">
        <f>_xll.ciqfunctions.udf.CIQ(A1036, "IQ_SHORT_INTEREST_PERCENT", F1036)</f>
        <v>2.3806699999999998</v>
      </c>
      <c r="S1036">
        <f>_xll.ciqfunctions.udf.CIQ(A1036, "IQ_BETA_1YR_RSQ", F1036)</f>
        <v>0.22628999999999999</v>
      </c>
      <c r="T1036">
        <f>_xll.ciqfunctions.udf.CIQ(A1036, "IQ_VALUE_TRADED", F1036)</f>
        <v>0.44551000000000002</v>
      </c>
    </row>
    <row r="1037" spans="1:20" x14ac:dyDescent="0.3">
      <c r="A1037" t="s">
        <v>2844</v>
      </c>
      <c r="B1037" s="2">
        <v>15.69</v>
      </c>
      <c r="C1037" t="s">
        <v>2845</v>
      </c>
      <c r="D1037" t="s">
        <v>2846</v>
      </c>
      <c r="E1037" t="s">
        <v>76</v>
      </c>
      <c r="F1037" s="1">
        <v>45426</v>
      </c>
      <c r="G1037" t="s">
        <v>2847</v>
      </c>
      <c r="H1037">
        <v>12</v>
      </c>
      <c r="I1037">
        <f>_xll.ciqfunctions.udf.CIQ(A1037, "IQ_MARKETCAP", F1037)</f>
        <v>92.478189999999998</v>
      </c>
      <c r="J1037">
        <f>_xll.ciqfunctions.udf.CIQ(A1037, "IQ_PRICE_VOL_HIST_6MTH", F1037)</f>
        <v>112.6435</v>
      </c>
      <c r="K1037">
        <f>_xll.ciqfunctions.udf.CIQ(A1037, "IQ_LASTSALEPRICE", WORKDAY(F1037,-1))</f>
        <v>15.66</v>
      </c>
      <c r="L1037">
        <f>_xll.ciqfunctions.udf.CIQ(A1037, "IQ_LASTSALEPRICE", F1037)</f>
        <v>15.69</v>
      </c>
      <c r="M1037">
        <f>_xll.ciqfunctions.udf.CIQ(A1037, "IQ_LASTSALEPRICE", WORKDAY(F1037,5))</f>
        <v>10.795</v>
      </c>
      <c r="N1037">
        <f t="shared" si="32"/>
        <v>1.9138761822841976E-3</v>
      </c>
      <c r="O1037">
        <f t="shared" si="33"/>
        <v>-0.37202662659588637</v>
      </c>
      <c r="P1037">
        <f>LN(_xll.ciqfunctions.udf.CIQ("XBI", "IQ_LASTSALEPRICE", WORKDAY(F1037,-1))/_xll.ciqfunctions.udf.CIQ("XBI", "IQ_LASTSALEPRICE", WORKDAY(F1037,1)))</f>
        <v>-2.9921679865049271E-2</v>
      </c>
      <c r="Q1037">
        <f>LN(_xll.ciqfunctions.udf.CIQ("XBI", "IQ_LASTSALEPRICE", WORKDAY(F1037,-1))/_xll.ciqfunctions.udf.CIQ("XBI", "IQ_LASTSALEPRICE", WORKDAY(F1037,5)))</f>
        <v>-1.8628259802512346E-2</v>
      </c>
      <c r="R1037">
        <f>_xll.ciqfunctions.udf.CIQ(A1037, "IQ_SHORT_INTEREST_PERCENT", F1037)</f>
        <v>1.1419900000000001</v>
      </c>
      <c r="S1037">
        <f>_xll.ciqfunctions.udf.CIQ(A1037, "IQ_BETA_1YR_RSQ", F1037)</f>
        <v>8.5050000000000001E-2</v>
      </c>
      <c r="T1037">
        <f>_xll.ciqfunctions.udf.CIQ(A1037, "IQ_VALUE_TRADED", F1037)</f>
        <v>0.44113999999999998</v>
      </c>
    </row>
    <row r="1038" spans="1:20" x14ac:dyDescent="0.3">
      <c r="A1038" t="s">
        <v>2848</v>
      </c>
      <c r="B1038" s="2">
        <v>35.090000000000003</v>
      </c>
      <c r="C1038" t="s">
        <v>2849</v>
      </c>
      <c r="D1038" t="s">
        <v>2850</v>
      </c>
      <c r="E1038" t="s">
        <v>97</v>
      </c>
      <c r="F1038" s="1">
        <v>45426</v>
      </c>
      <c r="G1038" t="s">
        <v>2851</v>
      </c>
      <c r="H1038">
        <v>71</v>
      </c>
      <c r="I1038">
        <f>_xll.ciqfunctions.udf.CIQ(A1038, "IQ_MARKETCAP", F1038)</f>
        <v>2153.0614099999998</v>
      </c>
      <c r="J1038">
        <f>_xll.ciqfunctions.udf.CIQ(A1038, "IQ_PRICE_VOL_HIST_6MTH", F1038)</f>
        <v>63.183900000000001</v>
      </c>
      <c r="K1038">
        <f>_xll.ciqfunctions.udf.CIQ(A1038, "IQ_LASTSALEPRICE", WORKDAY(F1038,-1))</f>
        <v>38.36</v>
      </c>
      <c r="L1038">
        <f>_xll.ciqfunctions.udf.CIQ(A1038, "IQ_LASTSALEPRICE", F1038)</f>
        <v>35.090000000000003</v>
      </c>
      <c r="M1038">
        <f>_xll.ciqfunctions.udf.CIQ(A1038, "IQ_LASTSALEPRICE", WORKDAY(F1038,5))</f>
        <v>35.32</v>
      </c>
      <c r="N1038">
        <f t="shared" si="32"/>
        <v>-8.9099060420113577E-2</v>
      </c>
      <c r="O1038">
        <f t="shared" si="33"/>
        <v>-8.2565874279478216E-2</v>
      </c>
      <c r="P1038">
        <f>LN(_xll.ciqfunctions.udf.CIQ("XBI", "IQ_LASTSALEPRICE", WORKDAY(F1038,-1))/_xll.ciqfunctions.udf.CIQ("XBI", "IQ_LASTSALEPRICE", WORKDAY(F1038,1)))</f>
        <v>-2.9921679865049271E-2</v>
      </c>
      <c r="Q1038">
        <f>LN(_xll.ciqfunctions.udf.CIQ("XBI", "IQ_LASTSALEPRICE", WORKDAY(F1038,-1))/_xll.ciqfunctions.udf.CIQ("XBI", "IQ_LASTSALEPRICE", WORKDAY(F1038,5)))</f>
        <v>-1.8628259802512346E-2</v>
      </c>
      <c r="R1038">
        <f>_xll.ciqfunctions.udf.CIQ(A1038, "IQ_SHORT_INTEREST_PERCENT", F1038)</f>
        <v>16.148309999999999</v>
      </c>
      <c r="S1038">
        <f>_xll.ciqfunctions.udf.CIQ(A1038, "IQ_BETA_1YR_RSQ", F1038)</f>
        <v>0.28987000000000002</v>
      </c>
      <c r="T1038">
        <f>_xll.ciqfunctions.udf.CIQ(A1038, "IQ_VALUE_TRADED", F1038)</f>
        <v>36.1434</v>
      </c>
    </row>
    <row r="1039" spans="1:20" x14ac:dyDescent="0.3">
      <c r="A1039" t="s">
        <v>1613</v>
      </c>
      <c r="B1039" s="2">
        <v>2.0099999999999998</v>
      </c>
      <c r="C1039" t="s">
        <v>1614</v>
      </c>
      <c r="D1039" t="s">
        <v>1615</v>
      </c>
      <c r="E1039" t="s">
        <v>76</v>
      </c>
      <c r="F1039" s="1">
        <v>45427</v>
      </c>
      <c r="G1039" t="s">
        <v>2852</v>
      </c>
      <c r="H1039">
        <v>4</v>
      </c>
      <c r="I1039">
        <f>_xll.ciqfunctions.udf.CIQ(A1039, "IQ_MARKETCAP", F1039)</f>
        <v>899.72</v>
      </c>
      <c r="J1039">
        <f>_xll.ciqfunctions.udf.CIQ(A1039, "IQ_PRICE_VOL_HIST_6MTH", F1039)</f>
        <v>76.772199999999998</v>
      </c>
      <c r="K1039">
        <f>_xll.ciqfunctions.udf.CIQ(A1039, "IQ_LASTSALEPRICE", WORKDAY(F1039,-1))</f>
        <v>45</v>
      </c>
      <c r="L1039">
        <f>_xll.ciqfunctions.udf.CIQ(A1039, "IQ_LASTSALEPRICE", F1039)</f>
        <v>41.75</v>
      </c>
      <c r="M1039">
        <f>_xll.ciqfunctions.udf.CIQ(A1039, "IQ_LASTSALEPRICE", WORKDAY(F1039,5))</f>
        <v>44.1</v>
      </c>
      <c r="N1039">
        <f t="shared" si="32"/>
        <v>-7.4963038473455229E-2</v>
      </c>
      <c r="O1039">
        <f t="shared" si="33"/>
        <v>-2.0202707317519466E-2</v>
      </c>
      <c r="P1039">
        <f>LN(_xll.ciqfunctions.udf.CIQ("XBI", "IQ_LASTSALEPRICE", WORKDAY(F1039,-1))/_xll.ciqfunctions.udf.CIQ("XBI", "IQ_LASTSALEPRICE", WORKDAY(F1039,1)))</f>
        <v>-1.9742147431636211E-2</v>
      </c>
      <c r="Q1039">
        <f>LN(_xll.ciqfunctions.udf.CIQ("XBI", "IQ_LASTSALEPRICE", WORKDAY(F1039,-1))/_xll.ciqfunctions.udf.CIQ("XBI", "IQ_LASTSALEPRICE", WORKDAY(F1039,5)))</f>
        <v>-1.51957009772533E-2</v>
      </c>
      <c r="R1039">
        <f>_xll.ciqfunctions.udf.CIQ(A1039, "IQ_SHORT_INTEREST_PERCENT", F1039)</f>
        <v>0</v>
      </c>
      <c r="S1039">
        <f>_xll.ciqfunctions.udf.CIQ(A1039, "IQ_BETA_1YR_RSQ", F1039)</f>
        <v>0</v>
      </c>
      <c r="T1039">
        <f>_xll.ciqfunctions.udf.CIQ(A1039, "IQ_VALUE_TRADED", F1039)</f>
        <v>0</v>
      </c>
    </row>
    <row r="1040" spans="1:20" x14ac:dyDescent="0.3">
      <c r="A1040" t="s">
        <v>492</v>
      </c>
      <c r="B1040" s="2">
        <v>5.36</v>
      </c>
      <c r="C1040" t="s">
        <v>2853</v>
      </c>
      <c r="D1040" t="s">
        <v>2854</v>
      </c>
      <c r="E1040" t="s">
        <v>36</v>
      </c>
      <c r="F1040" s="1">
        <v>45427</v>
      </c>
      <c r="G1040" t="s">
        <v>2855</v>
      </c>
      <c r="H1040">
        <v>59</v>
      </c>
      <c r="I1040">
        <f>_xll.ciqfunctions.udf.CIQ(A1040, "IQ_MARKETCAP", F1040)</f>
        <v>311.94274000000001</v>
      </c>
      <c r="J1040">
        <f>_xll.ciqfunctions.udf.CIQ(A1040, "IQ_PRICE_VOL_HIST_6MTH", F1040)</f>
        <v>74.776799999999994</v>
      </c>
      <c r="K1040">
        <f>_xll.ciqfunctions.udf.CIQ(A1040, "IQ_LASTSALEPRICE", WORKDAY(F1040,-1))</f>
        <v>5.13</v>
      </c>
      <c r="L1040">
        <f>_xll.ciqfunctions.udf.CIQ(A1040, "IQ_LASTSALEPRICE", F1040)</f>
        <v>5.36</v>
      </c>
      <c r="M1040">
        <f>_xll.ciqfunctions.udf.CIQ(A1040, "IQ_LASTSALEPRICE", WORKDAY(F1040,5))</f>
        <v>5.14</v>
      </c>
      <c r="N1040">
        <f t="shared" si="32"/>
        <v>4.3858315900032613E-2</v>
      </c>
      <c r="O1040">
        <f t="shared" si="33"/>
        <v>1.9474202843956288E-3</v>
      </c>
      <c r="P1040">
        <f>LN(_xll.ciqfunctions.udf.CIQ("XBI", "IQ_LASTSALEPRICE", WORKDAY(F1040,-1))/_xll.ciqfunctions.udf.CIQ("XBI", "IQ_LASTSALEPRICE", WORKDAY(F1040,1)))</f>
        <v>-1.9742147431636211E-2</v>
      </c>
      <c r="Q1040">
        <f>LN(_xll.ciqfunctions.udf.CIQ("XBI", "IQ_LASTSALEPRICE", WORKDAY(F1040,-1))/_xll.ciqfunctions.udf.CIQ("XBI", "IQ_LASTSALEPRICE", WORKDAY(F1040,5)))</f>
        <v>-1.51957009772533E-2</v>
      </c>
      <c r="R1040">
        <f>_xll.ciqfunctions.udf.CIQ(A1040, "IQ_SHORT_INTEREST_PERCENT", F1040)</f>
        <v>3.9601000000000002</v>
      </c>
      <c r="S1040">
        <f>_xll.ciqfunctions.udf.CIQ(A1040, "IQ_BETA_1YR_RSQ", F1040)</f>
        <v>2.1199999999999999E-3</v>
      </c>
      <c r="T1040">
        <f>_xll.ciqfunctions.udf.CIQ(A1040, "IQ_VALUE_TRADED", F1040)</f>
        <v>4.86883</v>
      </c>
    </row>
    <row r="1041" spans="1:20" x14ac:dyDescent="0.3">
      <c r="A1041" t="s">
        <v>2856</v>
      </c>
      <c r="B1041" s="2">
        <v>12.92</v>
      </c>
      <c r="C1041" t="s">
        <v>2857</v>
      </c>
      <c r="D1041" t="s">
        <v>2858</v>
      </c>
      <c r="E1041" t="s">
        <v>184</v>
      </c>
      <c r="F1041" s="1">
        <v>45427</v>
      </c>
      <c r="G1041" t="s">
        <v>2859</v>
      </c>
      <c r="H1041">
        <v>45</v>
      </c>
      <c r="I1041">
        <f>_xll.ciqfunctions.udf.CIQ(A1041, "IQ_MARKETCAP", F1041)</f>
        <v>0</v>
      </c>
      <c r="J1041">
        <f>_xll.ciqfunctions.udf.CIQ(A1041, "IQ_PRICE_VOL_HIST_6MTH", F1041)</f>
        <v>0</v>
      </c>
      <c r="K1041">
        <f>_xll.ciqfunctions.udf.CIQ(A1041, "IQ_LASTSALEPRICE", WORKDAY(F1041,-1))</f>
        <v>0</v>
      </c>
      <c r="L1041">
        <f>_xll.ciqfunctions.udf.CIQ(A1041, "IQ_LASTSALEPRICE", F1041)</f>
        <v>0</v>
      </c>
      <c r="M1041">
        <f>_xll.ciqfunctions.udf.CIQ(A1041, "IQ_LASTSALEPRICE", WORKDAY(F1041,5))</f>
        <v>0</v>
      </c>
      <c r="N1041" t="e">
        <f t="shared" si="32"/>
        <v>#DIV/0!</v>
      </c>
      <c r="O1041" t="e">
        <f t="shared" si="33"/>
        <v>#DIV/0!</v>
      </c>
      <c r="P1041">
        <f>LN(_xll.ciqfunctions.udf.CIQ("XBI", "IQ_LASTSALEPRICE", WORKDAY(F1041,-1))/_xll.ciqfunctions.udf.CIQ("XBI", "IQ_LASTSALEPRICE", WORKDAY(F1041,1)))</f>
        <v>-1.9742147431636211E-2</v>
      </c>
      <c r="Q1041">
        <f>LN(_xll.ciqfunctions.udf.CIQ("XBI", "IQ_LASTSALEPRICE", WORKDAY(F1041,-1))/_xll.ciqfunctions.udf.CIQ("XBI", "IQ_LASTSALEPRICE", WORKDAY(F1041,5)))</f>
        <v>-1.51957009772533E-2</v>
      </c>
      <c r="R1041">
        <f>_xll.ciqfunctions.udf.CIQ(A1041, "IQ_SHORT_INTEREST_PERCENT", F1041)</f>
        <v>0</v>
      </c>
      <c r="S1041">
        <f>_xll.ciqfunctions.udf.CIQ(A1041, "IQ_BETA_1YR_RSQ", F1041)</f>
        <v>0</v>
      </c>
      <c r="T1041">
        <f>_xll.ciqfunctions.udf.CIQ(A1041, "IQ_VALUE_TRADED", F1041)</f>
        <v>0</v>
      </c>
    </row>
    <row r="1042" spans="1:20" x14ac:dyDescent="0.3">
      <c r="A1042" t="s">
        <v>455</v>
      </c>
      <c r="B1042" s="2">
        <v>4.62</v>
      </c>
      <c r="C1042" t="s">
        <v>2860</v>
      </c>
      <c r="D1042" t="s">
        <v>416</v>
      </c>
      <c r="E1042" t="s">
        <v>22</v>
      </c>
      <c r="F1042" s="1">
        <v>45427</v>
      </c>
      <c r="G1042" t="s">
        <v>2861</v>
      </c>
      <c r="H1042">
        <v>32</v>
      </c>
      <c r="I1042">
        <f>_xll.ciqfunctions.udf.CIQ(A1042, "IQ_MARKETCAP", F1042)</f>
        <v>147.44216</v>
      </c>
      <c r="J1042">
        <f>_xll.ciqfunctions.udf.CIQ(A1042, "IQ_PRICE_VOL_HIST_6MTH", F1042)</f>
        <v>200.69550000000001</v>
      </c>
      <c r="K1042">
        <f>_xll.ciqfunctions.udf.CIQ(A1042, "IQ_LASTSALEPRICE", WORKDAY(F1042,-1))</f>
        <v>4.38</v>
      </c>
      <c r="L1042">
        <f>_xll.ciqfunctions.udf.CIQ(A1042, "IQ_LASTSALEPRICE", F1042)</f>
        <v>4.62</v>
      </c>
      <c r="M1042">
        <f>_xll.ciqfunctions.udf.CIQ(A1042, "IQ_LASTSALEPRICE", WORKDAY(F1042,5))</f>
        <v>5.08</v>
      </c>
      <c r="N1042">
        <f t="shared" si="32"/>
        <v>5.3345980705292714E-2</v>
      </c>
      <c r="O1042">
        <f t="shared" si="33"/>
        <v>0.1482625372020358</v>
      </c>
      <c r="P1042">
        <f>LN(_xll.ciqfunctions.udf.CIQ("XBI", "IQ_LASTSALEPRICE", WORKDAY(F1042,-1))/_xll.ciqfunctions.udf.CIQ("XBI", "IQ_LASTSALEPRICE", WORKDAY(F1042,1)))</f>
        <v>-1.9742147431636211E-2</v>
      </c>
      <c r="Q1042">
        <f>LN(_xll.ciqfunctions.udf.CIQ("XBI", "IQ_LASTSALEPRICE", WORKDAY(F1042,-1))/_xll.ciqfunctions.udf.CIQ("XBI", "IQ_LASTSALEPRICE", WORKDAY(F1042,5)))</f>
        <v>-1.51957009772533E-2</v>
      </c>
      <c r="R1042">
        <f>_xll.ciqfunctions.udf.CIQ(A1042, "IQ_SHORT_INTEREST_PERCENT", F1042)</f>
        <v>6.8993900000000004</v>
      </c>
      <c r="S1042">
        <f>_xll.ciqfunctions.udf.CIQ(A1042, "IQ_BETA_1YR_RSQ", F1042)</f>
        <v>0.13131000000000001</v>
      </c>
      <c r="T1042">
        <f>_xll.ciqfunctions.udf.CIQ(A1042, "IQ_VALUE_TRADED", F1042)</f>
        <v>1.8936599999999999</v>
      </c>
    </row>
    <row r="1043" spans="1:20" x14ac:dyDescent="0.3">
      <c r="A1043" t="s">
        <v>131</v>
      </c>
      <c r="B1043" s="2">
        <v>2.82</v>
      </c>
      <c r="C1043" t="s">
        <v>1254</v>
      </c>
      <c r="D1043" t="s">
        <v>1255</v>
      </c>
      <c r="E1043" t="s">
        <v>27</v>
      </c>
      <c r="F1043" s="1">
        <v>45427</v>
      </c>
      <c r="G1043" t="s">
        <v>2862</v>
      </c>
      <c r="H1043">
        <v>145</v>
      </c>
      <c r="I1043">
        <f>_xll.ciqfunctions.udf.CIQ(A1043, "IQ_MARKETCAP", F1043)</f>
        <v>529.03138000000001</v>
      </c>
      <c r="J1043">
        <f>_xll.ciqfunctions.udf.CIQ(A1043, "IQ_PRICE_VOL_HIST_6MTH", F1043)</f>
        <v>57.137599999999999</v>
      </c>
      <c r="K1043">
        <f>_xll.ciqfunctions.udf.CIQ(A1043, "IQ_LASTSALEPRICE", WORKDAY(F1043,-1))</f>
        <v>2.93</v>
      </c>
      <c r="L1043">
        <f>_xll.ciqfunctions.udf.CIQ(A1043, "IQ_LASTSALEPRICE", F1043)</f>
        <v>2.82</v>
      </c>
      <c r="M1043">
        <f>_xll.ciqfunctions.udf.CIQ(A1043, "IQ_LASTSALEPRICE", WORKDAY(F1043,5))</f>
        <v>3.12</v>
      </c>
      <c r="N1043">
        <f t="shared" si="32"/>
        <v>-3.8265538078953838E-2</v>
      </c>
      <c r="O1043">
        <f t="shared" si="33"/>
        <v>6.2830578792415118E-2</v>
      </c>
      <c r="P1043">
        <f>LN(_xll.ciqfunctions.udf.CIQ("XBI", "IQ_LASTSALEPRICE", WORKDAY(F1043,-1))/_xll.ciqfunctions.udf.CIQ("XBI", "IQ_LASTSALEPRICE", WORKDAY(F1043,1)))</f>
        <v>-1.9742147431636211E-2</v>
      </c>
      <c r="Q1043">
        <f>LN(_xll.ciqfunctions.udf.CIQ("XBI", "IQ_LASTSALEPRICE", WORKDAY(F1043,-1))/_xll.ciqfunctions.udf.CIQ("XBI", "IQ_LASTSALEPRICE", WORKDAY(F1043,5)))</f>
        <v>-1.51957009772533E-2</v>
      </c>
      <c r="R1043">
        <f>_xll.ciqfunctions.udf.CIQ(A1043, "IQ_SHORT_INTEREST_PERCENT", F1043)</f>
        <v>0</v>
      </c>
      <c r="S1043">
        <f>_xll.ciqfunctions.udf.CIQ(A1043, "IQ_BETA_1YR_RSQ", F1043)</f>
        <v>0</v>
      </c>
      <c r="T1043">
        <f>_xll.ciqfunctions.udf.CIQ(A1043, "IQ_VALUE_TRADED", F1043)</f>
        <v>0.73628000000000005</v>
      </c>
    </row>
    <row r="1044" spans="1:20" x14ac:dyDescent="0.3">
      <c r="A1044" t="s">
        <v>2863</v>
      </c>
      <c r="B1044" s="2">
        <v>9.85</v>
      </c>
      <c r="C1044" t="s">
        <v>2864</v>
      </c>
      <c r="D1044" t="s">
        <v>2200</v>
      </c>
      <c r="E1044" t="s">
        <v>17</v>
      </c>
      <c r="F1044" s="1">
        <v>45427</v>
      </c>
      <c r="G1044" t="s">
        <v>2865</v>
      </c>
      <c r="H1044">
        <v>68</v>
      </c>
      <c r="I1044">
        <f>_xll.ciqfunctions.udf.CIQ(A1044, "IQ_MARKETCAP", F1044)</f>
        <v>550.55073000000004</v>
      </c>
      <c r="J1044">
        <f>_xll.ciqfunctions.udf.CIQ(A1044, "IQ_PRICE_VOL_HIST_6MTH", F1044)</f>
        <v>75.893100000000004</v>
      </c>
      <c r="K1044">
        <f>_xll.ciqfunctions.udf.CIQ(A1044, "IQ_LASTSALEPRICE", WORKDAY(F1044,-1))</f>
        <v>10.17</v>
      </c>
      <c r="L1044">
        <f>_xll.ciqfunctions.udf.CIQ(A1044, "IQ_LASTSALEPRICE", F1044)</f>
        <v>9.85</v>
      </c>
      <c r="M1044">
        <f>_xll.ciqfunctions.udf.CIQ(A1044, "IQ_LASTSALEPRICE", WORKDAY(F1044,5))</f>
        <v>9.2100000000000009</v>
      </c>
      <c r="N1044">
        <f t="shared" si="32"/>
        <v>-3.1970754876471108E-2</v>
      </c>
      <c r="O1044">
        <f t="shared" si="33"/>
        <v>-9.9152359793252987E-2</v>
      </c>
      <c r="P1044">
        <f>LN(_xll.ciqfunctions.udf.CIQ("XBI", "IQ_LASTSALEPRICE", WORKDAY(F1044,-1))/_xll.ciqfunctions.udf.CIQ("XBI", "IQ_LASTSALEPRICE", WORKDAY(F1044,1)))</f>
        <v>-1.9742147431636211E-2</v>
      </c>
      <c r="Q1044">
        <f>LN(_xll.ciqfunctions.udf.CIQ("XBI", "IQ_LASTSALEPRICE", WORKDAY(F1044,-1))/_xll.ciqfunctions.udf.CIQ("XBI", "IQ_LASTSALEPRICE", WORKDAY(F1044,5)))</f>
        <v>-1.51957009772533E-2</v>
      </c>
      <c r="R1044">
        <f>_xll.ciqfunctions.udf.CIQ(A1044, "IQ_SHORT_INTEREST_PERCENT", F1044)</f>
        <v>15.03284</v>
      </c>
      <c r="S1044">
        <f>_xll.ciqfunctions.udf.CIQ(A1044, "IQ_BETA_1YR_RSQ", F1044)</f>
        <v>5.7419999999999999E-2</v>
      </c>
      <c r="T1044">
        <f>_xll.ciqfunctions.udf.CIQ(A1044, "IQ_VALUE_TRADED", F1044)</f>
        <v>16.096879999999999</v>
      </c>
    </row>
    <row r="1045" spans="1:20" x14ac:dyDescent="0.3">
      <c r="A1045" t="s">
        <v>374</v>
      </c>
      <c r="B1045" s="2">
        <v>2.25</v>
      </c>
      <c r="C1045" t="s">
        <v>375</v>
      </c>
      <c r="D1045" t="s">
        <v>376</v>
      </c>
      <c r="E1045" t="s">
        <v>197</v>
      </c>
      <c r="F1045" s="1">
        <v>45427</v>
      </c>
      <c r="G1045" t="s">
        <v>2866</v>
      </c>
      <c r="H1045">
        <v>1</v>
      </c>
      <c r="I1045">
        <f>_xll.ciqfunctions.udf.CIQ(A1045, "IQ_MARKETCAP", F1045)</f>
        <v>35.646979999999999</v>
      </c>
      <c r="J1045">
        <f>_xll.ciqfunctions.udf.CIQ(A1045, "IQ_PRICE_VOL_HIST_6MTH", F1045)</f>
        <v>83.480999999999995</v>
      </c>
      <c r="K1045">
        <f>_xll.ciqfunctions.udf.CIQ(A1045, "IQ_LASTSALEPRICE", WORKDAY(F1045,-1))</f>
        <v>41.8</v>
      </c>
      <c r="L1045">
        <f>_xll.ciqfunctions.udf.CIQ(A1045, "IQ_LASTSALEPRICE", F1045)</f>
        <v>45</v>
      </c>
      <c r="M1045">
        <f>_xll.ciqfunctions.udf.CIQ(A1045, "IQ_LASTSALEPRICE", WORKDAY(F1045,5))</f>
        <v>51</v>
      </c>
      <c r="N1045">
        <f t="shared" si="32"/>
        <v>7.3766150239609293E-2</v>
      </c>
      <c r="O1045">
        <f t="shared" si="33"/>
        <v>0.19892929319361519</v>
      </c>
      <c r="P1045">
        <f>LN(_xll.ciqfunctions.udf.CIQ("XBI", "IQ_LASTSALEPRICE", WORKDAY(F1045,-1))/_xll.ciqfunctions.udf.CIQ("XBI", "IQ_LASTSALEPRICE", WORKDAY(F1045,1)))</f>
        <v>-1.9742147431636211E-2</v>
      </c>
      <c r="Q1045">
        <f>LN(_xll.ciqfunctions.udf.CIQ("XBI", "IQ_LASTSALEPRICE", WORKDAY(F1045,-1))/_xll.ciqfunctions.udf.CIQ("XBI", "IQ_LASTSALEPRICE", WORKDAY(F1045,5)))</f>
        <v>-1.51957009772533E-2</v>
      </c>
      <c r="R1045">
        <f>_xll.ciqfunctions.udf.CIQ(A1045, "IQ_SHORT_INTEREST_PERCENT", F1045)</f>
        <v>3.8846599999999998</v>
      </c>
      <c r="S1045">
        <f>_xll.ciqfunctions.udf.CIQ(A1045, "IQ_BETA_1YR_RSQ", F1045)</f>
        <v>3.056E-2</v>
      </c>
      <c r="T1045">
        <f>_xll.ciqfunctions.udf.CIQ(A1045, "IQ_VALUE_TRADED", F1045)</f>
        <v>0.38357999999999998</v>
      </c>
    </row>
    <row r="1046" spans="1:20" x14ac:dyDescent="0.3">
      <c r="A1046" t="s">
        <v>2641</v>
      </c>
      <c r="B1046" s="2">
        <v>3</v>
      </c>
      <c r="C1046" t="s">
        <v>2867</v>
      </c>
      <c r="D1046" t="s">
        <v>2868</v>
      </c>
      <c r="E1046" t="s">
        <v>76</v>
      </c>
      <c r="F1046" s="1">
        <v>45427</v>
      </c>
      <c r="G1046" t="s">
        <v>2869</v>
      </c>
      <c r="H1046">
        <v>58</v>
      </c>
      <c r="I1046">
        <f>_xll.ciqfunctions.udf.CIQ(A1046, "IQ_MARKETCAP", F1046)</f>
        <v>144.34774999999999</v>
      </c>
      <c r="J1046">
        <f>_xll.ciqfunctions.udf.CIQ(A1046, "IQ_PRICE_VOL_HIST_6MTH", F1046)</f>
        <v>136.26249999999999</v>
      </c>
      <c r="K1046">
        <f>_xll.ciqfunctions.udf.CIQ(A1046, "IQ_LASTSALEPRICE", WORKDAY(F1046,-1))</f>
        <v>2.61</v>
      </c>
      <c r="L1046">
        <f>_xll.ciqfunctions.udf.CIQ(A1046, "IQ_LASTSALEPRICE", F1046)</f>
        <v>3</v>
      </c>
      <c r="M1046">
        <f>_xll.ciqfunctions.udf.CIQ(A1046, "IQ_LASTSALEPRICE", WORKDAY(F1046,5))</f>
        <v>2.2799999999999998</v>
      </c>
      <c r="N1046">
        <f t="shared" si="32"/>
        <v>0.13926206733350779</v>
      </c>
      <c r="O1046">
        <f t="shared" si="33"/>
        <v>-0.13517477836825273</v>
      </c>
      <c r="P1046">
        <f>LN(_xll.ciqfunctions.udf.CIQ("XBI", "IQ_LASTSALEPRICE", WORKDAY(F1046,-1))/_xll.ciqfunctions.udf.CIQ("XBI", "IQ_LASTSALEPRICE", WORKDAY(F1046,1)))</f>
        <v>-1.9742147431636211E-2</v>
      </c>
      <c r="Q1046">
        <f>LN(_xll.ciqfunctions.udf.CIQ("XBI", "IQ_LASTSALEPRICE", WORKDAY(F1046,-1))/_xll.ciqfunctions.udf.CIQ("XBI", "IQ_LASTSALEPRICE", WORKDAY(F1046,5)))</f>
        <v>-1.51957009772533E-2</v>
      </c>
      <c r="R1046">
        <f>_xll.ciqfunctions.udf.CIQ(A1046, "IQ_SHORT_INTEREST_PERCENT", F1046)</f>
        <v>11.07718</v>
      </c>
      <c r="S1046">
        <f>_xll.ciqfunctions.udf.CIQ(A1046, "IQ_BETA_1YR_RSQ", F1046)</f>
        <v>0.28555000000000003</v>
      </c>
      <c r="T1046">
        <f>_xll.ciqfunctions.udf.CIQ(A1046, "IQ_VALUE_TRADED", F1046)</f>
        <v>3.9458000000000002</v>
      </c>
    </row>
    <row r="1047" spans="1:20" x14ac:dyDescent="0.3">
      <c r="A1047" t="s">
        <v>1207</v>
      </c>
      <c r="B1047" s="2">
        <v>6</v>
      </c>
      <c r="C1047" t="s">
        <v>2870</v>
      </c>
      <c r="D1047" t="s">
        <v>2871</v>
      </c>
      <c r="E1047" t="s">
        <v>17</v>
      </c>
      <c r="F1047" s="1">
        <v>45427</v>
      </c>
      <c r="G1047" t="s">
        <v>2872</v>
      </c>
      <c r="H1047">
        <v>5</v>
      </c>
      <c r="I1047">
        <f>_xll.ciqfunctions.udf.CIQ(A1047, "IQ_MARKETCAP", F1047)</f>
        <v>10.91891</v>
      </c>
      <c r="J1047">
        <f>_xll.ciqfunctions.udf.CIQ(A1047, "IQ_PRICE_VOL_HIST_6MTH", F1047)</f>
        <v>90.869600000000005</v>
      </c>
      <c r="K1047">
        <f>_xll.ciqfunctions.udf.CIQ(A1047, "IQ_LASTSALEPRICE", WORKDAY(F1047,-1))</f>
        <v>5.94</v>
      </c>
      <c r="L1047">
        <f>_xll.ciqfunctions.udf.CIQ(A1047, "IQ_LASTSALEPRICE", F1047)</f>
        <v>5.9984999999999999</v>
      </c>
      <c r="M1047">
        <f>_xll.ciqfunctions.udf.CIQ(A1047, "IQ_LASTSALEPRICE", WORKDAY(F1047,5))</f>
        <v>4.6395</v>
      </c>
      <c r="N1047">
        <f t="shared" si="32"/>
        <v>9.8003045982920558E-3</v>
      </c>
      <c r="O1047">
        <f t="shared" si="33"/>
        <v>-0.24710253156345668</v>
      </c>
      <c r="P1047">
        <f>LN(_xll.ciqfunctions.udf.CIQ("XBI", "IQ_LASTSALEPRICE", WORKDAY(F1047,-1))/_xll.ciqfunctions.udf.CIQ("XBI", "IQ_LASTSALEPRICE", WORKDAY(F1047,1)))</f>
        <v>-1.9742147431636211E-2</v>
      </c>
      <c r="Q1047">
        <f>LN(_xll.ciqfunctions.udf.CIQ("XBI", "IQ_LASTSALEPRICE", WORKDAY(F1047,-1))/_xll.ciqfunctions.udf.CIQ("XBI", "IQ_LASTSALEPRICE", WORKDAY(F1047,5)))</f>
        <v>-1.51957009772533E-2</v>
      </c>
      <c r="R1047">
        <f>_xll.ciqfunctions.udf.CIQ(A1047, "IQ_SHORT_INTEREST_PERCENT", F1047)</f>
        <v>0.96255000000000002</v>
      </c>
      <c r="S1047">
        <f>_xll.ciqfunctions.udf.CIQ(A1047, "IQ_BETA_1YR_RSQ", F1047)</f>
        <v>2.8840000000000001E-2</v>
      </c>
      <c r="T1047">
        <f>_xll.ciqfunctions.udf.CIQ(A1047, "IQ_VALUE_TRADED", F1047)</f>
        <v>3.6470000000000002E-2</v>
      </c>
    </row>
    <row r="1048" spans="1:20" x14ac:dyDescent="0.3">
      <c r="A1048" t="s">
        <v>1469</v>
      </c>
      <c r="B1048" s="2">
        <v>7.2</v>
      </c>
      <c r="C1048" t="s">
        <v>2873</v>
      </c>
      <c r="D1048" t="s">
        <v>1920</v>
      </c>
      <c r="E1048" t="s">
        <v>46</v>
      </c>
      <c r="F1048" s="1">
        <v>45427</v>
      </c>
      <c r="G1048" t="s">
        <v>2874</v>
      </c>
      <c r="H1048">
        <v>5</v>
      </c>
      <c r="I1048">
        <f>_xll.ciqfunctions.udf.CIQ(A1048, "IQ_MARKETCAP", F1048)</f>
        <v>3.6733500000000001</v>
      </c>
      <c r="J1048">
        <f>_xll.ciqfunctions.udf.CIQ(A1048, "IQ_PRICE_VOL_HIST_6MTH", F1048)</f>
        <v>134.6893</v>
      </c>
      <c r="K1048">
        <f>_xll.ciqfunctions.udf.CIQ(A1048, "IQ_LASTSALEPRICE", WORKDAY(F1048,-1))</f>
        <v>6.6041999999999996</v>
      </c>
      <c r="L1048">
        <f>_xll.ciqfunctions.udf.CIQ(A1048, "IQ_LASTSALEPRICE", F1048)</f>
        <v>7.2</v>
      </c>
      <c r="M1048">
        <f>_xll.ciqfunctions.udf.CIQ(A1048, "IQ_LASTSALEPRICE", WORKDAY(F1048,5))</f>
        <v>7.02</v>
      </c>
      <c r="N1048">
        <f t="shared" si="32"/>
        <v>8.6375215746745768E-2</v>
      </c>
      <c r="O1048">
        <f t="shared" si="33"/>
        <v>6.1057407762455843E-2</v>
      </c>
      <c r="P1048">
        <f>LN(_xll.ciqfunctions.udf.CIQ("XBI", "IQ_LASTSALEPRICE", WORKDAY(F1048,-1))/_xll.ciqfunctions.udf.CIQ("XBI", "IQ_LASTSALEPRICE", WORKDAY(F1048,1)))</f>
        <v>-1.9742147431636211E-2</v>
      </c>
      <c r="Q1048">
        <f>LN(_xll.ciqfunctions.udf.CIQ("XBI", "IQ_LASTSALEPRICE", WORKDAY(F1048,-1))/_xll.ciqfunctions.udf.CIQ("XBI", "IQ_LASTSALEPRICE", WORKDAY(F1048,5)))</f>
        <v>-1.51957009772533E-2</v>
      </c>
      <c r="R1048">
        <f>_xll.ciqfunctions.udf.CIQ(A1048, "IQ_SHORT_INTEREST_PERCENT", F1048)</f>
        <v>4.0221999999999998</v>
      </c>
      <c r="S1048">
        <f>_xll.ciqfunctions.udf.CIQ(A1048, "IQ_BETA_1YR_RSQ", F1048)</f>
        <v>2.5799999999999998E-3</v>
      </c>
      <c r="T1048">
        <f>_xll.ciqfunctions.udf.CIQ(A1048, "IQ_VALUE_TRADED", F1048)</f>
        <v>8.387E-2</v>
      </c>
    </row>
    <row r="1049" spans="1:20" x14ac:dyDescent="0.3">
      <c r="A1049" t="s">
        <v>2875</v>
      </c>
      <c r="B1049" s="2">
        <v>5.95</v>
      </c>
      <c r="C1049" t="s">
        <v>2876</v>
      </c>
      <c r="D1049" t="s">
        <v>2877</v>
      </c>
      <c r="E1049" t="s">
        <v>11</v>
      </c>
      <c r="F1049" s="1">
        <v>45427</v>
      </c>
      <c r="G1049" t="s">
        <v>2878</v>
      </c>
      <c r="H1049">
        <v>46</v>
      </c>
      <c r="I1049">
        <f>_xll.ciqfunctions.udf.CIQ(A1049, "IQ_MARKETCAP", F1049)</f>
        <v>260.04221999999999</v>
      </c>
      <c r="J1049">
        <f>_xll.ciqfunctions.udf.CIQ(A1049, "IQ_PRICE_VOL_HIST_6MTH", F1049)</f>
        <v>59.596299999999999</v>
      </c>
      <c r="K1049">
        <f>_xll.ciqfunctions.udf.CIQ(A1049, "IQ_LASTSALEPRICE", WORKDAY(F1049,-1))</f>
        <v>5.77</v>
      </c>
      <c r="L1049">
        <f>_xll.ciqfunctions.udf.CIQ(A1049, "IQ_LASTSALEPRICE", F1049)</f>
        <v>5.95</v>
      </c>
      <c r="M1049">
        <f>_xll.ciqfunctions.udf.CIQ(A1049, "IQ_LASTSALEPRICE", WORKDAY(F1049,5))</f>
        <v>6.2</v>
      </c>
      <c r="N1049">
        <f t="shared" si="32"/>
        <v>3.0719139037530374E-2</v>
      </c>
      <c r="O1049">
        <f t="shared" si="33"/>
        <v>7.187721153103771E-2</v>
      </c>
      <c r="P1049">
        <f>LN(_xll.ciqfunctions.udf.CIQ("XBI", "IQ_LASTSALEPRICE", WORKDAY(F1049,-1))/_xll.ciqfunctions.udf.CIQ("XBI", "IQ_LASTSALEPRICE", WORKDAY(F1049,1)))</f>
        <v>-1.9742147431636211E-2</v>
      </c>
      <c r="Q1049">
        <f>LN(_xll.ciqfunctions.udf.CIQ("XBI", "IQ_LASTSALEPRICE", WORKDAY(F1049,-1))/_xll.ciqfunctions.udf.CIQ("XBI", "IQ_LASTSALEPRICE", WORKDAY(F1049,5)))</f>
        <v>-1.51957009772533E-2</v>
      </c>
      <c r="R1049">
        <f>_xll.ciqfunctions.udf.CIQ(A1049, "IQ_SHORT_INTEREST_PERCENT", F1049)</f>
        <v>4.1564300000000003</v>
      </c>
      <c r="S1049">
        <f>_xll.ciqfunctions.udf.CIQ(A1049, "IQ_BETA_1YR_RSQ", F1049)</f>
        <v>8.974E-2</v>
      </c>
      <c r="T1049">
        <f>_xll.ciqfunctions.udf.CIQ(A1049, "IQ_VALUE_TRADED", F1049)</f>
        <v>0.81598000000000004</v>
      </c>
    </row>
    <row r="1050" spans="1:20" x14ac:dyDescent="0.3">
      <c r="A1050" t="s">
        <v>488</v>
      </c>
      <c r="B1050" s="2">
        <v>770.05</v>
      </c>
      <c r="C1050" t="s">
        <v>2879</v>
      </c>
      <c r="D1050" t="s">
        <v>218</v>
      </c>
      <c r="E1050" t="s">
        <v>36</v>
      </c>
      <c r="F1050" s="1">
        <v>45428</v>
      </c>
      <c r="G1050" t="s">
        <v>2880</v>
      </c>
      <c r="H1050">
        <v>946</v>
      </c>
      <c r="I1050">
        <f>_xll.ciqfunctions.udf.CIQ(A1050, "IQ_MARKETCAP", F1050)</f>
        <v>694320.60124999995</v>
      </c>
      <c r="J1050">
        <f>_xll.ciqfunctions.udf.CIQ(A1050, "IQ_PRICE_VOL_HIST_6MTH", F1050)</f>
        <v>26.2437</v>
      </c>
      <c r="K1050">
        <f>_xll.ciqfunctions.udf.CIQ(A1050, "IQ_LASTSALEPRICE", WORKDAY(F1050,-1))</f>
        <v>787.02</v>
      </c>
      <c r="L1050">
        <f>_xll.ciqfunctions.udf.CIQ(A1050, "IQ_LASTSALEPRICE", F1050)</f>
        <v>771.12</v>
      </c>
      <c r="M1050">
        <f>_xll.ciqfunctions.udf.CIQ(A1050, "IQ_LASTSALEPRICE", WORKDAY(F1050,5))</f>
        <v>808.45</v>
      </c>
      <c r="N1050">
        <f t="shared" si="32"/>
        <v>-2.0409657579396594E-2</v>
      </c>
      <c r="O1050">
        <f t="shared" si="33"/>
        <v>2.6865173130714418E-2</v>
      </c>
      <c r="P1050">
        <f>LN(_xll.ciqfunctions.udf.CIQ("XBI", "IQ_LASTSALEPRICE", WORKDAY(F1050,-1))/_xll.ciqfunctions.udf.CIQ("XBI", "IQ_LASTSALEPRICE", WORKDAY(F1050,1)))</f>
        <v>1.5561552396882141E-2</v>
      </c>
      <c r="Q1050">
        <f>LN(_xll.ciqfunctions.udf.CIQ("XBI", "IQ_LASTSALEPRICE", WORKDAY(F1050,-1))/_xll.ciqfunctions.udf.CIQ("XBI", "IQ_LASTSALEPRICE", WORKDAY(F1050,5)))</f>
        <v>3.6171700210220495E-2</v>
      </c>
      <c r="R1050">
        <f>_xll.ciqfunctions.udf.CIQ(A1050, "IQ_SHORT_INTEREST_PERCENT", F1050)</f>
        <v>0.56740000000000002</v>
      </c>
      <c r="S1050">
        <f>_xll.ciqfunctions.udf.CIQ(A1050, "IQ_BETA_1YR_RSQ", F1050)</f>
        <v>3.1440000000000003E-2</v>
      </c>
      <c r="T1050">
        <f>_xll.ciqfunctions.udf.CIQ(A1050, "IQ_VALUE_TRADED", F1050)</f>
        <v>1773.3084200000001</v>
      </c>
    </row>
    <row r="1051" spans="1:20" x14ac:dyDescent="0.3">
      <c r="A1051" t="s">
        <v>401</v>
      </c>
      <c r="B1051" s="2">
        <v>28.53</v>
      </c>
      <c r="C1051" t="s">
        <v>2881</v>
      </c>
      <c r="D1051" t="s">
        <v>2882</v>
      </c>
      <c r="E1051" t="s">
        <v>46</v>
      </c>
      <c r="F1051" s="1">
        <v>45428</v>
      </c>
      <c r="G1051" t="s">
        <v>2883</v>
      </c>
      <c r="I1051">
        <f>_xll.ciqfunctions.udf.CIQ(A1051, "IQ_MARKETCAP", F1051)</f>
        <v>163877.86661</v>
      </c>
      <c r="J1051">
        <f>_xll.ciqfunctions.udf.CIQ(A1051, "IQ_PRICE_VOL_HIST_6MTH", F1051)</f>
        <v>26.3687</v>
      </c>
      <c r="K1051">
        <f>_xll.ciqfunctions.udf.CIQ(A1051, "IQ_LASTSALEPRICE", WORKDAY(F1051,-1))</f>
        <v>28.82</v>
      </c>
      <c r="L1051">
        <f>_xll.ciqfunctions.udf.CIQ(A1051, "IQ_LASTSALEPRICE", F1051)</f>
        <v>28.92</v>
      </c>
      <c r="M1051">
        <f>_xll.ciqfunctions.udf.CIQ(A1051, "IQ_LASTSALEPRICE", WORKDAY(F1051,5))</f>
        <v>28.69</v>
      </c>
      <c r="N1051">
        <f t="shared" si="32"/>
        <v>3.4638067191879642E-3</v>
      </c>
      <c r="O1051">
        <f t="shared" si="33"/>
        <v>-4.5209605781025711E-3</v>
      </c>
      <c r="P1051">
        <f>LN(_xll.ciqfunctions.udf.CIQ("XBI", "IQ_LASTSALEPRICE", WORKDAY(F1051,-1))/_xll.ciqfunctions.udf.CIQ("XBI", "IQ_LASTSALEPRICE", WORKDAY(F1051,1)))</f>
        <v>1.5561552396882141E-2</v>
      </c>
      <c r="Q1051">
        <f>LN(_xll.ciqfunctions.udf.CIQ("XBI", "IQ_LASTSALEPRICE", WORKDAY(F1051,-1))/_xll.ciqfunctions.udf.CIQ("XBI", "IQ_LASTSALEPRICE", WORKDAY(F1051,5)))</f>
        <v>3.6171700210220495E-2</v>
      </c>
      <c r="R1051">
        <f>_xll.ciqfunctions.udf.CIQ(A1051, "IQ_SHORT_INTEREST_PERCENT", F1051)</f>
        <v>1.1031200000000001</v>
      </c>
      <c r="S1051">
        <f>_xll.ciqfunctions.udf.CIQ(A1051, "IQ_BETA_1YR_RSQ", F1051)</f>
        <v>2.12E-2</v>
      </c>
      <c r="T1051">
        <f>_xll.ciqfunctions.udf.CIQ(A1051, "IQ_VALUE_TRADED", F1051)</f>
        <v>1159.04946</v>
      </c>
    </row>
    <row r="1052" spans="1:20" x14ac:dyDescent="0.3">
      <c r="A1052" t="s">
        <v>891</v>
      </c>
      <c r="B1052" s="2">
        <v>32.11</v>
      </c>
      <c r="C1052" t="s">
        <v>2881</v>
      </c>
      <c r="D1052" t="s">
        <v>2882</v>
      </c>
      <c r="E1052" t="s">
        <v>46</v>
      </c>
      <c r="F1052" s="1">
        <v>45428</v>
      </c>
      <c r="G1052" t="s">
        <v>2883</v>
      </c>
      <c r="H1052">
        <v>73</v>
      </c>
      <c r="I1052">
        <f>_xll.ciqfunctions.udf.CIQ(A1052, "IQ_MARKETCAP", F1052)</f>
        <v>2197.3480199999999</v>
      </c>
      <c r="J1052">
        <f>_xll.ciqfunctions.udf.CIQ(A1052, "IQ_PRICE_VOL_HIST_6MTH", F1052)</f>
        <v>66.888499999999993</v>
      </c>
      <c r="K1052">
        <f>_xll.ciqfunctions.udf.CIQ(A1052, "IQ_LASTSALEPRICE", WORKDAY(F1052,-1))</f>
        <v>32.33</v>
      </c>
      <c r="L1052">
        <f>_xll.ciqfunctions.udf.CIQ(A1052, "IQ_LASTSALEPRICE", F1052)</f>
        <v>32.11</v>
      </c>
      <c r="M1052">
        <f>_xll.ciqfunctions.udf.CIQ(A1052, "IQ_LASTSALEPRICE", WORKDAY(F1052,5))</f>
        <v>35.229999999999997</v>
      </c>
      <c r="N1052">
        <f t="shared" si="32"/>
        <v>-6.8280836359190886E-3</v>
      </c>
      <c r="O1052">
        <f t="shared" si="33"/>
        <v>8.5902400615804522E-2</v>
      </c>
      <c r="P1052">
        <f>LN(_xll.ciqfunctions.udf.CIQ("XBI", "IQ_LASTSALEPRICE", WORKDAY(F1052,-1))/_xll.ciqfunctions.udf.CIQ("XBI", "IQ_LASTSALEPRICE", WORKDAY(F1052,1)))</f>
        <v>1.5561552396882141E-2</v>
      </c>
      <c r="Q1052">
        <f>LN(_xll.ciqfunctions.udf.CIQ("XBI", "IQ_LASTSALEPRICE", WORKDAY(F1052,-1))/_xll.ciqfunctions.udf.CIQ("XBI", "IQ_LASTSALEPRICE", WORKDAY(F1052,5)))</f>
        <v>3.6171700210220495E-2</v>
      </c>
      <c r="R1052">
        <f>_xll.ciqfunctions.udf.CIQ(A1052, "IQ_SHORT_INTEREST_PERCENT", F1052)</f>
        <v>12.656750000000001</v>
      </c>
      <c r="S1052">
        <f>_xll.ciqfunctions.udf.CIQ(A1052, "IQ_BETA_1YR_RSQ", F1052)</f>
        <v>0.10886999999999999</v>
      </c>
      <c r="T1052">
        <f>_xll.ciqfunctions.udf.CIQ(A1052, "IQ_VALUE_TRADED", F1052)</f>
        <v>43.029200000000003</v>
      </c>
    </row>
    <row r="1053" spans="1:20" x14ac:dyDescent="0.3">
      <c r="A1053" t="s">
        <v>433</v>
      </c>
      <c r="B1053" s="2">
        <v>76.569999999999993</v>
      </c>
      <c r="C1053" t="s">
        <v>2884</v>
      </c>
      <c r="D1053" t="s">
        <v>2885</v>
      </c>
      <c r="E1053" t="s">
        <v>36</v>
      </c>
      <c r="F1053" s="1">
        <v>45428</v>
      </c>
      <c r="G1053" t="s">
        <v>2886</v>
      </c>
      <c r="I1053">
        <f>_xll.ciqfunctions.udf.CIQ(A1053, "IQ_MARKETCAP", F1053)</f>
        <v>188601.59314000001</v>
      </c>
      <c r="J1053">
        <f>_xll.ciqfunctions.udf.CIQ(A1053, "IQ_PRICE_VOL_HIST_6MTH", F1053)</f>
        <v>21.558800000000002</v>
      </c>
      <c r="K1053">
        <f>_xll.ciqfunctions.udf.CIQ(A1053, "IQ_LASTSALEPRICE", WORKDAY(F1053,-1))</f>
        <v>121.72</v>
      </c>
      <c r="L1053">
        <f>_xll.ciqfunctions.udf.CIQ(A1053, "IQ_LASTSALEPRICE", F1053)</f>
        <v>121.66</v>
      </c>
      <c r="M1053">
        <f>_xll.ciqfunctions.udf.CIQ(A1053, "IQ_LASTSALEPRICE", WORKDAY(F1053,5))</f>
        <v>124.04</v>
      </c>
      <c r="N1053">
        <f t="shared" si="32"/>
        <v>-4.9305613621107298E-4</v>
      </c>
      <c r="O1053">
        <f t="shared" si="33"/>
        <v>1.8880769203478007E-2</v>
      </c>
      <c r="P1053">
        <f>LN(_xll.ciqfunctions.udf.CIQ("XBI", "IQ_LASTSALEPRICE", WORKDAY(F1053,-1))/_xll.ciqfunctions.udf.CIQ("XBI", "IQ_LASTSALEPRICE", WORKDAY(F1053,1)))</f>
        <v>1.5561552396882141E-2</v>
      </c>
      <c r="Q1053">
        <f>LN(_xll.ciqfunctions.udf.CIQ("XBI", "IQ_LASTSALEPRICE", WORKDAY(F1053,-1))/_xll.ciqfunctions.udf.CIQ("XBI", "IQ_LASTSALEPRICE", WORKDAY(F1053,5)))</f>
        <v>3.6171700210220495E-2</v>
      </c>
      <c r="R1053">
        <f>_xll.ciqfunctions.udf.CIQ(A1053, "IQ_SHORT_INTEREST_PERCENT", F1053)</f>
        <v>0</v>
      </c>
      <c r="S1053">
        <f>_xll.ciqfunctions.udf.CIQ(A1053, "IQ_BETA_1YR_RSQ", F1053)</f>
        <v>0.20815</v>
      </c>
      <c r="T1053">
        <f>_xll.ciqfunctions.udf.CIQ(A1053, "IQ_VALUE_TRADED", F1053)</f>
        <v>200.648</v>
      </c>
    </row>
    <row r="1054" spans="1:20" x14ac:dyDescent="0.3">
      <c r="A1054" t="s">
        <v>618</v>
      </c>
      <c r="B1054" s="2">
        <v>32.65</v>
      </c>
      <c r="C1054" t="s">
        <v>2887</v>
      </c>
      <c r="D1054" t="s">
        <v>2888</v>
      </c>
      <c r="E1054" t="s">
        <v>46</v>
      </c>
      <c r="F1054" s="1">
        <v>45428</v>
      </c>
      <c r="G1054" t="s">
        <v>2889</v>
      </c>
      <c r="I1054">
        <f>_xll.ciqfunctions.udf.CIQ(A1054, "IQ_MARKETCAP", F1054)</f>
        <v>189539.61069</v>
      </c>
      <c r="J1054">
        <f>_xll.ciqfunctions.udf.CIQ(A1054, "IQ_PRICE_VOL_HIST_6MTH", F1054)</f>
        <v>0</v>
      </c>
      <c r="K1054">
        <f>_xll.ciqfunctions.udf.CIQ(A1054, "IQ_LASTSALEPRICE", WORKDAY(F1054,-1))</f>
        <v>0</v>
      </c>
      <c r="L1054">
        <f>_xll.ciqfunctions.udf.CIQ(A1054, "IQ_LASTSALEPRICE", F1054)</f>
        <v>0</v>
      </c>
      <c r="M1054">
        <f>_xll.ciqfunctions.udf.CIQ(A1054, "IQ_LASTSALEPRICE", WORKDAY(F1054,5))</f>
        <v>0</v>
      </c>
      <c r="N1054" t="e">
        <f t="shared" si="32"/>
        <v>#DIV/0!</v>
      </c>
      <c r="O1054" t="e">
        <f t="shared" si="33"/>
        <v>#DIV/0!</v>
      </c>
      <c r="P1054">
        <f>LN(_xll.ciqfunctions.udf.CIQ("XBI", "IQ_LASTSALEPRICE", WORKDAY(F1054,-1))/_xll.ciqfunctions.udf.CIQ("XBI", "IQ_LASTSALEPRICE", WORKDAY(F1054,1)))</f>
        <v>1.5561552396882141E-2</v>
      </c>
      <c r="Q1054">
        <f>LN(_xll.ciqfunctions.udf.CIQ("XBI", "IQ_LASTSALEPRICE", WORKDAY(F1054,-1))/_xll.ciqfunctions.udf.CIQ("XBI", "IQ_LASTSALEPRICE", WORKDAY(F1054,5)))</f>
        <v>3.6171700210220495E-2</v>
      </c>
      <c r="R1054">
        <f>_xll.ciqfunctions.udf.CIQ(A1054, "IQ_SHORT_INTEREST_PERCENT", F1054)</f>
        <v>0</v>
      </c>
      <c r="S1054">
        <f>_xll.ciqfunctions.udf.CIQ(A1054, "IQ_BETA_1YR_RSQ", F1054)</f>
        <v>0</v>
      </c>
      <c r="T1054">
        <f>_xll.ciqfunctions.udf.CIQ(A1054, "IQ_VALUE_TRADED", F1054)</f>
        <v>0</v>
      </c>
    </row>
    <row r="1055" spans="1:20" x14ac:dyDescent="0.3">
      <c r="A1055" t="s">
        <v>2890</v>
      </c>
      <c r="B1055" s="2">
        <v>230.04</v>
      </c>
      <c r="C1055" t="s">
        <v>2891</v>
      </c>
      <c r="D1055" t="s">
        <v>2256</v>
      </c>
      <c r="E1055" t="s">
        <v>17</v>
      </c>
      <c r="F1055" s="1">
        <v>45428</v>
      </c>
      <c r="G1055" t="s">
        <v>2892</v>
      </c>
      <c r="H1055">
        <v>146</v>
      </c>
      <c r="I1055">
        <f>_xll.ciqfunctions.udf.CIQ(A1055, "IQ_MARKETCAP", F1055)</f>
        <v>33493.109729999996</v>
      </c>
      <c r="J1055">
        <f>_xll.ciqfunctions.udf.CIQ(A1055, "IQ_PRICE_VOL_HIST_6MTH", F1055)</f>
        <v>26.267499999999998</v>
      </c>
      <c r="K1055">
        <f>_xll.ciqfunctions.udf.CIQ(A1055, "IQ_LASTSALEPRICE", WORKDAY(F1055,-1))</f>
        <v>235.32</v>
      </c>
      <c r="L1055">
        <f>_xll.ciqfunctions.udf.CIQ(A1055, "IQ_LASTSALEPRICE", F1055)</f>
        <v>230.04</v>
      </c>
      <c r="M1055">
        <f>_xll.ciqfunctions.udf.CIQ(A1055, "IQ_LASTSALEPRICE", WORKDAY(F1055,5))</f>
        <v>218.06</v>
      </c>
      <c r="N1055">
        <f t="shared" si="32"/>
        <v>-2.2693083150701756E-2</v>
      </c>
      <c r="O1055">
        <f t="shared" si="33"/>
        <v>-7.6176035718019508E-2</v>
      </c>
      <c r="P1055">
        <f>LN(_xll.ciqfunctions.udf.CIQ("XBI", "IQ_LASTSALEPRICE", WORKDAY(F1055,-1))/_xll.ciqfunctions.udf.CIQ("XBI", "IQ_LASTSALEPRICE", WORKDAY(F1055,1)))</f>
        <v>1.5561552396882141E-2</v>
      </c>
      <c r="Q1055">
        <f>LN(_xll.ciqfunctions.udf.CIQ("XBI", "IQ_LASTSALEPRICE", WORKDAY(F1055,-1))/_xll.ciqfunctions.udf.CIQ("XBI", "IQ_LASTSALEPRICE", WORKDAY(F1055,5)))</f>
        <v>3.6171700210220495E-2</v>
      </c>
      <c r="R1055">
        <f>_xll.ciqfunctions.udf.CIQ(A1055, "IQ_SHORT_INTEREST_PERCENT", F1055)</f>
        <v>2.1621000000000001</v>
      </c>
      <c r="S1055">
        <f>_xll.ciqfunctions.udf.CIQ(A1055, "IQ_BETA_1YR_RSQ", F1055)</f>
        <v>0.18633</v>
      </c>
      <c r="T1055">
        <f>_xll.ciqfunctions.udf.CIQ(A1055, "IQ_VALUE_TRADED", F1055)</f>
        <v>215.47341</v>
      </c>
    </row>
    <row r="1056" spans="1:20" x14ac:dyDescent="0.3">
      <c r="A1056" t="s">
        <v>462</v>
      </c>
      <c r="B1056" s="2">
        <v>37.619999999999997</v>
      </c>
      <c r="C1056" t="s">
        <v>2891</v>
      </c>
      <c r="D1056" t="s">
        <v>2256</v>
      </c>
      <c r="E1056" t="s">
        <v>17</v>
      </c>
      <c r="F1056" s="1">
        <v>45428</v>
      </c>
      <c r="G1056" t="s">
        <v>2892</v>
      </c>
      <c r="H1056">
        <v>159</v>
      </c>
      <c r="I1056">
        <f>_xll.ciqfunctions.udf.CIQ(A1056, "IQ_MARKETCAP", F1056)</f>
        <v>5491.2173700000003</v>
      </c>
      <c r="J1056">
        <f>_xll.ciqfunctions.udf.CIQ(A1056, "IQ_PRICE_VOL_HIST_6MTH", F1056)</f>
        <v>30.821100000000001</v>
      </c>
      <c r="K1056">
        <f>_xll.ciqfunctions.udf.CIQ(A1056, "IQ_LASTSALEPRICE", WORKDAY(F1056,-1))</f>
        <v>39.21</v>
      </c>
      <c r="L1056">
        <f>_xll.ciqfunctions.udf.CIQ(A1056, "IQ_LASTSALEPRICE", F1056)</f>
        <v>37.619999999999997</v>
      </c>
      <c r="M1056">
        <f>_xll.ciqfunctions.udf.CIQ(A1056, "IQ_LASTSALEPRICE", WORKDAY(F1056,5))</f>
        <v>38</v>
      </c>
      <c r="N1056">
        <f t="shared" si="32"/>
        <v>-4.139599243135602E-2</v>
      </c>
      <c r="O1056">
        <f t="shared" si="33"/>
        <v>-3.1345656577854486E-2</v>
      </c>
      <c r="P1056">
        <f>LN(_xll.ciqfunctions.udf.CIQ("XBI", "IQ_LASTSALEPRICE", WORKDAY(F1056,-1))/_xll.ciqfunctions.udf.CIQ("XBI", "IQ_LASTSALEPRICE", WORKDAY(F1056,1)))</f>
        <v>1.5561552396882141E-2</v>
      </c>
      <c r="Q1056">
        <f>LN(_xll.ciqfunctions.udf.CIQ("XBI", "IQ_LASTSALEPRICE", WORKDAY(F1056,-1))/_xll.ciqfunctions.udf.CIQ("XBI", "IQ_LASTSALEPRICE", WORKDAY(F1056,5)))</f>
        <v>3.6171700210220495E-2</v>
      </c>
      <c r="R1056">
        <f>_xll.ciqfunctions.udf.CIQ(A1056, "IQ_SHORT_INTEREST_PERCENT", F1056)</f>
        <v>5.99709</v>
      </c>
      <c r="S1056">
        <f>_xll.ciqfunctions.udf.CIQ(A1056, "IQ_BETA_1YR_RSQ", F1056)</f>
        <v>0.16095999999999999</v>
      </c>
      <c r="T1056">
        <f>_xll.ciqfunctions.udf.CIQ(A1056, "IQ_VALUE_TRADED", F1056)</f>
        <v>124.67035</v>
      </c>
    </row>
    <row r="1057" spans="1:20" x14ac:dyDescent="0.3">
      <c r="A1057" t="s">
        <v>2893</v>
      </c>
      <c r="B1057" s="2">
        <v>15</v>
      </c>
      <c r="C1057" t="s">
        <v>2894</v>
      </c>
      <c r="D1057" t="s">
        <v>2895</v>
      </c>
      <c r="E1057" t="s">
        <v>76</v>
      </c>
      <c r="F1057" s="1">
        <v>45428</v>
      </c>
      <c r="G1057" t="s">
        <v>2896</v>
      </c>
      <c r="H1057">
        <v>25</v>
      </c>
      <c r="I1057">
        <f>_xll.ciqfunctions.udf.CIQ(A1057, "IQ_MARKETCAP", F1057)</f>
        <v>384.69763999999998</v>
      </c>
      <c r="J1057">
        <f>_xll.ciqfunctions.udf.CIQ(A1057, "IQ_PRICE_VOL_HIST_6MTH", F1057)</f>
        <v>102.29649999999999</v>
      </c>
      <c r="K1057">
        <f>_xll.ciqfunctions.udf.CIQ(A1057, "IQ_LASTSALEPRICE", WORKDAY(F1057,-1))</f>
        <v>15.25</v>
      </c>
      <c r="L1057">
        <f>_xll.ciqfunctions.udf.CIQ(A1057, "IQ_LASTSALEPRICE", F1057)</f>
        <v>15</v>
      </c>
      <c r="M1057">
        <f>_xll.ciqfunctions.udf.CIQ(A1057, "IQ_LASTSALEPRICE", WORKDAY(F1057,5))</f>
        <v>13.66</v>
      </c>
      <c r="N1057">
        <f t="shared" si="32"/>
        <v>-1.6529301951210582E-2</v>
      </c>
      <c r="O1057">
        <f t="shared" si="33"/>
        <v>-0.11010764891077657</v>
      </c>
      <c r="P1057">
        <f>LN(_xll.ciqfunctions.udf.CIQ("XBI", "IQ_LASTSALEPRICE", WORKDAY(F1057,-1))/_xll.ciqfunctions.udf.CIQ("XBI", "IQ_LASTSALEPRICE", WORKDAY(F1057,1)))</f>
        <v>1.5561552396882141E-2</v>
      </c>
      <c r="Q1057">
        <f>LN(_xll.ciqfunctions.udf.CIQ("XBI", "IQ_LASTSALEPRICE", WORKDAY(F1057,-1))/_xll.ciqfunctions.udf.CIQ("XBI", "IQ_LASTSALEPRICE", WORKDAY(F1057,5)))</f>
        <v>3.6171700210220495E-2</v>
      </c>
      <c r="R1057">
        <f>_xll.ciqfunctions.udf.CIQ(A1057, "IQ_SHORT_INTEREST_PERCENT", F1057)</f>
        <v>12.12055</v>
      </c>
      <c r="S1057">
        <f>_xll.ciqfunctions.udf.CIQ(A1057, "IQ_BETA_1YR_RSQ", F1057)</f>
        <v>7.9900000000000006E-3</v>
      </c>
      <c r="T1057">
        <f>_xll.ciqfunctions.udf.CIQ(A1057, "IQ_VALUE_TRADED", F1057)</f>
        <v>3.20702</v>
      </c>
    </row>
    <row r="1058" spans="1:20" x14ac:dyDescent="0.3">
      <c r="A1058" t="s">
        <v>2890</v>
      </c>
      <c r="B1058" s="2">
        <v>230.04</v>
      </c>
      <c r="C1058" t="s">
        <v>2897</v>
      </c>
      <c r="D1058" t="s">
        <v>758</v>
      </c>
      <c r="E1058" t="s">
        <v>17</v>
      </c>
      <c r="F1058" s="1">
        <v>45428</v>
      </c>
      <c r="G1058" t="s">
        <v>2898</v>
      </c>
      <c r="H1058">
        <v>146</v>
      </c>
      <c r="I1058">
        <f>_xll.ciqfunctions.udf.CIQ(A1058, "IQ_MARKETCAP", F1058)</f>
        <v>33493.109729999996</v>
      </c>
      <c r="J1058">
        <f>_xll.ciqfunctions.udf.CIQ(A1058, "IQ_PRICE_VOL_HIST_6MTH", F1058)</f>
        <v>26.267499999999998</v>
      </c>
      <c r="K1058">
        <f>_xll.ciqfunctions.udf.CIQ(A1058, "IQ_LASTSALEPRICE", WORKDAY(F1058,-1))</f>
        <v>235.32</v>
      </c>
      <c r="L1058">
        <f>_xll.ciqfunctions.udf.CIQ(A1058, "IQ_LASTSALEPRICE", F1058)</f>
        <v>230.04</v>
      </c>
      <c r="M1058">
        <f>_xll.ciqfunctions.udf.CIQ(A1058, "IQ_LASTSALEPRICE", WORKDAY(F1058,5))</f>
        <v>218.06</v>
      </c>
      <c r="N1058">
        <f t="shared" si="32"/>
        <v>-2.2693083150701756E-2</v>
      </c>
      <c r="O1058">
        <f t="shared" si="33"/>
        <v>-7.6176035718019508E-2</v>
      </c>
      <c r="P1058">
        <f>LN(_xll.ciqfunctions.udf.CIQ("XBI", "IQ_LASTSALEPRICE", WORKDAY(F1058,-1))/_xll.ciqfunctions.udf.CIQ("XBI", "IQ_LASTSALEPRICE", WORKDAY(F1058,1)))</f>
        <v>1.5561552396882141E-2</v>
      </c>
      <c r="Q1058">
        <f>LN(_xll.ciqfunctions.udf.CIQ("XBI", "IQ_LASTSALEPRICE", WORKDAY(F1058,-1))/_xll.ciqfunctions.udf.CIQ("XBI", "IQ_LASTSALEPRICE", WORKDAY(F1058,5)))</f>
        <v>3.6171700210220495E-2</v>
      </c>
      <c r="R1058">
        <f>_xll.ciqfunctions.udf.CIQ(A1058, "IQ_SHORT_INTEREST_PERCENT", F1058)</f>
        <v>2.1621000000000001</v>
      </c>
      <c r="S1058">
        <f>_xll.ciqfunctions.udf.CIQ(A1058, "IQ_BETA_1YR_RSQ", F1058)</f>
        <v>0.18633</v>
      </c>
      <c r="T1058">
        <f>_xll.ciqfunctions.udf.CIQ(A1058, "IQ_VALUE_TRADED", F1058)</f>
        <v>215.47341</v>
      </c>
    </row>
    <row r="1059" spans="1:20" x14ac:dyDescent="0.3">
      <c r="A1059" t="s">
        <v>462</v>
      </c>
      <c r="B1059" s="2">
        <v>37.619999999999997</v>
      </c>
      <c r="C1059" t="s">
        <v>2897</v>
      </c>
      <c r="D1059" t="s">
        <v>758</v>
      </c>
      <c r="E1059" t="s">
        <v>17</v>
      </c>
      <c r="F1059" s="1">
        <v>45428</v>
      </c>
      <c r="G1059" t="s">
        <v>2898</v>
      </c>
      <c r="H1059">
        <v>159</v>
      </c>
      <c r="I1059">
        <f>_xll.ciqfunctions.udf.CIQ(A1059, "IQ_MARKETCAP", F1059)</f>
        <v>5491.2173700000003</v>
      </c>
      <c r="J1059">
        <f>_xll.ciqfunctions.udf.CIQ(A1059, "IQ_PRICE_VOL_HIST_6MTH", F1059)</f>
        <v>30.821100000000001</v>
      </c>
      <c r="K1059">
        <f>_xll.ciqfunctions.udf.CIQ(A1059, "IQ_LASTSALEPRICE", WORKDAY(F1059,-1))</f>
        <v>39.21</v>
      </c>
      <c r="L1059">
        <f>_xll.ciqfunctions.udf.CIQ(A1059, "IQ_LASTSALEPRICE", F1059)</f>
        <v>37.619999999999997</v>
      </c>
      <c r="M1059">
        <f>_xll.ciqfunctions.udf.CIQ(A1059, "IQ_LASTSALEPRICE", WORKDAY(F1059,5))</f>
        <v>38</v>
      </c>
      <c r="N1059">
        <f t="shared" si="32"/>
        <v>-4.139599243135602E-2</v>
      </c>
      <c r="O1059">
        <f t="shared" si="33"/>
        <v>-3.1345656577854486E-2</v>
      </c>
      <c r="P1059">
        <f>LN(_xll.ciqfunctions.udf.CIQ("XBI", "IQ_LASTSALEPRICE", WORKDAY(F1059,-1))/_xll.ciqfunctions.udf.CIQ("XBI", "IQ_LASTSALEPRICE", WORKDAY(F1059,1)))</f>
        <v>1.5561552396882141E-2</v>
      </c>
      <c r="Q1059">
        <f>LN(_xll.ciqfunctions.udf.CIQ("XBI", "IQ_LASTSALEPRICE", WORKDAY(F1059,-1))/_xll.ciqfunctions.udf.CIQ("XBI", "IQ_LASTSALEPRICE", WORKDAY(F1059,5)))</f>
        <v>3.6171700210220495E-2</v>
      </c>
      <c r="R1059">
        <f>_xll.ciqfunctions.udf.CIQ(A1059, "IQ_SHORT_INTEREST_PERCENT", F1059)</f>
        <v>5.99709</v>
      </c>
      <c r="S1059">
        <f>_xll.ciqfunctions.udf.CIQ(A1059, "IQ_BETA_1YR_RSQ", F1059)</f>
        <v>0.16095999999999999</v>
      </c>
      <c r="T1059">
        <f>_xll.ciqfunctions.udf.CIQ(A1059, "IQ_VALUE_TRADED", F1059)</f>
        <v>124.67035</v>
      </c>
    </row>
    <row r="1060" spans="1:20" x14ac:dyDescent="0.3">
      <c r="A1060" t="s">
        <v>2899</v>
      </c>
      <c r="B1060" s="2">
        <v>122.8</v>
      </c>
      <c r="C1060" t="s">
        <v>2900</v>
      </c>
      <c r="D1060" t="s">
        <v>2901</v>
      </c>
      <c r="E1060" t="s">
        <v>160</v>
      </c>
      <c r="F1060" s="1">
        <v>45428</v>
      </c>
      <c r="G1060" t="s">
        <v>2902</v>
      </c>
      <c r="H1060">
        <v>60</v>
      </c>
      <c r="I1060">
        <f>_xll.ciqfunctions.udf.CIQ(A1060, "IQ_MARKETCAP", F1060)</f>
        <v>7041.9892099999997</v>
      </c>
      <c r="J1060">
        <f>_xll.ciqfunctions.udf.CIQ(A1060, "IQ_PRICE_VOL_HIST_6MTH", F1060)</f>
        <v>36.801000000000002</v>
      </c>
      <c r="K1060">
        <f>_xll.ciqfunctions.udf.CIQ(A1060, "IQ_LASTSALEPRICE", WORKDAY(F1060,-1))</f>
        <v>124.04</v>
      </c>
      <c r="L1060">
        <f>_xll.ciqfunctions.udf.CIQ(A1060, "IQ_LASTSALEPRICE", F1060)</f>
        <v>122.8</v>
      </c>
      <c r="M1060">
        <f>_xll.ciqfunctions.udf.CIQ(A1060, "IQ_LASTSALEPRICE", WORKDAY(F1060,5))</f>
        <v>129.44</v>
      </c>
      <c r="N1060">
        <f t="shared" si="32"/>
        <v>-1.0047078519206163E-2</v>
      </c>
      <c r="O1060">
        <f t="shared" si="33"/>
        <v>4.2613359077933233E-2</v>
      </c>
      <c r="P1060">
        <f>LN(_xll.ciqfunctions.udf.CIQ("XBI", "IQ_LASTSALEPRICE", WORKDAY(F1060,-1))/_xll.ciqfunctions.udf.CIQ("XBI", "IQ_LASTSALEPRICE", WORKDAY(F1060,1)))</f>
        <v>1.5561552396882141E-2</v>
      </c>
      <c r="Q1060">
        <f>LN(_xll.ciqfunctions.udf.CIQ("XBI", "IQ_LASTSALEPRICE", WORKDAY(F1060,-1))/_xll.ciqfunctions.udf.CIQ("XBI", "IQ_LASTSALEPRICE", WORKDAY(F1060,5)))</f>
        <v>3.6171700210220495E-2</v>
      </c>
      <c r="R1060">
        <f>_xll.ciqfunctions.udf.CIQ(A1060, "IQ_SHORT_INTEREST_PERCENT", F1060)</f>
        <v>6.44529</v>
      </c>
      <c r="S1060">
        <f>_xll.ciqfunctions.udf.CIQ(A1060, "IQ_BETA_1YR_RSQ", F1060)</f>
        <v>9.8299999999999998E-2</v>
      </c>
      <c r="T1060">
        <f>_xll.ciqfunctions.udf.CIQ(A1060, "IQ_VALUE_TRADED", F1060)</f>
        <v>61.860990000000001</v>
      </c>
    </row>
    <row r="1061" spans="1:20" x14ac:dyDescent="0.3">
      <c r="A1061" t="s">
        <v>203</v>
      </c>
      <c r="B1061" s="2">
        <v>42.97</v>
      </c>
      <c r="C1061" t="s">
        <v>2900</v>
      </c>
      <c r="D1061" t="s">
        <v>2901</v>
      </c>
      <c r="E1061" t="s">
        <v>160</v>
      </c>
      <c r="F1061" s="1">
        <v>45428</v>
      </c>
      <c r="G1061" t="s">
        <v>2902</v>
      </c>
      <c r="I1061">
        <f>_xll.ciqfunctions.udf.CIQ(A1061, "IQ_MARKETCAP", F1061)</f>
        <v>89415.385240000003</v>
      </c>
      <c r="J1061">
        <f>_xll.ciqfunctions.udf.CIQ(A1061, "IQ_PRICE_VOL_HIST_6MTH", F1061)</f>
        <v>23.117799999999999</v>
      </c>
      <c r="K1061">
        <f>_xll.ciqfunctions.udf.CIQ(A1061, "IQ_LASTSALEPRICE", WORKDAY(F1061,-1))</f>
        <v>44.55</v>
      </c>
      <c r="L1061">
        <f>_xll.ciqfunctions.udf.CIQ(A1061, "IQ_LASTSALEPRICE", F1061)</f>
        <v>44.11</v>
      </c>
      <c r="M1061">
        <f>_xll.ciqfunctions.udf.CIQ(A1061, "IQ_LASTSALEPRICE", WORKDAY(F1061,5))</f>
        <v>41.54</v>
      </c>
      <c r="N1061">
        <f t="shared" si="32"/>
        <v>-9.9256397999699306E-3</v>
      </c>
      <c r="O1061">
        <f t="shared" si="33"/>
        <v>-6.9955335468852076E-2</v>
      </c>
      <c r="P1061">
        <f>LN(_xll.ciqfunctions.udf.CIQ("XBI", "IQ_LASTSALEPRICE", WORKDAY(F1061,-1))/_xll.ciqfunctions.udf.CIQ("XBI", "IQ_LASTSALEPRICE", WORKDAY(F1061,1)))</f>
        <v>1.5561552396882141E-2</v>
      </c>
      <c r="Q1061">
        <f>LN(_xll.ciqfunctions.udf.CIQ("XBI", "IQ_LASTSALEPRICE", WORKDAY(F1061,-1))/_xll.ciqfunctions.udf.CIQ("XBI", "IQ_LASTSALEPRICE", WORKDAY(F1061,5)))</f>
        <v>3.6171700210220495E-2</v>
      </c>
      <c r="R1061">
        <f>_xll.ciqfunctions.udf.CIQ(A1061, "IQ_SHORT_INTEREST_PERCENT", F1061)</f>
        <v>1.3825000000000001</v>
      </c>
      <c r="S1061">
        <f>_xll.ciqfunctions.udf.CIQ(A1061, "IQ_BETA_1YR_RSQ", F1061)</f>
        <v>3.2779999999999997E-2</v>
      </c>
      <c r="T1061">
        <f>_xll.ciqfunctions.udf.CIQ(A1061, "IQ_VALUE_TRADED", F1061)</f>
        <v>695.42551000000003</v>
      </c>
    </row>
    <row r="1062" spans="1:20" x14ac:dyDescent="0.3">
      <c r="A1062" t="s">
        <v>1469</v>
      </c>
      <c r="B1062" s="2">
        <v>6.59</v>
      </c>
      <c r="C1062" t="s">
        <v>1470</v>
      </c>
      <c r="D1062" t="s">
        <v>1471</v>
      </c>
      <c r="E1062" t="s">
        <v>46</v>
      </c>
      <c r="F1062" s="1">
        <v>45428</v>
      </c>
      <c r="G1062" t="s">
        <v>2903</v>
      </c>
      <c r="H1062">
        <v>5</v>
      </c>
      <c r="I1062">
        <f>_xll.ciqfunctions.udf.CIQ(A1062, "IQ_MARKETCAP", F1062)</f>
        <v>3.3629600000000002</v>
      </c>
      <c r="J1062">
        <f>_xll.ciqfunctions.udf.CIQ(A1062, "IQ_PRICE_VOL_HIST_6MTH", F1062)</f>
        <v>135.00239999999999</v>
      </c>
      <c r="K1062">
        <f>_xll.ciqfunctions.udf.CIQ(A1062, "IQ_LASTSALEPRICE", WORKDAY(F1062,-1))</f>
        <v>7.2</v>
      </c>
      <c r="L1062">
        <f>_xll.ciqfunctions.udf.CIQ(A1062, "IQ_LASTSALEPRICE", F1062)</f>
        <v>6.5915999999999997</v>
      </c>
      <c r="M1062">
        <f>_xll.ciqfunctions.udf.CIQ(A1062, "IQ_LASTSALEPRICE", WORKDAY(F1062,5))</f>
        <v>6.9101999999999997</v>
      </c>
      <c r="N1062">
        <f t="shared" si="32"/>
        <v>-8.8284914867571673E-2</v>
      </c>
      <c r="O1062">
        <f t="shared" si="33"/>
        <v>-4.1082445101230089E-2</v>
      </c>
      <c r="P1062">
        <f>LN(_xll.ciqfunctions.udf.CIQ("XBI", "IQ_LASTSALEPRICE", WORKDAY(F1062,-1))/_xll.ciqfunctions.udf.CIQ("XBI", "IQ_LASTSALEPRICE", WORKDAY(F1062,1)))</f>
        <v>1.5561552396882141E-2</v>
      </c>
      <c r="Q1062">
        <f>LN(_xll.ciqfunctions.udf.CIQ("XBI", "IQ_LASTSALEPRICE", WORKDAY(F1062,-1))/_xll.ciqfunctions.udf.CIQ("XBI", "IQ_LASTSALEPRICE", WORKDAY(F1062,5)))</f>
        <v>3.6171700210220495E-2</v>
      </c>
      <c r="R1062">
        <f>_xll.ciqfunctions.udf.CIQ(A1062, "IQ_SHORT_INTEREST_PERCENT", F1062)</f>
        <v>4.0221999999999998</v>
      </c>
      <c r="S1062">
        <f>_xll.ciqfunctions.udf.CIQ(A1062, "IQ_BETA_1YR_RSQ", F1062)</f>
        <v>2.5799999999999998E-3</v>
      </c>
      <c r="T1062">
        <f>_xll.ciqfunctions.udf.CIQ(A1062, "IQ_VALUE_TRADED", F1062)</f>
        <v>6.6250000000000003E-2</v>
      </c>
    </row>
    <row r="1063" spans="1:20" x14ac:dyDescent="0.3">
      <c r="A1063" t="s">
        <v>1369</v>
      </c>
      <c r="B1063" s="2">
        <v>40.86</v>
      </c>
      <c r="C1063" t="s">
        <v>2904</v>
      </c>
      <c r="D1063" t="s">
        <v>2905</v>
      </c>
      <c r="E1063" t="s">
        <v>36</v>
      </c>
      <c r="F1063" s="1">
        <v>45428</v>
      </c>
      <c r="G1063" t="s">
        <v>2906</v>
      </c>
      <c r="H1063">
        <v>64</v>
      </c>
      <c r="I1063">
        <f>_xll.ciqfunctions.udf.CIQ(A1063, "IQ_MARKETCAP", F1063)</f>
        <v>2569.0576700000001</v>
      </c>
      <c r="J1063">
        <f>_xll.ciqfunctions.udf.CIQ(A1063, "IQ_PRICE_VOL_HIST_6MTH", F1063)</f>
        <v>54.332700000000003</v>
      </c>
      <c r="K1063">
        <f>_xll.ciqfunctions.udf.CIQ(A1063, "IQ_LASTSALEPRICE", WORKDAY(F1063,-1))</f>
        <v>40.69</v>
      </c>
      <c r="L1063">
        <f>_xll.ciqfunctions.udf.CIQ(A1063, "IQ_LASTSALEPRICE", F1063)</f>
        <v>40.86</v>
      </c>
      <c r="M1063">
        <f>_xll.ciqfunctions.udf.CIQ(A1063, "IQ_LASTSALEPRICE", WORKDAY(F1063,5))</f>
        <v>39.96</v>
      </c>
      <c r="N1063">
        <f t="shared" si="32"/>
        <v>4.1692273758773754E-3</v>
      </c>
      <c r="O1063">
        <f t="shared" si="33"/>
        <v>-1.8103408233245747E-2</v>
      </c>
      <c r="P1063">
        <f>LN(_xll.ciqfunctions.udf.CIQ("XBI", "IQ_LASTSALEPRICE", WORKDAY(F1063,-1))/_xll.ciqfunctions.udf.CIQ("XBI", "IQ_LASTSALEPRICE", WORKDAY(F1063,1)))</f>
        <v>1.5561552396882141E-2</v>
      </c>
      <c r="Q1063">
        <f>LN(_xll.ciqfunctions.udf.CIQ("XBI", "IQ_LASTSALEPRICE", WORKDAY(F1063,-1))/_xll.ciqfunctions.udf.CIQ("XBI", "IQ_LASTSALEPRICE", WORKDAY(F1063,5)))</f>
        <v>3.6171700210220495E-2</v>
      </c>
      <c r="R1063">
        <f>_xll.ciqfunctions.udf.CIQ(A1063, "IQ_SHORT_INTEREST_PERCENT", F1063)</f>
        <v>11.02638</v>
      </c>
      <c r="S1063">
        <f>_xll.ciqfunctions.udf.CIQ(A1063, "IQ_BETA_1YR_RSQ", F1063)</f>
        <v>5.7239999999999999E-2</v>
      </c>
      <c r="T1063">
        <f>_xll.ciqfunctions.udf.CIQ(A1063, "IQ_VALUE_TRADED", F1063)</f>
        <v>9.6480700000000006</v>
      </c>
    </row>
    <row r="1064" spans="1:20" x14ac:dyDescent="0.3">
      <c r="A1064" t="s">
        <v>29</v>
      </c>
      <c r="B1064" s="2">
        <v>3.63</v>
      </c>
      <c r="C1064" t="s">
        <v>30</v>
      </c>
      <c r="D1064" t="s">
        <v>31</v>
      </c>
      <c r="E1064" t="s">
        <v>17</v>
      </c>
      <c r="F1064" s="1">
        <v>45428</v>
      </c>
      <c r="G1064" t="s">
        <v>2907</v>
      </c>
      <c r="H1064">
        <v>3</v>
      </c>
      <c r="I1064">
        <f>_xll.ciqfunctions.udf.CIQ(A1064, "IQ_MARKETCAP", F1064)</f>
        <v>3.4157799999999998</v>
      </c>
      <c r="J1064">
        <f>_xll.ciqfunctions.udf.CIQ(A1064, "IQ_PRICE_VOL_HIST_6MTH", F1064)</f>
        <v>176.09460000000001</v>
      </c>
      <c r="K1064">
        <f>_xll.ciqfunctions.udf.CIQ(A1064, "IQ_LASTSALEPRICE", WORKDAY(F1064,-1))</f>
        <v>3.65</v>
      </c>
      <c r="L1064">
        <f>_xll.ciqfunctions.udf.CIQ(A1064, "IQ_LASTSALEPRICE", F1064)</f>
        <v>3.63</v>
      </c>
      <c r="M1064">
        <f>_xll.ciqfunctions.udf.CIQ(A1064, "IQ_LASTSALEPRICE", WORKDAY(F1064,5))</f>
        <v>3.62</v>
      </c>
      <c r="N1064">
        <f t="shared" si="32"/>
        <v>-5.4945193176407017E-3</v>
      </c>
      <c r="O1064">
        <f t="shared" si="33"/>
        <v>-8.2531417567204141E-3</v>
      </c>
      <c r="P1064">
        <f>LN(_xll.ciqfunctions.udf.CIQ("XBI", "IQ_LASTSALEPRICE", WORKDAY(F1064,-1))/_xll.ciqfunctions.udf.CIQ("XBI", "IQ_LASTSALEPRICE", WORKDAY(F1064,1)))</f>
        <v>1.5561552396882141E-2</v>
      </c>
      <c r="Q1064">
        <f>LN(_xll.ciqfunctions.udf.CIQ("XBI", "IQ_LASTSALEPRICE", WORKDAY(F1064,-1))/_xll.ciqfunctions.udf.CIQ("XBI", "IQ_LASTSALEPRICE", WORKDAY(F1064,5)))</f>
        <v>3.6171700210220495E-2</v>
      </c>
      <c r="R1064">
        <f>_xll.ciqfunctions.udf.CIQ(A1064, "IQ_SHORT_INTEREST_PERCENT", F1064)</f>
        <v>1.82064</v>
      </c>
      <c r="S1064">
        <f>_xll.ciqfunctions.udf.CIQ(A1064, "IQ_BETA_1YR_RSQ", F1064)</f>
        <v>1.324E-2</v>
      </c>
      <c r="T1064">
        <f>_xll.ciqfunctions.udf.CIQ(A1064, "IQ_VALUE_TRADED", F1064)</f>
        <v>0.16569999999999999</v>
      </c>
    </row>
    <row r="1065" spans="1:20" x14ac:dyDescent="0.3">
      <c r="A1065" t="s">
        <v>1542</v>
      </c>
      <c r="B1065" s="2">
        <v>3.65</v>
      </c>
      <c r="C1065" t="s">
        <v>2908</v>
      </c>
      <c r="D1065" t="s">
        <v>457</v>
      </c>
      <c r="E1065" t="s">
        <v>36</v>
      </c>
      <c r="F1065" s="1">
        <v>45428</v>
      </c>
      <c r="G1065" t="s">
        <v>2909</v>
      </c>
      <c r="H1065">
        <v>95</v>
      </c>
      <c r="I1065">
        <f>_xll.ciqfunctions.udf.CIQ(A1065, "IQ_MARKETCAP", F1065)</f>
        <v>178.58536000000001</v>
      </c>
      <c r="J1065">
        <f>_xll.ciqfunctions.udf.CIQ(A1065, "IQ_PRICE_VOL_HIST_6MTH", F1065)</f>
        <v>52.874899999999997</v>
      </c>
      <c r="K1065">
        <f>_xll.ciqfunctions.udf.CIQ(A1065, "IQ_LASTSALEPRICE", WORKDAY(F1065,-1))</f>
        <v>3.52</v>
      </c>
      <c r="L1065">
        <f>_xll.ciqfunctions.udf.CIQ(A1065, "IQ_LASTSALEPRICE", F1065)</f>
        <v>3.41</v>
      </c>
      <c r="M1065">
        <f>_xll.ciqfunctions.udf.CIQ(A1065, "IQ_LASTSALEPRICE", WORKDAY(F1065,5))</f>
        <v>3.3250000000000002</v>
      </c>
      <c r="N1065">
        <f t="shared" si="32"/>
        <v>-3.1748698314580298E-2</v>
      </c>
      <c r="O1065">
        <f t="shared" si="33"/>
        <v>-5.6991315502188167E-2</v>
      </c>
      <c r="P1065">
        <f>LN(_xll.ciqfunctions.udf.CIQ("XBI", "IQ_LASTSALEPRICE", WORKDAY(F1065,-1))/_xll.ciqfunctions.udf.CIQ("XBI", "IQ_LASTSALEPRICE", WORKDAY(F1065,1)))</f>
        <v>1.5561552396882141E-2</v>
      </c>
      <c r="Q1065">
        <f>LN(_xll.ciqfunctions.udf.CIQ("XBI", "IQ_LASTSALEPRICE", WORKDAY(F1065,-1))/_xll.ciqfunctions.udf.CIQ("XBI", "IQ_LASTSALEPRICE", WORKDAY(F1065,5)))</f>
        <v>3.6171700210220495E-2</v>
      </c>
      <c r="R1065">
        <f>_xll.ciqfunctions.udf.CIQ(A1065, "IQ_SHORT_INTEREST_PERCENT", F1065)</f>
        <v>0</v>
      </c>
      <c r="S1065">
        <f>_xll.ciqfunctions.udf.CIQ(A1065, "IQ_BETA_1YR_RSQ", F1065)</f>
        <v>9.9180000000000004E-2</v>
      </c>
      <c r="T1065">
        <f>_xll.ciqfunctions.udf.CIQ(A1065, "IQ_VALUE_TRADED", F1065)</f>
        <v>0.14280000000000001</v>
      </c>
    </row>
    <row r="1066" spans="1:20" x14ac:dyDescent="0.3">
      <c r="A1066" t="s">
        <v>1380</v>
      </c>
      <c r="B1066" s="2">
        <v>310.3</v>
      </c>
      <c r="C1066" t="s">
        <v>2910</v>
      </c>
      <c r="D1066" t="s">
        <v>2842</v>
      </c>
      <c r="E1066" t="s">
        <v>160</v>
      </c>
      <c r="F1066" s="1">
        <v>45429</v>
      </c>
      <c r="G1066" t="s">
        <v>2911</v>
      </c>
      <c r="H1066">
        <v>538</v>
      </c>
      <c r="I1066">
        <f>_xll.ciqfunctions.udf.CIQ(A1066, "IQ_MARKETCAP", F1066)</f>
        <v>167619.74820999999</v>
      </c>
      <c r="J1066">
        <f>_xll.ciqfunctions.udf.CIQ(A1066, "IQ_PRICE_VOL_HIST_6MTH", F1066)</f>
        <v>26.722799999999999</v>
      </c>
      <c r="K1066">
        <f>_xll.ciqfunctions.udf.CIQ(A1066, "IQ_LASTSALEPRICE", WORKDAY(F1066,-1))</f>
        <v>314.72000000000003</v>
      </c>
      <c r="L1066">
        <f>_xll.ciqfunctions.udf.CIQ(A1066, "IQ_LASTSALEPRICE", F1066)</f>
        <v>312.47000000000003</v>
      </c>
      <c r="M1066">
        <f>_xll.ciqfunctions.udf.CIQ(A1066, "IQ_LASTSALEPRICE", WORKDAY(F1066,5))</f>
        <v>305.83999999999997</v>
      </c>
      <c r="N1066">
        <f t="shared" si="32"/>
        <v>-7.1748900725877142E-3</v>
      </c>
      <c r="O1066">
        <f t="shared" si="33"/>
        <v>-2.8621265252591746E-2</v>
      </c>
      <c r="P1066">
        <f>LN(_xll.ciqfunctions.udf.CIQ("XBI", "IQ_LASTSALEPRICE", WORKDAY(F1066,-1))/_xll.ciqfunctions.udf.CIQ("XBI", "IQ_LASTSALEPRICE", WORKDAY(F1066,1)))</f>
        <v>3.4620828694913466E-3</v>
      </c>
      <c r="Q1066">
        <f>LN(_xll.ciqfunctions.udf.CIQ("XBI", "IQ_LASTSALEPRICE", WORKDAY(F1066,-1))/_xll.ciqfunctions.udf.CIQ("XBI", "IQ_LASTSALEPRICE", WORKDAY(F1066,5)))</f>
        <v>4.1456713678346128E-2</v>
      </c>
      <c r="R1066">
        <f>_xll.ciqfunctions.udf.CIQ(A1066, "IQ_SHORT_INTEREST_PERCENT", F1066)</f>
        <v>1.8111600000000001</v>
      </c>
      <c r="S1066">
        <f>_xll.ciqfunctions.udf.CIQ(A1066, "IQ_BETA_1YR_RSQ", F1066)</f>
        <v>2.1059999999999999E-2</v>
      </c>
      <c r="T1066">
        <f>_xll.ciqfunctions.udf.CIQ(A1066, "IQ_VALUE_TRADED", F1066)</f>
        <v>616.88514999999995</v>
      </c>
    </row>
    <row r="1067" spans="1:20" x14ac:dyDescent="0.3">
      <c r="A1067" t="s">
        <v>2261</v>
      </c>
      <c r="B1067" s="2">
        <v>1.33</v>
      </c>
      <c r="C1067" t="s">
        <v>2912</v>
      </c>
      <c r="D1067" t="s">
        <v>2913</v>
      </c>
      <c r="E1067" t="s">
        <v>36</v>
      </c>
      <c r="F1067" s="1">
        <v>45429</v>
      </c>
      <c r="G1067" t="s">
        <v>2914</v>
      </c>
      <c r="H1067">
        <v>55</v>
      </c>
      <c r="I1067">
        <f>_xll.ciqfunctions.udf.CIQ(A1067, "IQ_MARKETCAP", F1067)</f>
        <v>4494.90726</v>
      </c>
      <c r="J1067">
        <f>_xll.ciqfunctions.udf.CIQ(A1067, "IQ_PRICE_VOL_HIST_6MTH", F1067)</f>
        <v>40.200499999999998</v>
      </c>
      <c r="K1067">
        <f>_xll.ciqfunctions.udf.CIQ(A1067, "IQ_LASTSALEPRICE", WORKDAY(F1067,-1))</f>
        <v>59.65</v>
      </c>
      <c r="L1067">
        <f>_xll.ciqfunctions.udf.CIQ(A1067, "IQ_LASTSALEPRICE", F1067)</f>
        <v>59.99</v>
      </c>
      <c r="M1067">
        <f>_xll.ciqfunctions.udf.CIQ(A1067, "IQ_LASTSALEPRICE", WORKDAY(F1067,5))</f>
        <v>53.57</v>
      </c>
      <c r="N1067">
        <f t="shared" si="32"/>
        <v>5.6837331210767162E-3</v>
      </c>
      <c r="O1067">
        <f t="shared" si="33"/>
        <v>-0.10750493865105615</v>
      </c>
      <c r="P1067">
        <f>LN(_xll.ciqfunctions.udf.CIQ("XBI", "IQ_LASTSALEPRICE", WORKDAY(F1067,-1))/_xll.ciqfunctions.udf.CIQ("XBI", "IQ_LASTSALEPRICE", WORKDAY(F1067,1)))</f>
        <v>3.4620828694913466E-3</v>
      </c>
      <c r="Q1067">
        <f>LN(_xll.ciqfunctions.udf.CIQ("XBI", "IQ_LASTSALEPRICE", WORKDAY(F1067,-1))/_xll.ciqfunctions.udf.CIQ("XBI", "IQ_LASTSALEPRICE", WORKDAY(F1067,5)))</f>
        <v>4.1456713678346128E-2</v>
      </c>
      <c r="R1067">
        <f>_xll.ciqfunctions.udf.CIQ(A1067, "IQ_SHORT_INTEREST_PERCENT", F1067)</f>
        <v>0</v>
      </c>
      <c r="S1067">
        <f>_xll.ciqfunctions.udf.CIQ(A1067, "IQ_BETA_1YR_RSQ", F1067)</f>
        <v>8.4499999999999992E-3</v>
      </c>
      <c r="T1067">
        <f>_xll.ciqfunctions.udf.CIQ(A1067, "IQ_VALUE_TRADED", F1067)</f>
        <v>0.53991</v>
      </c>
    </row>
    <row r="1068" spans="1:20" x14ac:dyDescent="0.3">
      <c r="A1068" t="s">
        <v>2402</v>
      </c>
      <c r="B1068" s="2">
        <v>5.46</v>
      </c>
      <c r="C1068" t="s">
        <v>2915</v>
      </c>
      <c r="D1068" t="s">
        <v>2916</v>
      </c>
      <c r="E1068" t="s">
        <v>89</v>
      </c>
      <c r="F1068" s="1">
        <v>45429</v>
      </c>
      <c r="G1068" t="s">
        <v>2917</v>
      </c>
      <c r="H1068">
        <v>3</v>
      </c>
      <c r="I1068">
        <f>_xll.ciqfunctions.udf.CIQ(A1068, "IQ_MARKETCAP", F1068)</f>
        <v>5.2424400000000002</v>
      </c>
      <c r="J1068">
        <f>_xll.ciqfunctions.udf.CIQ(A1068, "IQ_PRICE_VOL_HIST_6MTH", F1068)</f>
        <v>230.60589999999999</v>
      </c>
      <c r="K1068">
        <f>_xll.ciqfunctions.udf.CIQ(A1068, "IQ_LASTSALEPRICE", WORKDAY(F1068,-1))</f>
        <v>39.620379999999997</v>
      </c>
      <c r="L1068">
        <f>_xll.ciqfunctions.udf.CIQ(A1068, "IQ_LASTSALEPRICE", F1068)</f>
        <v>36.363639999999997</v>
      </c>
      <c r="M1068">
        <f>_xll.ciqfunctions.udf.CIQ(A1068, "IQ_LASTSALEPRICE", WORKDAY(F1068,5))</f>
        <v>38.002000000000002</v>
      </c>
      <c r="N1068">
        <f t="shared" si="32"/>
        <v>-8.5774258030402159E-2</v>
      </c>
      <c r="O1068">
        <f t="shared" si="33"/>
        <v>-4.1704842419668285E-2</v>
      </c>
      <c r="P1068">
        <f>LN(_xll.ciqfunctions.udf.CIQ("XBI", "IQ_LASTSALEPRICE", WORKDAY(F1068,-1))/_xll.ciqfunctions.udf.CIQ("XBI", "IQ_LASTSALEPRICE", WORKDAY(F1068,1)))</f>
        <v>3.4620828694913466E-3</v>
      </c>
      <c r="Q1068">
        <f>LN(_xll.ciqfunctions.udf.CIQ("XBI", "IQ_LASTSALEPRICE", WORKDAY(F1068,-1))/_xll.ciqfunctions.udf.CIQ("XBI", "IQ_LASTSALEPRICE", WORKDAY(F1068,5)))</f>
        <v>4.1456713678346128E-2</v>
      </c>
      <c r="R1068">
        <f>_xll.ciqfunctions.udf.CIQ(A1068, "IQ_SHORT_INTEREST_PERCENT", F1068)</f>
        <v>1.02826</v>
      </c>
      <c r="S1068">
        <f>_xll.ciqfunctions.udf.CIQ(A1068, "IQ_BETA_1YR_RSQ", F1068)</f>
        <v>1.1140000000000001E-2</v>
      </c>
      <c r="T1068">
        <f>_xll.ciqfunctions.udf.CIQ(A1068, "IQ_VALUE_TRADED", F1068)</f>
        <v>2.1415999999999999</v>
      </c>
    </row>
    <row r="1069" spans="1:20" x14ac:dyDescent="0.3">
      <c r="A1069" t="s">
        <v>1174</v>
      </c>
      <c r="B1069" s="2">
        <v>3.15</v>
      </c>
      <c r="C1069" t="s">
        <v>2918</v>
      </c>
      <c r="D1069" t="s">
        <v>2919</v>
      </c>
      <c r="E1069" t="s">
        <v>89</v>
      </c>
      <c r="F1069" s="1">
        <v>45429</v>
      </c>
      <c r="G1069" t="s">
        <v>2920</v>
      </c>
      <c r="H1069">
        <v>19</v>
      </c>
      <c r="I1069">
        <f>_xll.ciqfunctions.udf.CIQ(A1069, "IQ_MARKETCAP", F1069)</f>
        <v>40.589869999999998</v>
      </c>
      <c r="J1069">
        <f>_xll.ciqfunctions.udf.CIQ(A1069, "IQ_PRICE_VOL_HIST_6MTH", F1069)</f>
        <v>140.61859999999999</v>
      </c>
      <c r="K1069">
        <f>_xll.ciqfunctions.udf.CIQ(A1069, "IQ_LASTSALEPRICE", WORKDAY(F1069,-1))</f>
        <v>3.14</v>
      </c>
      <c r="L1069">
        <f>_xll.ciqfunctions.udf.CIQ(A1069, "IQ_LASTSALEPRICE", F1069)</f>
        <v>3.15</v>
      </c>
      <c r="M1069">
        <f>_xll.ciqfunctions.udf.CIQ(A1069, "IQ_LASTSALEPRICE", WORKDAY(F1069,5))</f>
        <v>3.12</v>
      </c>
      <c r="N1069">
        <f t="shared" si="32"/>
        <v>3.1796529173795844E-3</v>
      </c>
      <c r="O1069">
        <f t="shared" si="33"/>
        <v>-6.38979809877101E-3</v>
      </c>
      <c r="P1069">
        <f>LN(_xll.ciqfunctions.udf.CIQ("XBI", "IQ_LASTSALEPRICE", WORKDAY(F1069,-1))/_xll.ciqfunctions.udf.CIQ("XBI", "IQ_LASTSALEPRICE", WORKDAY(F1069,1)))</f>
        <v>3.4620828694913466E-3</v>
      </c>
      <c r="Q1069">
        <f>LN(_xll.ciqfunctions.udf.CIQ("XBI", "IQ_LASTSALEPRICE", WORKDAY(F1069,-1))/_xll.ciqfunctions.udf.CIQ("XBI", "IQ_LASTSALEPRICE", WORKDAY(F1069,5)))</f>
        <v>4.1456713678346128E-2</v>
      </c>
      <c r="R1069">
        <f>_xll.ciqfunctions.udf.CIQ(A1069, "IQ_SHORT_INTEREST_PERCENT", F1069)</f>
        <v>1.9957499999999999</v>
      </c>
      <c r="S1069">
        <f>_xll.ciqfunctions.udf.CIQ(A1069, "IQ_BETA_1YR_RSQ", F1069)</f>
        <v>2.7999999999999998E-4</v>
      </c>
      <c r="T1069">
        <f>_xll.ciqfunctions.udf.CIQ(A1069, "IQ_VALUE_TRADED", F1069)</f>
        <v>0.88714999999999999</v>
      </c>
    </row>
    <row r="1070" spans="1:20" x14ac:dyDescent="0.3">
      <c r="A1070" t="s">
        <v>1685</v>
      </c>
      <c r="B1070" s="2">
        <v>24.77</v>
      </c>
      <c r="C1070" t="s">
        <v>2921</v>
      </c>
      <c r="D1070" t="s">
        <v>2922</v>
      </c>
      <c r="E1070" t="s">
        <v>197</v>
      </c>
      <c r="F1070" s="1">
        <v>45430</v>
      </c>
      <c r="G1070" t="s">
        <v>2923</v>
      </c>
      <c r="H1070">
        <v>138</v>
      </c>
      <c r="I1070">
        <f>_xll.ciqfunctions.udf.CIQ(A1070, "IQ_MARKETCAP", F1070)</f>
        <v>3076.4396999999999</v>
      </c>
      <c r="J1070">
        <f>_xll.ciqfunctions.udf.CIQ(A1070, "IQ_PRICE_VOL_HIST_6MTH", F1070)</f>
        <v>79.030100000000004</v>
      </c>
      <c r="K1070">
        <f>_xll.ciqfunctions.udf.CIQ(A1070, "IQ_LASTSALEPRICE", WORKDAY(F1070,-1))</f>
        <v>24.77</v>
      </c>
      <c r="L1070">
        <f>_xll.ciqfunctions.udf.CIQ(A1070, "IQ_LASTSALEPRICE", F1070)</f>
        <v>24.77</v>
      </c>
      <c r="M1070">
        <f>_xll.ciqfunctions.udf.CIQ(A1070, "IQ_LASTSALEPRICE", WORKDAY(F1070,5))</f>
        <v>24.88</v>
      </c>
      <c r="N1070">
        <f t="shared" si="32"/>
        <v>0</v>
      </c>
      <c r="O1070">
        <f t="shared" si="33"/>
        <v>4.4310243697105204E-3</v>
      </c>
      <c r="P1070">
        <f>LN(_xll.ciqfunctions.udf.CIQ("XBI", "IQ_LASTSALEPRICE", WORKDAY(F1070,-1))/_xll.ciqfunctions.udf.CIQ("XBI", "IQ_LASTSALEPRICE", WORKDAY(F1070,1)))</f>
        <v>-1.1883486805169026E-2</v>
      </c>
      <c r="Q1070">
        <f>LN(_xll.ciqfunctions.udf.CIQ("XBI", "IQ_LASTSALEPRICE", WORKDAY(F1070,-1))/_xll.ciqfunctions.udf.CIQ("XBI", "IQ_LASTSALEPRICE", WORKDAY(F1070,5)))</f>
        <v>2.6111144003685804E-2</v>
      </c>
      <c r="R1070">
        <f>_xll.ciqfunctions.udf.CIQ(A1070, "IQ_SHORT_INTEREST_PERCENT", F1070)</f>
        <v>7.7404500000000001</v>
      </c>
      <c r="S1070">
        <f>_xll.ciqfunctions.udf.CIQ(A1070, "IQ_BETA_1YR_RSQ", F1070)</f>
        <v>0.18257999999999999</v>
      </c>
      <c r="T1070">
        <f>_xll.ciqfunctions.udf.CIQ(A1070, "IQ_VALUE_TRADED", F1070)</f>
        <v>0</v>
      </c>
    </row>
    <row r="1071" spans="1:20" x14ac:dyDescent="0.3">
      <c r="A1071" t="s">
        <v>556</v>
      </c>
      <c r="B1071" s="2">
        <v>2.12</v>
      </c>
      <c r="C1071" t="s">
        <v>557</v>
      </c>
      <c r="D1071" t="s">
        <v>558</v>
      </c>
      <c r="E1071" t="s">
        <v>89</v>
      </c>
      <c r="F1071" s="1">
        <v>45432</v>
      </c>
      <c r="G1071" t="s">
        <v>2924</v>
      </c>
      <c r="H1071">
        <v>17</v>
      </c>
      <c r="I1071">
        <f>_xll.ciqfunctions.udf.CIQ(A1071, "IQ_MARKETCAP", F1071)</f>
        <v>24.986609999999999</v>
      </c>
      <c r="J1071">
        <f>_xll.ciqfunctions.udf.CIQ(A1071, "IQ_PRICE_VOL_HIST_6MTH", F1071)</f>
        <v>90.891800000000003</v>
      </c>
      <c r="K1071">
        <f>_xll.ciqfunctions.udf.CIQ(A1071, "IQ_LASTSALEPRICE", WORKDAY(F1071,-1))</f>
        <v>2.0699999999999998</v>
      </c>
      <c r="L1071">
        <f>_xll.ciqfunctions.udf.CIQ(A1071, "IQ_LASTSALEPRICE", F1071)</f>
        <v>2.1150000000000002</v>
      </c>
      <c r="M1071">
        <f>_xll.ciqfunctions.udf.CIQ(A1071, "IQ_LASTSALEPRICE", WORKDAY(F1071,5))</f>
        <v>2.23</v>
      </c>
      <c r="N1071">
        <f t="shared" si="32"/>
        <v>2.1506205220963682E-2</v>
      </c>
      <c r="O1071">
        <f t="shared" si="33"/>
        <v>7.4452978194749803E-2</v>
      </c>
      <c r="P1071">
        <f>LN(_xll.ciqfunctions.udf.CIQ("XBI", "IQ_LASTSALEPRICE", WORKDAY(F1071,-1))/_xll.ciqfunctions.udf.CIQ("XBI", "IQ_LASTSALEPRICE", WORKDAY(F1071,1)))</f>
        <v>-4.2681323343453093E-3</v>
      </c>
      <c r="Q1071">
        <f>LN(_xll.ciqfunctions.udf.CIQ("XBI", "IQ_LASTSALEPRICE", WORKDAY(F1071,-1))/_xll.ciqfunctions.udf.CIQ("XBI", "IQ_LASTSALEPRICE", WORKDAY(F1071,5)))</f>
        <v>2.6111144003685804E-2</v>
      </c>
      <c r="R1071">
        <f>_xll.ciqfunctions.udf.CIQ(A1071, "IQ_SHORT_INTEREST_PERCENT", F1071)</f>
        <v>0.84828000000000003</v>
      </c>
      <c r="S1071">
        <f>_xll.ciqfunctions.udf.CIQ(A1071, "IQ_BETA_1YR_RSQ", F1071)</f>
        <v>2.801E-2</v>
      </c>
      <c r="T1071">
        <f>_xll.ciqfunctions.udf.CIQ(A1071, "IQ_VALUE_TRADED", F1071)</f>
        <v>0.39121</v>
      </c>
    </row>
    <row r="1072" spans="1:20" x14ac:dyDescent="0.3">
      <c r="A1072" t="s">
        <v>57</v>
      </c>
      <c r="B1072" s="2">
        <v>35.380000000000003</v>
      </c>
      <c r="C1072" t="s">
        <v>58</v>
      </c>
      <c r="D1072" t="s">
        <v>59</v>
      </c>
      <c r="E1072" t="s">
        <v>17</v>
      </c>
      <c r="F1072" s="1">
        <v>45432</v>
      </c>
      <c r="G1072" t="s">
        <v>2925</v>
      </c>
      <c r="H1072">
        <v>142</v>
      </c>
      <c r="I1072">
        <f>_xll.ciqfunctions.udf.CIQ(A1072, "IQ_MARKETCAP", F1072)</f>
        <v>3081.2317800000001</v>
      </c>
      <c r="J1072">
        <f>_xll.ciqfunctions.udf.CIQ(A1072, "IQ_PRICE_VOL_HIST_6MTH", F1072)</f>
        <v>83.280199999999994</v>
      </c>
      <c r="K1072">
        <f>_xll.ciqfunctions.udf.CIQ(A1072, "IQ_LASTSALEPRICE", WORKDAY(F1072,-1))</f>
        <v>27.68</v>
      </c>
      <c r="L1072">
        <f>_xll.ciqfunctions.udf.CIQ(A1072, "IQ_LASTSALEPRICE", F1072)</f>
        <v>35.380000000000003</v>
      </c>
      <c r="M1072">
        <f>_xll.ciqfunctions.udf.CIQ(A1072, "IQ_LASTSALEPRICE", WORKDAY(F1072,5))</f>
        <v>31.22</v>
      </c>
      <c r="N1072">
        <f t="shared" si="32"/>
        <v>0.24543655798217054</v>
      </c>
      <c r="O1072">
        <f t="shared" si="33"/>
        <v>0.12034878433781711</v>
      </c>
      <c r="P1072">
        <f>LN(_xll.ciqfunctions.udf.CIQ("XBI", "IQ_LASTSALEPRICE", WORKDAY(F1072,-1))/_xll.ciqfunctions.udf.CIQ("XBI", "IQ_LASTSALEPRICE", WORKDAY(F1072,1)))</f>
        <v>-4.2681323343453093E-3</v>
      </c>
      <c r="Q1072">
        <f>LN(_xll.ciqfunctions.udf.CIQ("XBI", "IQ_LASTSALEPRICE", WORKDAY(F1072,-1))/_xll.ciqfunctions.udf.CIQ("XBI", "IQ_LASTSALEPRICE", WORKDAY(F1072,5)))</f>
        <v>2.6111144003685804E-2</v>
      </c>
      <c r="R1072">
        <f>_xll.ciqfunctions.udf.CIQ(A1072, "IQ_SHORT_INTEREST_PERCENT", F1072)</f>
        <v>11.061780000000001</v>
      </c>
      <c r="S1072">
        <f>_xll.ciqfunctions.udf.CIQ(A1072, "IQ_BETA_1YR_RSQ", F1072)</f>
        <v>0.125</v>
      </c>
      <c r="T1072">
        <f>_xll.ciqfunctions.udf.CIQ(A1072, "IQ_VALUE_TRADED", F1072)</f>
        <v>162.67452</v>
      </c>
    </row>
    <row r="1073" spans="1:20" x14ac:dyDescent="0.3">
      <c r="A1073" t="s">
        <v>57</v>
      </c>
      <c r="B1073" s="2">
        <v>35.380000000000003</v>
      </c>
      <c r="C1073" t="s">
        <v>61</v>
      </c>
      <c r="D1073" t="s">
        <v>62</v>
      </c>
      <c r="E1073" t="s">
        <v>17</v>
      </c>
      <c r="F1073" s="1">
        <v>45432</v>
      </c>
      <c r="G1073" t="s">
        <v>2926</v>
      </c>
      <c r="H1073">
        <v>142</v>
      </c>
      <c r="I1073">
        <f>_xll.ciqfunctions.udf.CIQ(A1073, "IQ_MARKETCAP", F1073)</f>
        <v>3081.2317800000001</v>
      </c>
      <c r="J1073">
        <f>_xll.ciqfunctions.udf.CIQ(A1073, "IQ_PRICE_VOL_HIST_6MTH", F1073)</f>
        <v>83.280199999999994</v>
      </c>
      <c r="K1073">
        <f>_xll.ciqfunctions.udf.CIQ(A1073, "IQ_LASTSALEPRICE", WORKDAY(F1073,-1))</f>
        <v>27.68</v>
      </c>
      <c r="L1073">
        <f>_xll.ciqfunctions.udf.CIQ(A1073, "IQ_LASTSALEPRICE", F1073)</f>
        <v>35.380000000000003</v>
      </c>
      <c r="M1073">
        <f>_xll.ciqfunctions.udf.CIQ(A1073, "IQ_LASTSALEPRICE", WORKDAY(F1073,5))</f>
        <v>31.22</v>
      </c>
      <c r="N1073">
        <f t="shared" si="32"/>
        <v>0.24543655798217054</v>
      </c>
      <c r="O1073">
        <f t="shared" si="33"/>
        <v>0.12034878433781711</v>
      </c>
      <c r="P1073">
        <f>LN(_xll.ciqfunctions.udf.CIQ("XBI", "IQ_LASTSALEPRICE", WORKDAY(F1073,-1))/_xll.ciqfunctions.udf.CIQ("XBI", "IQ_LASTSALEPRICE", WORKDAY(F1073,1)))</f>
        <v>-4.2681323343453093E-3</v>
      </c>
      <c r="Q1073">
        <f>LN(_xll.ciqfunctions.udf.CIQ("XBI", "IQ_LASTSALEPRICE", WORKDAY(F1073,-1))/_xll.ciqfunctions.udf.CIQ("XBI", "IQ_LASTSALEPRICE", WORKDAY(F1073,5)))</f>
        <v>2.6111144003685804E-2</v>
      </c>
      <c r="R1073">
        <f>_xll.ciqfunctions.udf.CIQ(A1073, "IQ_SHORT_INTEREST_PERCENT", F1073)</f>
        <v>11.061780000000001</v>
      </c>
      <c r="S1073">
        <f>_xll.ciqfunctions.udf.CIQ(A1073, "IQ_BETA_1YR_RSQ", F1073)</f>
        <v>0.125</v>
      </c>
      <c r="T1073">
        <f>_xll.ciqfunctions.udf.CIQ(A1073, "IQ_VALUE_TRADED", F1073)</f>
        <v>162.67452</v>
      </c>
    </row>
    <row r="1074" spans="1:20" x14ac:dyDescent="0.3">
      <c r="A1074" t="s">
        <v>2927</v>
      </c>
      <c r="B1074" s="2">
        <v>8.51</v>
      </c>
      <c r="C1074" t="s">
        <v>2928</v>
      </c>
      <c r="D1074" t="s">
        <v>2929</v>
      </c>
      <c r="E1074" t="s">
        <v>36</v>
      </c>
      <c r="F1074" s="1">
        <v>45432</v>
      </c>
      <c r="G1074" t="s">
        <v>2930</v>
      </c>
      <c r="H1074">
        <v>10</v>
      </c>
      <c r="I1074">
        <f>_xll.ciqfunctions.udf.CIQ(A1074, "IQ_MARKETCAP", F1074)</f>
        <v>39.73565</v>
      </c>
      <c r="J1074">
        <f>_xll.ciqfunctions.udf.CIQ(A1074, "IQ_PRICE_VOL_HIST_6MTH", F1074)</f>
        <v>169.29249999999999</v>
      </c>
      <c r="K1074">
        <f>_xll.ciqfunctions.udf.CIQ(A1074, "IQ_LASTSALEPRICE", WORKDAY(F1074,-1))</f>
        <v>7.8014999999999999</v>
      </c>
      <c r="L1074">
        <f>_xll.ciqfunctions.udf.CIQ(A1074, "IQ_LASTSALEPRICE", F1074)</f>
        <v>8.5050000000000008</v>
      </c>
      <c r="M1074">
        <f>_xll.ciqfunctions.udf.CIQ(A1074, "IQ_LASTSALEPRICE", WORKDAY(F1074,5))</f>
        <v>8.0594999999999999</v>
      </c>
      <c r="N1074">
        <f t="shared" si="32"/>
        <v>8.6338202948725351E-2</v>
      </c>
      <c r="O1074">
        <f t="shared" si="33"/>
        <v>3.2535496955749046E-2</v>
      </c>
      <c r="P1074">
        <f>LN(_xll.ciqfunctions.udf.CIQ("XBI", "IQ_LASTSALEPRICE", WORKDAY(F1074,-1))/_xll.ciqfunctions.udf.CIQ("XBI", "IQ_LASTSALEPRICE", WORKDAY(F1074,1)))</f>
        <v>-4.2681323343453093E-3</v>
      </c>
      <c r="Q1074">
        <f>LN(_xll.ciqfunctions.udf.CIQ("XBI", "IQ_LASTSALEPRICE", WORKDAY(F1074,-1))/_xll.ciqfunctions.udf.CIQ("XBI", "IQ_LASTSALEPRICE", WORKDAY(F1074,5)))</f>
        <v>2.6111144003685804E-2</v>
      </c>
      <c r="R1074">
        <f>_xll.ciqfunctions.udf.CIQ(A1074, "IQ_SHORT_INTEREST_PERCENT", F1074)</f>
        <v>2.9941399999999998</v>
      </c>
      <c r="S1074">
        <f>_xll.ciqfunctions.udf.CIQ(A1074, "IQ_BETA_1YR_RSQ", F1074)</f>
        <v>0.10377</v>
      </c>
      <c r="T1074">
        <f>_xll.ciqfunctions.udf.CIQ(A1074, "IQ_VALUE_TRADED", F1074)</f>
        <v>0.34736</v>
      </c>
    </row>
    <row r="1075" spans="1:20" x14ac:dyDescent="0.3">
      <c r="A1075" t="s">
        <v>2931</v>
      </c>
      <c r="B1075" s="2">
        <v>6.05</v>
      </c>
      <c r="C1075" t="s">
        <v>2928</v>
      </c>
      <c r="D1075" t="s">
        <v>2929</v>
      </c>
      <c r="E1075" t="s">
        <v>36</v>
      </c>
      <c r="F1075" s="1">
        <v>45432</v>
      </c>
      <c r="G1075" t="s">
        <v>2930</v>
      </c>
      <c r="H1075">
        <v>8</v>
      </c>
      <c r="I1075">
        <f>_xll.ciqfunctions.udf.CIQ(A1075, "IQ_MARKETCAP", F1075)</f>
        <v>32.60219</v>
      </c>
      <c r="J1075">
        <f>_xll.ciqfunctions.udf.CIQ(A1075, "IQ_PRICE_VOL_HIST_6MTH", F1075)</f>
        <v>86.647999999999996</v>
      </c>
      <c r="K1075">
        <f>_xll.ciqfunctions.udf.CIQ(A1075, "IQ_LASTSALEPRICE", WORKDAY(F1075,-1))</f>
        <v>6.1</v>
      </c>
      <c r="L1075">
        <f>_xll.ciqfunctions.udf.CIQ(A1075, "IQ_LASTSALEPRICE", F1075)</f>
        <v>6.05</v>
      </c>
      <c r="M1075">
        <f>_xll.ciqfunctions.udf.CIQ(A1075, "IQ_LASTSALEPRICE", WORKDAY(F1075,5))</f>
        <v>6.0198999999999998</v>
      </c>
      <c r="N1075">
        <f t="shared" si="32"/>
        <v>-8.23049913651548E-3</v>
      </c>
      <c r="O1075">
        <f t="shared" si="33"/>
        <v>-1.3218123292185996E-2</v>
      </c>
      <c r="P1075">
        <f>LN(_xll.ciqfunctions.udf.CIQ("XBI", "IQ_LASTSALEPRICE", WORKDAY(F1075,-1))/_xll.ciqfunctions.udf.CIQ("XBI", "IQ_LASTSALEPRICE", WORKDAY(F1075,1)))</f>
        <v>-4.2681323343453093E-3</v>
      </c>
      <c r="Q1075">
        <f>LN(_xll.ciqfunctions.udf.CIQ("XBI", "IQ_LASTSALEPRICE", WORKDAY(F1075,-1))/_xll.ciqfunctions.udf.CIQ("XBI", "IQ_LASTSALEPRICE", WORKDAY(F1075,5)))</f>
        <v>2.6111144003685804E-2</v>
      </c>
      <c r="R1075">
        <f>_xll.ciqfunctions.udf.CIQ(A1075, "IQ_SHORT_INTEREST_PERCENT", F1075)</f>
        <v>0.73019999999999996</v>
      </c>
      <c r="S1075">
        <f>_xll.ciqfunctions.udf.CIQ(A1075, "IQ_BETA_1YR_RSQ", F1075)</f>
        <v>5.4879999999999998E-2</v>
      </c>
      <c r="T1075">
        <f>_xll.ciqfunctions.udf.CIQ(A1075, "IQ_VALUE_TRADED", F1075)</f>
        <v>2.3539999999999998E-2</v>
      </c>
    </row>
    <row r="1076" spans="1:20" x14ac:dyDescent="0.3">
      <c r="A1076" t="s">
        <v>1653</v>
      </c>
      <c r="B1076" s="2">
        <v>2.48</v>
      </c>
      <c r="C1076" t="s">
        <v>2932</v>
      </c>
      <c r="D1076" t="s">
        <v>2933</v>
      </c>
      <c r="E1076" t="s">
        <v>36</v>
      </c>
      <c r="F1076" s="1">
        <v>45432</v>
      </c>
      <c r="G1076" t="s">
        <v>2934</v>
      </c>
      <c r="H1076">
        <v>201</v>
      </c>
      <c r="I1076">
        <f>_xll.ciqfunctions.udf.CIQ(A1076, "IQ_MARKETCAP", F1076)</f>
        <v>469.86153000000002</v>
      </c>
      <c r="J1076">
        <f>_xll.ciqfunctions.udf.CIQ(A1076, "IQ_PRICE_VOL_HIST_6MTH", F1076)</f>
        <v>100.8292</v>
      </c>
      <c r="K1076">
        <f>_xll.ciqfunctions.udf.CIQ(A1076, "IQ_LASTSALEPRICE", WORKDAY(F1076,-1))</f>
        <v>2.36</v>
      </c>
      <c r="L1076">
        <f>_xll.ciqfunctions.udf.CIQ(A1076, "IQ_LASTSALEPRICE", F1076)</f>
        <v>2.48</v>
      </c>
      <c r="M1076">
        <f>_xll.ciqfunctions.udf.CIQ(A1076, "IQ_LASTSALEPRICE", WORKDAY(F1076,5))</f>
        <v>2.13</v>
      </c>
      <c r="N1076">
        <f t="shared" si="32"/>
        <v>4.9596941139372186E-2</v>
      </c>
      <c r="O1076">
        <f t="shared" si="33"/>
        <v>-0.10253963931618491</v>
      </c>
      <c r="P1076">
        <f>LN(_xll.ciqfunctions.udf.CIQ("XBI", "IQ_LASTSALEPRICE", WORKDAY(F1076,-1))/_xll.ciqfunctions.udf.CIQ("XBI", "IQ_LASTSALEPRICE", WORKDAY(F1076,1)))</f>
        <v>-4.2681323343453093E-3</v>
      </c>
      <c r="Q1076">
        <f>LN(_xll.ciqfunctions.udf.CIQ("XBI", "IQ_LASTSALEPRICE", WORKDAY(F1076,-1))/_xll.ciqfunctions.udf.CIQ("XBI", "IQ_LASTSALEPRICE", WORKDAY(F1076,5)))</f>
        <v>2.6111144003685804E-2</v>
      </c>
      <c r="R1076">
        <f>_xll.ciqfunctions.udf.CIQ(A1076, "IQ_SHORT_INTEREST_PERCENT", F1076)</f>
        <v>10.48621</v>
      </c>
      <c r="S1076">
        <f>_xll.ciqfunctions.udf.CIQ(A1076, "IQ_BETA_1YR_RSQ", F1076)</f>
        <v>0.23432</v>
      </c>
      <c r="T1076">
        <f>_xll.ciqfunctions.udf.CIQ(A1076, "IQ_VALUE_TRADED", F1076)</f>
        <v>14.559979999999999</v>
      </c>
    </row>
    <row r="1077" spans="1:20" x14ac:dyDescent="0.3">
      <c r="A1077" t="s">
        <v>1685</v>
      </c>
      <c r="B1077" s="2">
        <v>24.82</v>
      </c>
      <c r="C1077" t="s">
        <v>2935</v>
      </c>
      <c r="D1077" t="s">
        <v>969</v>
      </c>
      <c r="E1077" t="s">
        <v>17</v>
      </c>
      <c r="F1077" s="1">
        <v>45432</v>
      </c>
      <c r="G1077" t="s">
        <v>2936</v>
      </c>
      <c r="H1077">
        <v>138</v>
      </c>
      <c r="I1077">
        <f>_xll.ciqfunctions.udf.CIQ(A1077, "IQ_MARKETCAP", F1077)</f>
        <v>3082.6497100000001</v>
      </c>
      <c r="J1077">
        <f>_xll.ciqfunctions.udf.CIQ(A1077, "IQ_PRICE_VOL_HIST_6MTH", F1077)</f>
        <v>78.909899999999993</v>
      </c>
      <c r="K1077">
        <f>_xll.ciqfunctions.udf.CIQ(A1077, "IQ_LASTSALEPRICE", WORKDAY(F1077,-1))</f>
        <v>24.77</v>
      </c>
      <c r="L1077">
        <f>_xll.ciqfunctions.udf.CIQ(A1077, "IQ_LASTSALEPRICE", F1077)</f>
        <v>24.82</v>
      </c>
      <c r="M1077">
        <f>_xll.ciqfunctions.udf.CIQ(A1077, "IQ_LASTSALEPRICE", WORKDAY(F1077,5))</f>
        <v>24.88</v>
      </c>
      <c r="N1077">
        <f t="shared" si="32"/>
        <v>2.0165362751930487E-3</v>
      </c>
      <c r="O1077">
        <f t="shared" si="33"/>
        <v>4.4310243697105204E-3</v>
      </c>
      <c r="P1077">
        <f>LN(_xll.ciqfunctions.udf.CIQ("XBI", "IQ_LASTSALEPRICE", WORKDAY(F1077,-1))/_xll.ciqfunctions.udf.CIQ("XBI", "IQ_LASTSALEPRICE", WORKDAY(F1077,1)))</f>
        <v>-4.2681323343453093E-3</v>
      </c>
      <c r="Q1077">
        <f>LN(_xll.ciqfunctions.udf.CIQ("XBI", "IQ_LASTSALEPRICE", WORKDAY(F1077,-1))/_xll.ciqfunctions.udf.CIQ("XBI", "IQ_LASTSALEPRICE", WORKDAY(F1077,5)))</f>
        <v>2.6111144003685804E-2</v>
      </c>
      <c r="R1077">
        <f>_xll.ciqfunctions.udf.CIQ(A1077, "IQ_SHORT_INTEREST_PERCENT", F1077)</f>
        <v>7.7404500000000001</v>
      </c>
      <c r="S1077">
        <f>_xll.ciqfunctions.udf.CIQ(A1077, "IQ_BETA_1YR_RSQ", F1077)</f>
        <v>0.18257999999999999</v>
      </c>
      <c r="T1077">
        <f>_xll.ciqfunctions.udf.CIQ(A1077, "IQ_VALUE_TRADED", F1077)</f>
        <v>11.02909</v>
      </c>
    </row>
    <row r="1078" spans="1:20" x14ac:dyDescent="0.3">
      <c r="A1078" t="s">
        <v>1380</v>
      </c>
      <c r="B1078" s="2">
        <v>312.35000000000002</v>
      </c>
      <c r="C1078" t="s">
        <v>2937</v>
      </c>
      <c r="D1078" t="s">
        <v>140</v>
      </c>
      <c r="E1078" t="s">
        <v>76</v>
      </c>
      <c r="F1078" s="1">
        <v>45432</v>
      </c>
      <c r="G1078" t="s">
        <v>2938</v>
      </c>
      <c r="H1078">
        <v>538</v>
      </c>
      <c r="I1078">
        <f>_xll.ciqfunctions.udf.CIQ(A1078, "IQ_MARKETCAP", F1078)</f>
        <v>168730.16802000001</v>
      </c>
      <c r="J1078">
        <f>_xll.ciqfunctions.udf.CIQ(A1078, "IQ_PRICE_VOL_HIST_6MTH", F1078)</f>
        <v>26.732299999999999</v>
      </c>
      <c r="K1078">
        <f>_xll.ciqfunctions.udf.CIQ(A1078, "IQ_LASTSALEPRICE", WORKDAY(F1078,-1))</f>
        <v>312.47000000000003</v>
      </c>
      <c r="L1078">
        <f>_xll.ciqfunctions.udf.CIQ(A1078, "IQ_LASTSALEPRICE", F1078)</f>
        <v>314.54000000000002</v>
      </c>
      <c r="M1078">
        <f>_xll.ciqfunctions.udf.CIQ(A1078, "IQ_LASTSALEPRICE", WORKDAY(F1078,5))</f>
        <v>305.83999999999997</v>
      </c>
      <c r="N1078">
        <f t="shared" si="32"/>
        <v>6.6027894944180711E-3</v>
      </c>
      <c r="O1078">
        <f t="shared" si="33"/>
        <v>-2.1446375180004036E-2</v>
      </c>
      <c r="P1078">
        <f>LN(_xll.ciqfunctions.udf.CIQ("XBI", "IQ_LASTSALEPRICE", WORKDAY(F1078,-1))/_xll.ciqfunctions.udf.CIQ("XBI", "IQ_LASTSALEPRICE", WORKDAY(F1078,1)))</f>
        <v>-4.2681323343453093E-3</v>
      </c>
      <c r="Q1078">
        <f>LN(_xll.ciqfunctions.udf.CIQ("XBI", "IQ_LASTSALEPRICE", WORKDAY(F1078,-1))/_xll.ciqfunctions.udf.CIQ("XBI", "IQ_LASTSALEPRICE", WORKDAY(F1078,5)))</f>
        <v>2.6111144003685804E-2</v>
      </c>
      <c r="R1078">
        <f>_xll.ciqfunctions.udf.CIQ(A1078, "IQ_SHORT_INTEREST_PERCENT", F1078)</f>
        <v>1.8111600000000001</v>
      </c>
      <c r="S1078">
        <f>_xll.ciqfunctions.udf.CIQ(A1078, "IQ_BETA_1YR_RSQ", F1078)</f>
        <v>2.1059999999999999E-2</v>
      </c>
      <c r="T1078">
        <f>_xll.ciqfunctions.udf.CIQ(A1078, "IQ_VALUE_TRADED", F1078)</f>
        <v>438.71505000000002</v>
      </c>
    </row>
    <row r="1079" spans="1:20" x14ac:dyDescent="0.3">
      <c r="A1079" t="s">
        <v>478</v>
      </c>
      <c r="B1079" s="2">
        <v>66.489999999999995</v>
      </c>
      <c r="C1079" t="s">
        <v>2939</v>
      </c>
      <c r="D1079" t="s">
        <v>2940</v>
      </c>
      <c r="E1079" t="s">
        <v>36</v>
      </c>
      <c r="F1079" s="1">
        <v>45432</v>
      </c>
      <c r="G1079" t="s">
        <v>2941</v>
      </c>
      <c r="I1079">
        <f>_xll.ciqfunctions.udf.CIQ(A1079, "IQ_MARKETCAP", F1079)</f>
        <v>84593.432889999996</v>
      </c>
      <c r="J1079">
        <f>_xll.ciqfunctions.udf.CIQ(A1079, "IQ_PRICE_VOL_HIST_6MTH", F1079)</f>
        <v>24.019100000000002</v>
      </c>
      <c r="K1079">
        <f>_xll.ciqfunctions.udf.CIQ(A1079, "IQ_LASTSALEPRICE", WORKDAY(F1079,-1))</f>
        <v>67.72</v>
      </c>
      <c r="L1079">
        <f>_xll.ciqfunctions.udf.CIQ(A1079, "IQ_LASTSALEPRICE", F1079)</f>
        <v>67.900000000000006</v>
      </c>
      <c r="M1079">
        <f>_xll.ciqfunctions.udf.CIQ(A1079, "IQ_LASTSALEPRICE", WORKDAY(F1079,5))</f>
        <v>65.680000000000007</v>
      </c>
      <c r="N1079">
        <f t="shared" si="32"/>
        <v>2.6544772997160676E-3</v>
      </c>
      <c r="O1079">
        <f t="shared" si="33"/>
        <v>-3.0587092120761616E-2</v>
      </c>
      <c r="P1079">
        <f>LN(_xll.ciqfunctions.udf.CIQ("XBI", "IQ_LASTSALEPRICE", WORKDAY(F1079,-1))/_xll.ciqfunctions.udf.CIQ("XBI", "IQ_LASTSALEPRICE", WORKDAY(F1079,1)))</f>
        <v>-4.2681323343453093E-3</v>
      </c>
      <c r="Q1079">
        <f>LN(_xll.ciqfunctions.udf.CIQ("XBI", "IQ_LASTSALEPRICE", WORKDAY(F1079,-1))/_xll.ciqfunctions.udf.CIQ("XBI", "IQ_LASTSALEPRICE", WORKDAY(F1079,5)))</f>
        <v>2.6111144003685804E-2</v>
      </c>
      <c r="R1079">
        <f>_xll.ciqfunctions.udf.CIQ(A1079, "IQ_SHORT_INTEREST_PERCENT", F1079)</f>
        <v>1.6984300000000001</v>
      </c>
      <c r="S1079">
        <f>_xll.ciqfunctions.udf.CIQ(A1079, "IQ_BETA_1YR_RSQ", F1079)</f>
        <v>7.1410000000000001E-2</v>
      </c>
      <c r="T1079">
        <f>_xll.ciqfunctions.udf.CIQ(A1079, "IQ_VALUE_TRADED", F1079)</f>
        <v>320.47809000000001</v>
      </c>
    </row>
    <row r="1080" spans="1:20" x14ac:dyDescent="0.3">
      <c r="A1080" t="s">
        <v>1392</v>
      </c>
      <c r="B1080" s="2">
        <v>13.92</v>
      </c>
      <c r="C1080" t="s">
        <v>2942</v>
      </c>
      <c r="D1080" t="s">
        <v>104</v>
      </c>
      <c r="E1080" t="s">
        <v>22</v>
      </c>
      <c r="F1080" s="1">
        <v>45432</v>
      </c>
      <c r="G1080" t="s">
        <v>2943</v>
      </c>
      <c r="H1080">
        <v>6</v>
      </c>
      <c r="I1080">
        <f>_xll.ciqfunctions.udf.CIQ(A1080, "IQ_MARKETCAP", F1080)</f>
        <v>5.4155800000000003</v>
      </c>
      <c r="J1080">
        <f>_xll.ciqfunctions.udf.CIQ(A1080, "IQ_PRICE_VOL_HIST_6MTH", F1080)</f>
        <v>86.020300000000006</v>
      </c>
      <c r="K1080">
        <f>_xll.ciqfunctions.udf.CIQ(A1080, "IQ_LASTSALEPRICE", WORKDAY(F1080,-1))</f>
        <v>14.72</v>
      </c>
      <c r="L1080">
        <f>_xll.ciqfunctions.udf.CIQ(A1080, "IQ_LASTSALEPRICE", F1080)</f>
        <v>13.92</v>
      </c>
      <c r="M1080">
        <f>_xll.ciqfunctions.udf.CIQ(A1080, "IQ_LASTSALEPRICE", WORKDAY(F1080,5))</f>
        <v>13.2</v>
      </c>
      <c r="N1080">
        <f t="shared" si="32"/>
        <v>-5.5880458394456614E-2</v>
      </c>
      <c r="O1080">
        <f t="shared" si="33"/>
        <v>-0.10899028370840515</v>
      </c>
      <c r="P1080">
        <f>LN(_xll.ciqfunctions.udf.CIQ("XBI", "IQ_LASTSALEPRICE", WORKDAY(F1080,-1))/_xll.ciqfunctions.udf.CIQ("XBI", "IQ_LASTSALEPRICE", WORKDAY(F1080,1)))</f>
        <v>-4.2681323343453093E-3</v>
      </c>
      <c r="Q1080">
        <f>LN(_xll.ciqfunctions.udf.CIQ("XBI", "IQ_LASTSALEPRICE", WORKDAY(F1080,-1))/_xll.ciqfunctions.udf.CIQ("XBI", "IQ_LASTSALEPRICE", WORKDAY(F1080,5)))</f>
        <v>2.6111144003685804E-2</v>
      </c>
      <c r="R1080">
        <f>_xll.ciqfunctions.udf.CIQ(A1080, "IQ_SHORT_INTEREST_PERCENT", F1080)</f>
        <v>12.857699999999999</v>
      </c>
      <c r="S1080">
        <f>_xll.ciqfunctions.udf.CIQ(A1080, "IQ_BETA_1YR_RSQ", F1080)</f>
        <v>6.6489999999999994E-2</v>
      </c>
      <c r="T1080">
        <f>_xll.ciqfunctions.udf.CIQ(A1080, "IQ_VALUE_TRADED", F1080)</f>
        <v>7.1840000000000001E-2</v>
      </c>
    </row>
    <row r="1081" spans="1:20" x14ac:dyDescent="0.3">
      <c r="A1081" t="s">
        <v>618</v>
      </c>
      <c r="B1081" s="2">
        <v>32.770000000000003</v>
      </c>
      <c r="C1081" t="s">
        <v>2944</v>
      </c>
      <c r="D1081" t="s">
        <v>2945</v>
      </c>
      <c r="E1081" t="s">
        <v>17</v>
      </c>
      <c r="F1081" s="1">
        <v>45432</v>
      </c>
      <c r="G1081" t="s">
        <v>2946</v>
      </c>
      <c r="I1081">
        <f>_xll.ciqfunctions.udf.CIQ(A1081, "IQ_MARKETCAP", F1081)</f>
        <v>191277.24526</v>
      </c>
      <c r="J1081">
        <f>_xll.ciqfunctions.udf.CIQ(A1081, "IQ_PRICE_VOL_HIST_6MTH", F1081)</f>
        <v>0</v>
      </c>
      <c r="K1081">
        <f>_xll.ciqfunctions.udf.CIQ(A1081, "IQ_LASTSALEPRICE", WORKDAY(F1081,-1))</f>
        <v>0</v>
      </c>
      <c r="L1081">
        <f>_xll.ciqfunctions.udf.CIQ(A1081, "IQ_LASTSALEPRICE", F1081)</f>
        <v>0</v>
      </c>
      <c r="M1081">
        <f>_xll.ciqfunctions.udf.CIQ(A1081, "IQ_LASTSALEPRICE", WORKDAY(F1081,5))</f>
        <v>0</v>
      </c>
      <c r="N1081" t="e">
        <f t="shared" si="32"/>
        <v>#DIV/0!</v>
      </c>
      <c r="O1081" t="e">
        <f t="shared" si="33"/>
        <v>#DIV/0!</v>
      </c>
      <c r="P1081">
        <f>LN(_xll.ciqfunctions.udf.CIQ("XBI", "IQ_LASTSALEPRICE", WORKDAY(F1081,-1))/_xll.ciqfunctions.udf.CIQ("XBI", "IQ_LASTSALEPRICE", WORKDAY(F1081,1)))</f>
        <v>-4.2681323343453093E-3</v>
      </c>
      <c r="Q1081">
        <f>LN(_xll.ciqfunctions.udf.CIQ("XBI", "IQ_LASTSALEPRICE", WORKDAY(F1081,-1))/_xll.ciqfunctions.udf.CIQ("XBI", "IQ_LASTSALEPRICE", WORKDAY(F1081,5)))</f>
        <v>2.6111144003685804E-2</v>
      </c>
      <c r="R1081">
        <f>_xll.ciqfunctions.udf.CIQ(A1081, "IQ_SHORT_INTEREST_PERCENT", F1081)</f>
        <v>0</v>
      </c>
      <c r="S1081">
        <f>_xll.ciqfunctions.udf.CIQ(A1081, "IQ_BETA_1YR_RSQ", F1081)</f>
        <v>0</v>
      </c>
      <c r="T1081">
        <f>_xll.ciqfunctions.udf.CIQ(A1081, "IQ_VALUE_TRADED", F1081)</f>
        <v>0</v>
      </c>
    </row>
    <row r="1082" spans="1:20" x14ac:dyDescent="0.3">
      <c r="A1082" t="s">
        <v>1392</v>
      </c>
      <c r="B1082" s="2">
        <v>13.92</v>
      </c>
      <c r="C1082" t="s">
        <v>2944</v>
      </c>
      <c r="D1082" t="s">
        <v>2945</v>
      </c>
      <c r="E1082" t="s">
        <v>17</v>
      </c>
      <c r="F1082" s="1">
        <v>45432</v>
      </c>
      <c r="G1082" t="s">
        <v>2946</v>
      </c>
      <c r="H1082">
        <v>6</v>
      </c>
      <c r="I1082">
        <f>_xll.ciqfunctions.udf.CIQ(A1082, "IQ_MARKETCAP", F1082)</f>
        <v>5.4155800000000003</v>
      </c>
      <c r="J1082">
        <f>_xll.ciqfunctions.udf.CIQ(A1082, "IQ_PRICE_VOL_HIST_6MTH", F1082)</f>
        <v>86.020300000000006</v>
      </c>
      <c r="K1082">
        <f>_xll.ciqfunctions.udf.CIQ(A1082, "IQ_LASTSALEPRICE", WORKDAY(F1082,-1))</f>
        <v>14.72</v>
      </c>
      <c r="L1082">
        <f>_xll.ciqfunctions.udf.CIQ(A1082, "IQ_LASTSALEPRICE", F1082)</f>
        <v>13.92</v>
      </c>
      <c r="M1082">
        <f>_xll.ciqfunctions.udf.CIQ(A1082, "IQ_LASTSALEPRICE", WORKDAY(F1082,5))</f>
        <v>13.2</v>
      </c>
      <c r="N1082">
        <f t="shared" si="32"/>
        <v>-5.5880458394456614E-2</v>
      </c>
      <c r="O1082">
        <f t="shared" si="33"/>
        <v>-0.10899028370840515</v>
      </c>
      <c r="P1082">
        <f>LN(_xll.ciqfunctions.udf.CIQ("XBI", "IQ_LASTSALEPRICE", WORKDAY(F1082,-1))/_xll.ciqfunctions.udf.CIQ("XBI", "IQ_LASTSALEPRICE", WORKDAY(F1082,1)))</f>
        <v>-4.2681323343453093E-3</v>
      </c>
      <c r="Q1082">
        <f>LN(_xll.ciqfunctions.udf.CIQ("XBI", "IQ_LASTSALEPRICE", WORKDAY(F1082,-1))/_xll.ciqfunctions.udf.CIQ("XBI", "IQ_LASTSALEPRICE", WORKDAY(F1082,5)))</f>
        <v>2.6111144003685804E-2</v>
      </c>
      <c r="R1082">
        <f>_xll.ciqfunctions.udf.CIQ(A1082, "IQ_SHORT_INTEREST_PERCENT", F1082)</f>
        <v>12.857699999999999</v>
      </c>
      <c r="S1082">
        <f>_xll.ciqfunctions.udf.CIQ(A1082, "IQ_BETA_1YR_RSQ", F1082)</f>
        <v>6.6489999999999994E-2</v>
      </c>
      <c r="T1082">
        <f>_xll.ciqfunctions.udf.CIQ(A1082, "IQ_VALUE_TRADED", F1082)</f>
        <v>7.1840000000000001E-2</v>
      </c>
    </row>
    <row r="1083" spans="1:20" x14ac:dyDescent="0.3">
      <c r="A1083" t="s">
        <v>2947</v>
      </c>
      <c r="B1083" s="2">
        <v>5.59</v>
      </c>
      <c r="C1083" t="s">
        <v>2948</v>
      </c>
      <c r="D1083" t="s">
        <v>2293</v>
      </c>
      <c r="E1083" t="s">
        <v>89</v>
      </c>
      <c r="F1083" s="1">
        <v>45432</v>
      </c>
      <c r="G1083" t="s">
        <v>2949</v>
      </c>
      <c r="H1083">
        <v>2</v>
      </c>
      <c r="I1083">
        <f>_xll.ciqfunctions.udf.CIQ(A1083, "IQ_MARKETCAP", F1083)</f>
        <v>1.6230199999999999</v>
      </c>
      <c r="J1083">
        <f>_xll.ciqfunctions.udf.CIQ(A1083, "IQ_PRICE_VOL_HIST_6MTH", F1083)</f>
        <v>150.55289999999999</v>
      </c>
      <c r="K1083">
        <f>_xll.ciqfunctions.udf.CIQ(A1083, "IQ_LASTSALEPRICE", WORKDAY(F1083,-1))</f>
        <v>92.82002</v>
      </c>
      <c r="L1083">
        <f>_xll.ciqfunctions.udf.CIQ(A1083, "IQ_LASTSALEPRICE", F1083)</f>
        <v>95.030019999999993</v>
      </c>
      <c r="M1083">
        <f>_xll.ciqfunctions.udf.CIQ(A1083, "IQ_LASTSALEPRICE", WORKDAY(F1083,5))</f>
        <v>70.278009999999995</v>
      </c>
      <c r="N1083">
        <f t="shared" si="32"/>
        <v>2.3530492399246303E-2</v>
      </c>
      <c r="O1083">
        <f t="shared" si="33"/>
        <v>-0.27820340167598767</v>
      </c>
      <c r="P1083">
        <f>LN(_xll.ciqfunctions.udf.CIQ("XBI", "IQ_LASTSALEPRICE", WORKDAY(F1083,-1))/_xll.ciqfunctions.udf.CIQ("XBI", "IQ_LASTSALEPRICE", WORKDAY(F1083,1)))</f>
        <v>-4.2681323343453093E-3</v>
      </c>
      <c r="Q1083">
        <f>LN(_xll.ciqfunctions.udf.CIQ("XBI", "IQ_LASTSALEPRICE", WORKDAY(F1083,-1))/_xll.ciqfunctions.udf.CIQ("XBI", "IQ_LASTSALEPRICE", WORKDAY(F1083,5)))</f>
        <v>2.6111144003685804E-2</v>
      </c>
      <c r="R1083">
        <f>_xll.ciqfunctions.udf.CIQ(A1083, "IQ_SHORT_INTEREST_PERCENT", F1083)</f>
        <v>0.43047000000000002</v>
      </c>
      <c r="S1083">
        <f>_xll.ciqfunctions.udf.CIQ(A1083, "IQ_BETA_1YR_RSQ", F1083)</f>
        <v>2.2899999999999999E-3</v>
      </c>
      <c r="T1083">
        <f>_xll.ciqfunctions.udf.CIQ(A1083, "IQ_VALUE_TRADED", F1083)</f>
        <v>1.09731</v>
      </c>
    </row>
    <row r="1084" spans="1:20" x14ac:dyDescent="0.3">
      <c r="A1084" t="s">
        <v>2950</v>
      </c>
      <c r="B1084" s="2">
        <v>54.6</v>
      </c>
      <c r="C1084" t="s">
        <v>2951</v>
      </c>
      <c r="D1084" t="s">
        <v>2952</v>
      </c>
      <c r="E1084" t="s">
        <v>89</v>
      </c>
      <c r="F1084" s="1">
        <v>45432</v>
      </c>
      <c r="G1084" t="s">
        <v>2953</v>
      </c>
      <c r="H1084">
        <v>9</v>
      </c>
      <c r="I1084">
        <f>_xll.ciqfunctions.udf.CIQ(A1084, "IQ_MARKETCAP", F1084)</f>
        <v>506.30509000000001</v>
      </c>
      <c r="J1084">
        <f>_xll.ciqfunctions.udf.CIQ(A1084, "IQ_PRICE_VOL_HIST_6MTH", F1084)</f>
        <v>95.423299999999998</v>
      </c>
      <c r="K1084">
        <f>_xll.ciqfunctions.udf.CIQ(A1084, "IQ_LASTSALEPRICE", WORKDAY(F1084,-1))</f>
        <v>54.66</v>
      </c>
      <c r="L1084">
        <f>_xll.ciqfunctions.udf.CIQ(A1084, "IQ_LASTSALEPRICE", F1084)</f>
        <v>54.6</v>
      </c>
      <c r="M1084">
        <f>_xll.ciqfunctions.udf.CIQ(A1084, "IQ_LASTSALEPRICE", WORKDAY(F1084,5))</f>
        <v>48.85</v>
      </c>
      <c r="N1084">
        <f t="shared" si="32"/>
        <v>-1.0982977490624545E-3</v>
      </c>
      <c r="O1084">
        <f t="shared" si="33"/>
        <v>-0.11237780201113015</v>
      </c>
      <c r="P1084">
        <f>LN(_xll.ciqfunctions.udf.CIQ("XBI", "IQ_LASTSALEPRICE", WORKDAY(F1084,-1))/_xll.ciqfunctions.udf.CIQ("XBI", "IQ_LASTSALEPRICE", WORKDAY(F1084,1)))</f>
        <v>-4.2681323343453093E-3</v>
      </c>
      <c r="Q1084">
        <f>LN(_xll.ciqfunctions.udf.CIQ("XBI", "IQ_LASTSALEPRICE", WORKDAY(F1084,-1))/_xll.ciqfunctions.udf.CIQ("XBI", "IQ_LASTSALEPRICE", WORKDAY(F1084,5)))</f>
        <v>2.6111144003685804E-2</v>
      </c>
      <c r="R1084">
        <f>_xll.ciqfunctions.udf.CIQ(A1084, "IQ_SHORT_INTEREST_PERCENT", F1084)</f>
        <v>1.3370200000000001</v>
      </c>
      <c r="S1084">
        <f>_xll.ciqfunctions.udf.CIQ(A1084, "IQ_BETA_1YR_RSQ", F1084)</f>
        <v>1.1E-4</v>
      </c>
      <c r="T1084">
        <f>_xll.ciqfunctions.udf.CIQ(A1084, "IQ_VALUE_TRADED", F1084)</f>
        <v>2.0358700000000001</v>
      </c>
    </row>
    <row r="1085" spans="1:20" x14ac:dyDescent="0.3">
      <c r="A1085" t="s">
        <v>785</v>
      </c>
      <c r="B1085" s="2">
        <v>7.27</v>
      </c>
      <c r="C1085" t="s">
        <v>786</v>
      </c>
      <c r="D1085" t="s">
        <v>787</v>
      </c>
      <c r="E1085" t="s">
        <v>76</v>
      </c>
      <c r="F1085" s="1">
        <v>45432</v>
      </c>
      <c r="G1085" t="s">
        <v>2954</v>
      </c>
      <c r="H1085">
        <v>85</v>
      </c>
      <c r="I1085">
        <f>_xll.ciqfunctions.udf.CIQ(A1085, "IQ_MARKETCAP", F1085)</f>
        <v>463.84066000000001</v>
      </c>
      <c r="J1085">
        <f>_xll.ciqfunctions.udf.CIQ(A1085, "IQ_PRICE_VOL_HIST_6MTH", F1085)</f>
        <v>91.0578</v>
      </c>
      <c r="K1085">
        <f>_xll.ciqfunctions.udf.CIQ(A1085, "IQ_LASTSALEPRICE", WORKDAY(F1085,-1))</f>
        <v>7.38</v>
      </c>
      <c r="L1085">
        <f>_xll.ciqfunctions.udf.CIQ(A1085, "IQ_LASTSALEPRICE", F1085)</f>
        <v>7.27</v>
      </c>
      <c r="M1085">
        <f>_xll.ciqfunctions.udf.CIQ(A1085, "IQ_LASTSALEPRICE", WORKDAY(F1085,5))</f>
        <v>7.08</v>
      </c>
      <c r="N1085">
        <f t="shared" si="32"/>
        <v>-1.5017347066953157E-2</v>
      </c>
      <c r="O1085">
        <f t="shared" si="33"/>
        <v>-4.1499730906752734E-2</v>
      </c>
      <c r="P1085">
        <f>LN(_xll.ciqfunctions.udf.CIQ("XBI", "IQ_LASTSALEPRICE", WORKDAY(F1085,-1))/_xll.ciqfunctions.udf.CIQ("XBI", "IQ_LASTSALEPRICE", WORKDAY(F1085,1)))</f>
        <v>-4.2681323343453093E-3</v>
      </c>
      <c r="Q1085">
        <f>LN(_xll.ciqfunctions.udf.CIQ("XBI", "IQ_LASTSALEPRICE", WORKDAY(F1085,-1))/_xll.ciqfunctions.udf.CIQ("XBI", "IQ_LASTSALEPRICE", WORKDAY(F1085,5)))</f>
        <v>2.6111144003685804E-2</v>
      </c>
      <c r="R1085">
        <f>_xll.ciqfunctions.udf.CIQ(A1085, "IQ_SHORT_INTEREST_PERCENT", F1085)</f>
        <v>6.1204799999999997</v>
      </c>
      <c r="S1085">
        <f>_xll.ciqfunctions.udf.CIQ(A1085, "IQ_BETA_1YR_RSQ", F1085)</f>
        <v>2.682E-2</v>
      </c>
      <c r="T1085">
        <f>_xll.ciqfunctions.udf.CIQ(A1085, "IQ_VALUE_TRADED", F1085)</f>
        <v>5.6227600000000004</v>
      </c>
    </row>
    <row r="1086" spans="1:20" x14ac:dyDescent="0.3">
      <c r="A1086" t="s">
        <v>1211</v>
      </c>
      <c r="B1086" s="2">
        <v>28.21</v>
      </c>
      <c r="C1086" t="s">
        <v>2955</v>
      </c>
      <c r="D1086" t="s">
        <v>2956</v>
      </c>
      <c r="E1086" t="s">
        <v>17</v>
      </c>
      <c r="F1086" s="1">
        <v>45432</v>
      </c>
      <c r="G1086" t="s">
        <v>2957</v>
      </c>
      <c r="H1086">
        <v>3</v>
      </c>
      <c r="I1086">
        <f>_xll.ciqfunctions.udf.CIQ(A1086, "IQ_MARKETCAP", F1086)</f>
        <v>180.64116000000001</v>
      </c>
      <c r="J1086">
        <f>_xll.ciqfunctions.udf.CIQ(A1086, "IQ_PRICE_VOL_HIST_6MTH", F1086)</f>
        <v>159.84360000000001</v>
      </c>
      <c r="K1086">
        <f>_xll.ciqfunctions.udf.CIQ(A1086, "IQ_LASTSALEPRICE", WORKDAY(F1086,-1))</f>
        <v>27.9</v>
      </c>
      <c r="L1086">
        <f>_xll.ciqfunctions.udf.CIQ(A1086, "IQ_LASTSALEPRICE", F1086)</f>
        <v>28.21</v>
      </c>
      <c r="M1086">
        <f>_xll.ciqfunctions.udf.CIQ(A1086, "IQ_LASTSALEPRICE", WORKDAY(F1086,5))</f>
        <v>27.72</v>
      </c>
      <c r="N1086">
        <f t="shared" si="32"/>
        <v>1.1049836186585156E-2</v>
      </c>
      <c r="O1086">
        <f t="shared" si="33"/>
        <v>-6.4725145056174788E-3</v>
      </c>
      <c r="P1086">
        <f>LN(_xll.ciqfunctions.udf.CIQ("XBI", "IQ_LASTSALEPRICE", WORKDAY(F1086,-1))/_xll.ciqfunctions.udf.CIQ("XBI", "IQ_LASTSALEPRICE", WORKDAY(F1086,1)))</f>
        <v>-4.2681323343453093E-3</v>
      </c>
      <c r="Q1086">
        <f>LN(_xll.ciqfunctions.udf.CIQ("XBI", "IQ_LASTSALEPRICE", WORKDAY(F1086,-1))/_xll.ciqfunctions.udf.CIQ("XBI", "IQ_LASTSALEPRICE", WORKDAY(F1086,5)))</f>
        <v>2.6111144003685804E-2</v>
      </c>
      <c r="R1086">
        <f>_xll.ciqfunctions.udf.CIQ(A1086, "IQ_SHORT_INTEREST_PERCENT", F1086)</f>
        <v>0.41543000000000002</v>
      </c>
      <c r="S1086">
        <f>_xll.ciqfunctions.udf.CIQ(A1086, "IQ_BETA_1YR_RSQ", F1086)</f>
        <v>5.1999999999999995E-4</v>
      </c>
      <c r="T1086">
        <f>_xll.ciqfunctions.udf.CIQ(A1086, "IQ_VALUE_TRADED", F1086)</f>
        <v>0.26867000000000002</v>
      </c>
    </row>
    <row r="1087" spans="1:20" x14ac:dyDescent="0.3">
      <c r="A1087" t="s">
        <v>666</v>
      </c>
      <c r="B1087" s="2">
        <v>30.5</v>
      </c>
      <c r="C1087" t="s">
        <v>667</v>
      </c>
      <c r="D1087" t="s">
        <v>668</v>
      </c>
      <c r="E1087" t="s">
        <v>17</v>
      </c>
      <c r="F1087" s="1">
        <v>45432</v>
      </c>
      <c r="G1087" t="s">
        <v>2958</v>
      </c>
      <c r="H1087">
        <v>27</v>
      </c>
      <c r="I1087">
        <f>_xll.ciqfunctions.udf.CIQ(A1087, "IQ_MARKETCAP", F1087)</f>
        <v>821.42069000000004</v>
      </c>
      <c r="J1087">
        <f>_xll.ciqfunctions.udf.CIQ(A1087, "IQ_PRICE_VOL_HIST_6MTH", F1087)</f>
        <v>64.610100000000003</v>
      </c>
      <c r="K1087">
        <f>_xll.ciqfunctions.udf.CIQ(A1087, "IQ_LASTSALEPRICE", WORKDAY(F1087,-1))</f>
        <v>29.78</v>
      </c>
      <c r="L1087">
        <f>_xll.ciqfunctions.udf.CIQ(A1087, "IQ_LASTSALEPRICE", F1087)</f>
        <v>30.5</v>
      </c>
      <c r="M1087">
        <f>_xll.ciqfunctions.udf.CIQ(A1087, "IQ_LASTSALEPRICE", WORKDAY(F1087,5))</f>
        <v>30.41</v>
      </c>
      <c r="N1087">
        <f t="shared" si="32"/>
        <v>2.3889656357503078E-2</v>
      </c>
      <c r="O1087">
        <f t="shared" si="33"/>
        <v>2.0934474433410382E-2</v>
      </c>
      <c r="P1087">
        <f>LN(_xll.ciqfunctions.udf.CIQ("XBI", "IQ_LASTSALEPRICE", WORKDAY(F1087,-1))/_xll.ciqfunctions.udf.CIQ("XBI", "IQ_LASTSALEPRICE", WORKDAY(F1087,1)))</f>
        <v>-4.2681323343453093E-3</v>
      </c>
      <c r="Q1087">
        <f>LN(_xll.ciqfunctions.udf.CIQ("XBI", "IQ_LASTSALEPRICE", WORKDAY(F1087,-1))/_xll.ciqfunctions.udf.CIQ("XBI", "IQ_LASTSALEPRICE", WORKDAY(F1087,5)))</f>
        <v>2.6111144003685804E-2</v>
      </c>
      <c r="R1087">
        <f>_xll.ciqfunctions.udf.CIQ(A1087, "IQ_SHORT_INTEREST_PERCENT", F1087)</f>
        <v>18.254660000000001</v>
      </c>
      <c r="S1087">
        <f>_xll.ciqfunctions.udf.CIQ(A1087, "IQ_BETA_1YR_RSQ", F1087)</f>
        <v>0.29851</v>
      </c>
      <c r="T1087">
        <f>_xll.ciqfunctions.udf.CIQ(A1087, "IQ_VALUE_TRADED", F1087)</f>
        <v>9.5133500000000009</v>
      </c>
    </row>
    <row r="1088" spans="1:20" x14ac:dyDescent="0.3">
      <c r="A1088" t="s">
        <v>670</v>
      </c>
      <c r="B1088" s="2">
        <v>92.08</v>
      </c>
      <c r="C1088" t="s">
        <v>667</v>
      </c>
      <c r="D1088" t="s">
        <v>668</v>
      </c>
      <c r="E1088" t="s">
        <v>17</v>
      </c>
      <c r="F1088" s="1">
        <v>45432</v>
      </c>
      <c r="G1088" t="s">
        <v>2958</v>
      </c>
      <c r="H1088">
        <v>968</v>
      </c>
      <c r="I1088">
        <f>_xll.ciqfunctions.udf.CIQ(A1088, "IQ_MARKETCAP", F1088)</f>
        <v>134295.93338999999</v>
      </c>
      <c r="J1088">
        <f>_xll.ciqfunctions.udf.CIQ(A1088, "IQ_PRICE_VOL_HIST_6MTH", F1088)</f>
        <v>0</v>
      </c>
      <c r="K1088">
        <f>_xll.ciqfunctions.udf.CIQ(A1088, "IQ_LASTSALEPRICE", WORKDAY(F1088,-1))</f>
        <v>0</v>
      </c>
      <c r="L1088">
        <f>_xll.ciqfunctions.udf.CIQ(A1088, "IQ_LASTSALEPRICE", F1088)</f>
        <v>0</v>
      </c>
      <c r="M1088">
        <f>_xll.ciqfunctions.udf.CIQ(A1088, "IQ_LASTSALEPRICE", WORKDAY(F1088,5))</f>
        <v>0</v>
      </c>
      <c r="N1088" t="e">
        <f t="shared" si="32"/>
        <v>#DIV/0!</v>
      </c>
      <c r="O1088" t="e">
        <f t="shared" si="33"/>
        <v>#DIV/0!</v>
      </c>
      <c r="P1088">
        <f>LN(_xll.ciqfunctions.udf.CIQ("XBI", "IQ_LASTSALEPRICE", WORKDAY(F1088,-1))/_xll.ciqfunctions.udf.CIQ("XBI", "IQ_LASTSALEPRICE", WORKDAY(F1088,1)))</f>
        <v>-4.2681323343453093E-3</v>
      </c>
      <c r="Q1088">
        <f>LN(_xll.ciqfunctions.udf.CIQ("XBI", "IQ_LASTSALEPRICE", WORKDAY(F1088,-1))/_xll.ciqfunctions.udf.CIQ("XBI", "IQ_LASTSALEPRICE", WORKDAY(F1088,5)))</f>
        <v>2.6111144003685804E-2</v>
      </c>
      <c r="R1088">
        <f>_xll.ciqfunctions.udf.CIQ(A1088, "IQ_SHORT_INTEREST_PERCENT", F1088)</f>
        <v>0</v>
      </c>
      <c r="S1088">
        <f>_xll.ciqfunctions.udf.CIQ(A1088, "IQ_BETA_1YR_RSQ", F1088)</f>
        <v>0</v>
      </c>
      <c r="T1088">
        <f>_xll.ciqfunctions.udf.CIQ(A1088, "IQ_VALUE_TRADED", F1088)</f>
        <v>0</v>
      </c>
    </row>
    <row r="1089" spans="1:20" x14ac:dyDescent="0.3">
      <c r="A1089" t="s">
        <v>2959</v>
      </c>
      <c r="B1089" s="2">
        <v>4.3</v>
      </c>
      <c r="C1089" t="s">
        <v>2960</v>
      </c>
      <c r="D1089" t="s">
        <v>2961</v>
      </c>
      <c r="E1089" t="s">
        <v>89</v>
      </c>
      <c r="F1089" s="1">
        <v>45433</v>
      </c>
      <c r="G1089" t="s">
        <v>2962</v>
      </c>
      <c r="H1089">
        <v>61</v>
      </c>
      <c r="I1089">
        <f>_xll.ciqfunctions.udf.CIQ(A1089, "IQ_MARKETCAP", F1089)</f>
        <v>262.59841</v>
      </c>
      <c r="J1089">
        <f>_xll.ciqfunctions.udf.CIQ(A1089, "IQ_PRICE_VOL_HIST_6MTH", F1089)</f>
        <v>109.9002</v>
      </c>
      <c r="K1089">
        <f>_xll.ciqfunctions.udf.CIQ(A1089, "IQ_LASTSALEPRICE", WORKDAY(F1089,-1))</f>
        <v>4.95</v>
      </c>
      <c r="L1089">
        <f>_xll.ciqfunctions.udf.CIQ(A1089, "IQ_LASTSALEPRICE", F1089)</f>
        <v>4.2949999999999999</v>
      </c>
      <c r="M1089">
        <f>_xll.ciqfunctions.udf.CIQ(A1089, "IQ_LASTSALEPRICE", WORKDAY(F1089,5))</f>
        <v>4.18</v>
      </c>
      <c r="N1089">
        <f t="shared" si="32"/>
        <v>-0.14193602114438034</v>
      </c>
      <c r="O1089">
        <f t="shared" si="33"/>
        <v>-0.16907633004393413</v>
      </c>
      <c r="P1089">
        <f>LN(_xll.ciqfunctions.udf.CIQ("XBI", "IQ_LASTSALEPRICE", WORKDAY(F1089,-1))/_xll.ciqfunctions.udf.CIQ("XBI", "IQ_LASTSALEPRICE", WORKDAY(F1089,1)))</f>
        <v>1.0843635848916287E-3</v>
      </c>
      <c r="Q1089">
        <f>LN(_xll.ciqfunctions.udf.CIQ("XBI", "IQ_LASTSALEPRICE", WORKDAY(F1089,-1))/_xll.ciqfunctions.udf.CIQ("XBI", "IQ_LASTSALEPRICE", WORKDAY(F1089,5)))</f>
        <v>3.4623083447838446E-2</v>
      </c>
      <c r="R1089">
        <f>_xll.ciqfunctions.udf.CIQ(A1089, "IQ_SHORT_INTEREST_PERCENT", F1089)</f>
        <v>3.1320100000000002</v>
      </c>
      <c r="S1089">
        <f>_xll.ciqfunctions.udf.CIQ(A1089, "IQ_BETA_1YR_RSQ", F1089)</f>
        <v>0.18287999999999999</v>
      </c>
      <c r="T1089">
        <f>_xll.ciqfunctions.udf.CIQ(A1089, "IQ_VALUE_TRADED", F1089)</f>
        <v>2.21366</v>
      </c>
    </row>
    <row r="1090" spans="1:20" x14ac:dyDescent="0.3">
      <c r="A1090" t="s">
        <v>1140</v>
      </c>
      <c r="B1090" s="2">
        <v>6.78</v>
      </c>
      <c r="C1090" t="s">
        <v>1141</v>
      </c>
      <c r="D1090" t="s">
        <v>1142</v>
      </c>
      <c r="E1090" t="s">
        <v>36</v>
      </c>
      <c r="F1090" s="1">
        <v>45433</v>
      </c>
      <c r="G1090" t="s">
        <v>2963</v>
      </c>
      <c r="H1090">
        <v>162</v>
      </c>
      <c r="I1090">
        <f>_xll.ciqfunctions.udf.CIQ(A1090, "IQ_MARKETCAP", F1090)</f>
        <v>1077.72929</v>
      </c>
      <c r="J1090">
        <f>_xll.ciqfunctions.udf.CIQ(A1090, "IQ_PRICE_VOL_HIST_6MTH", F1090)</f>
        <v>82.674599999999998</v>
      </c>
      <c r="K1090">
        <f>_xll.ciqfunctions.udf.CIQ(A1090, "IQ_LASTSALEPRICE", WORKDAY(F1090,-1))</f>
        <v>6.42</v>
      </c>
      <c r="L1090">
        <f>_xll.ciqfunctions.udf.CIQ(A1090, "IQ_LASTSALEPRICE", F1090)</f>
        <v>6.78</v>
      </c>
      <c r="M1090">
        <f>_xll.ciqfunctions.udf.CIQ(A1090, "IQ_LASTSALEPRICE", WORKDAY(F1090,5))</f>
        <v>5.88</v>
      </c>
      <c r="N1090">
        <f t="shared" si="32"/>
        <v>5.45589842504344E-2</v>
      </c>
      <c r="O1090">
        <f t="shared" si="33"/>
        <v>-8.7861355791334264E-2</v>
      </c>
      <c r="P1090">
        <f>LN(_xll.ciqfunctions.udf.CIQ("XBI", "IQ_LASTSALEPRICE", WORKDAY(F1090,-1))/_xll.ciqfunctions.udf.CIQ("XBI", "IQ_LASTSALEPRICE", WORKDAY(F1090,1)))</f>
        <v>1.0843635848916287E-3</v>
      </c>
      <c r="Q1090">
        <f>LN(_xll.ciqfunctions.udf.CIQ("XBI", "IQ_LASTSALEPRICE", WORKDAY(F1090,-1))/_xll.ciqfunctions.udf.CIQ("XBI", "IQ_LASTSALEPRICE", WORKDAY(F1090,5)))</f>
        <v>3.4623083447838446E-2</v>
      </c>
      <c r="R1090">
        <f>_xll.ciqfunctions.udf.CIQ(A1090, "IQ_SHORT_INTEREST_PERCENT", F1090)</f>
        <v>12.63204</v>
      </c>
      <c r="S1090">
        <f>_xll.ciqfunctions.udf.CIQ(A1090, "IQ_BETA_1YR_RSQ", F1090)</f>
        <v>2.0100000000000001E-3</v>
      </c>
      <c r="T1090">
        <f>_xll.ciqfunctions.udf.CIQ(A1090, "IQ_VALUE_TRADED", F1090)</f>
        <v>15.70096</v>
      </c>
    </row>
    <row r="1091" spans="1:20" x14ac:dyDescent="0.3">
      <c r="A1091" t="s">
        <v>478</v>
      </c>
      <c r="B1091" s="2">
        <v>65.89</v>
      </c>
      <c r="C1091" t="s">
        <v>2964</v>
      </c>
      <c r="D1091" t="s">
        <v>2965</v>
      </c>
      <c r="E1091" t="s">
        <v>36</v>
      </c>
      <c r="F1091" s="1">
        <v>45433</v>
      </c>
      <c r="G1091" t="s">
        <v>2966</v>
      </c>
      <c r="I1091">
        <f>_xll.ciqfunctions.udf.CIQ(A1091, "IQ_MARKETCAP", F1091)</f>
        <v>83833.46243</v>
      </c>
      <c r="J1091">
        <f>_xll.ciqfunctions.udf.CIQ(A1091, "IQ_PRICE_VOL_HIST_6MTH", F1091)</f>
        <v>23.932099999999998</v>
      </c>
      <c r="K1091">
        <f>_xll.ciqfunctions.udf.CIQ(A1091, "IQ_LASTSALEPRICE", WORKDAY(F1091,-1))</f>
        <v>67.900000000000006</v>
      </c>
      <c r="L1091">
        <f>_xll.ciqfunctions.udf.CIQ(A1091, "IQ_LASTSALEPRICE", F1091)</f>
        <v>67.290000000000006</v>
      </c>
      <c r="M1091">
        <f>_xll.ciqfunctions.udf.CIQ(A1091, "IQ_LASTSALEPRICE", WORKDAY(F1091,5))</f>
        <v>63.94</v>
      </c>
      <c r="N1091">
        <f t="shared" ref="N1091:N1154" si="34">LN(L1091/K1091)</f>
        <v>-9.0243973644237706E-3</v>
      </c>
      <c r="O1091">
        <f t="shared" ref="O1091:O1154" si="35">LN(M1091/K1091)</f>
        <v>-6.0090890932955186E-2</v>
      </c>
      <c r="P1091">
        <f>LN(_xll.ciqfunctions.udf.CIQ("XBI", "IQ_LASTSALEPRICE", WORKDAY(F1091,-1))/_xll.ciqfunctions.udf.CIQ("XBI", "IQ_LASTSALEPRICE", WORKDAY(F1091,1)))</f>
        <v>1.0843635848916287E-3</v>
      </c>
      <c r="Q1091">
        <f>LN(_xll.ciqfunctions.udf.CIQ("XBI", "IQ_LASTSALEPRICE", WORKDAY(F1091,-1))/_xll.ciqfunctions.udf.CIQ("XBI", "IQ_LASTSALEPRICE", WORKDAY(F1091,5)))</f>
        <v>3.4623083447838446E-2</v>
      </c>
      <c r="R1091">
        <f>_xll.ciqfunctions.udf.CIQ(A1091, "IQ_SHORT_INTEREST_PERCENT", F1091)</f>
        <v>1.6984300000000001</v>
      </c>
      <c r="S1091">
        <f>_xll.ciqfunctions.udf.CIQ(A1091, "IQ_BETA_1YR_RSQ", F1091)</f>
        <v>7.1410000000000001E-2</v>
      </c>
      <c r="T1091">
        <f>_xll.ciqfunctions.udf.CIQ(A1091, "IQ_VALUE_TRADED", F1091)</f>
        <v>383.63562999999999</v>
      </c>
    </row>
    <row r="1092" spans="1:20" x14ac:dyDescent="0.3">
      <c r="A1092" t="s">
        <v>38</v>
      </c>
      <c r="B1092" s="2">
        <v>0.73</v>
      </c>
      <c r="C1092" t="s">
        <v>39</v>
      </c>
      <c r="D1092" t="s">
        <v>40</v>
      </c>
      <c r="E1092" t="s">
        <v>36</v>
      </c>
      <c r="F1092" s="1">
        <v>45433</v>
      </c>
      <c r="G1092" t="s">
        <v>2967</v>
      </c>
      <c r="H1092">
        <v>17</v>
      </c>
      <c r="I1092">
        <f>_xll.ciqfunctions.udf.CIQ(A1092, "IQ_MARKETCAP", F1092)</f>
        <v>131.89155</v>
      </c>
      <c r="J1092">
        <f>_xll.ciqfunctions.udf.CIQ(A1092, "IQ_PRICE_VOL_HIST_6MTH", F1092)</f>
        <v>68.355800000000002</v>
      </c>
      <c r="K1092">
        <f>_xll.ciqfunctions.udf.CIQ(A1092, "IQ_LASTSALEPRICE", WORKDAY(F1092,-1))</f>
        <v>16.495000000000001</v>
      </c>
      <c r="L1092">
        <f>_xll.ciqfunctions.udf.CIQ(A1092, "IQ_LASTSALEPRICE", F1092)</f>
        <v>18.25</v>
      </c>
      <c r="M1092">
        <f>_xll.ciqfunctions.udf.CIQ(A1092, "IQ_LASTSALEPRICE", WORKDAY(F1092,5))</f>
        <v>15.797499999999999</v>
      </c>
      <c r="N1092">
        <f t="shared" si="34"/>
        <v>0.10110777534795569</v>
      </c>
      <c r="O1092">
        <f t="shared" si="35"/>
        <v>-4.3205605015071528E-2</v>
      </c>
      <c r="P1092">
        <f>LN(_xll.ciqfunctions.udf.CIQ("XBI", "IQ_LASTSALEPRICE", WORKDAY(F1092,-1))/_xll.ciqfunctions.udf.CIQ("XBI", "IQ_LASTSALEPRICE", WORKDAY(F1092,1)))</f>
        <v>1.0843635848916287E-3</v>
      </c>
      <c r="Q1092">
        <f>LN(_xll.ciqfunctions.udf.CIQ("XBI", "IQ_LASTSALEPRICE", WORKDAY(F1092,-1))/_xll.ciqfunctions.udf.CIQ("XBI", "IQ_LASTSALEPRICE", WORKDAY(F1092,5)))</f>
        <v>3.4623083447838446E-2</v>
      </c>
      <c r="R1092">
        <f>_xll.ciqfunctions.udf.CIQ(A1092, "IQ_SHORT_INTEREST_PERCENT", F1092)</f>
        <v>7.9858099999999999</v>
      </c>
      <c r="S1092">
        <f>_xll.ciqfunctions.udf.CIQ(A1092, "IQ_BETA_1YR_RSQ", F1092)</f>
        <v>1.6129999999999999E-2</v>
      </c>
      <c r="T1092">
        <f>_xll.ciqfunctions.udf.CIQ(A1092, "IQ_VALUE_TRADED", F1092)</f>
        <v>15.840070000000001</v>
      </c>
    </row>
    <row r="1093" spans="1:20" x14ac:dyDescent="0.3">
      <c r="A1093" t="s">
        <v>1459</v>
      </c>
      <c r="B1093" s="2">
        <v>29.5</v>
      </c>
      <c r="C1093" t="s">
        <v>2968</v>
      </c>
      <c r="D1093" t="s">
        <v>2969</v>
      </c>
      <c r="E1093" t="s">
        <v>36</v>
      </c>
      <c r="F1093" s="1">
        <v>45433</v>
      </c>
      <c r="G1093" t="s">
        <v>2970</v>
      </c>
      <c r="H1093">
        <v>24</v>
      </c>
      <c r="I1093">
        <f>_xll.ciqfunctions.udf.CIQ(A1093, "IQ_MARKETCAP", F1093)</f>
        <v>611.92003</v>
      </c>
      <c r="J1093">
        <f>_xll.ciqfunctions.udf.CIQ(A1093, "IQ_PRICE_VOL_HIST_6MTH", F1093)</f>
        <v>46.956699999999998</v>
      </c>
      <c r="K1093">
        <f>_xll.ciqfunctions.udf.CIQ(A1093, "IQ_LASTSALEPRICE", WORKDAY(F1093,-1))</f>
        <v>2.2850000000000001</v>
      </c>
      <c r="L1093">
        <f>_xll.ciqfunctions.udf.CIQ(A1093, "IQ_LASTSALEPRICE", F1093)</f>
        <v>2.2599999999999998</v>
      </c>
      <c r="M1093">
        <f>_xll.ciqfunctions.udf.CIQ(A1093, "IQ_LASTSALEPRICE", WORKDAY(F1093,5))</f>
        <v>2.2599999999999998</v>
      </c>
      <c r="N1093">
        <f t="shared" si="34"/>
        <v>-1.1001211061973682E-2</v>
      </c>
      <c r="O1093">
        <f t="shared" si="35"/>
        <v>-1.1001211061973682E-2</v>
      </c>
      <c r="P1093">
        <f>LN(_xll.ciqfunctions.udf.CIQ("XBI", "IQ_LASTSALEPRICE", WORKDAY(F1093,-1))/_xll.ciqfunctions.udf.CIQ("XBI", "IQ_LASTSALEPRICE", WORKDAY(F1093,1)))</f>
        <v>1.0843635848916287E-3</v>
      </c>
      <c r="Q1093">
        <f>LN(_xll.ciqfunctions.udf.CIQ("XBI", "IQ_LASTSALEPRICE", WORKDAY(F1093,-1))/_xll.ciqfunctions.udf.CIQ("XBI", "IQ_LASTSALEPRICE", WORKDAY(F1093,5)))</f>
        <v>3.4623083447838446E-2</v>
      </c>
      <c r="R1093">
        <f>_xll.ciqfunctions.udf.CIQ(A1093, "IQ_SHORT_INTEREST_PERCENT", F1093)</f>
        <v>0</v>
      </c>
      <c r="S1093">
        <f>_xll.ciqfunctions.udf.CIQ(A1093, "IQ_BETA_1YR_RSQ", F1093)</f>
        <v>0.10067</v>
      </c>
      <c r="T1093">
        <f>_xll.ciqfunctions.udf.CIQ(A1093, "IQ_VALUE_TRADED", F1093)</f>
        <v>0.64292000000000005</v>
      </c>
    </row>
    <row r="1094" spans="1:20" x14ac:dyDescent="0.3">
      <c r="A1094" t="s">
        <v>1297</v>
      </c>
      <c r="B1094" s="2">
        <v>3.84</v>
      </c>
      <c r="C1094" t="s">
        <v>1298</v>
      </c>
      <c r="D1094" t="s">
        <v>1299</v>
      </c>
      <c r="E1094" t="s">
        <v>89</v>
      </c>
      <c r="F1094" s="1">
        <v>45433</v>
      </c>
      <c r="G1094" t="s">
        <v>2971</v>
      </c>
      <c r="H1094">
        <v>2</v>
      </c>
      <c r="I1094" t="str">
        <f>_xll.ciqfunctions.udf.CIQ(A1094, "IQ_MARKETCAP", F1094)</f>
        <v>(Invalid Identifier)</v>
      </c>
      <c r="J1094" t="str">
        <f>_xll.ciqfunctions.udf.CIQ(A1094, "IQ_PRICE_VOL_HIST_6MTH", F1094)</f>
        <v>(Invalid Identifier)</v>
      </c>
      <c r="K1094" t="str">
        <f>_xll.ciqfunctions.udf.CIQ(A1094, "IQ_LASTSALEPRICE", WORKDAY(F1094,-1))</f>
        <v>(Invalid Identifier)</v>
      </c>
      <c r="L1094" t="str">
        <f>_xll.ciqfunctions.udf.CIQ(A1094, "IQ_LASTSALEPRICE", F1094)</f>
        <v>(Invalid Identifier)</v>
      </c>
      <c r="M1094" t="str">
        <f>_xll.ciqfunctions.udf.CIQ(A1094, "IQ_LASTSALEPRICE", WORKDAY(F1094,5))</f>
        <v>(Invalid Identifier)</v>
      </c>
      <c r="N1094" t="e">
        <f t="shared" si="34"/>
        <v>#VALUE!</v>
      </c>
      <c r="O1094" t="e">
        <f t="shared" si="35"/>
        <v>#VALUE!</v>
      </c>
      <c r="P1094">
        <f>LN(_xll.ciqfunctions.udf.CIQ("XBI", "IQ_LASTSALEPRICE", WORKDAY(F1094,-1))/_xll.ciqfunctions.udf.CIQ("XBI", "IQ_LASTSALEPRICE", WORKDAY(F1094,1)))</f>
        <v>1.0843635848916287E-3</v>
      </c>
      <c r="Q1094">
        <f>LN(_xll.ciqfunctions.udf.CIQ("XBI", "IQ_LASTSALEPRICE", WORKDAY(F1094,-1))/_xll.ciqfunctions.udf.CIQ("XBI", "IQ_LASTSALEPRICE", WORKDAY(F1094,5)))</f>
        <v>3.4623083447838446E-2</v>
      </c>
      <c r="R1094" t="str">
        <f>_xll.ciqfunctions.udf.CIQ(A1094, "IQ_SHORT_INTEREST_PERCENT", F1094)</f>
        <v>(Invalid Identifier)</v>
      </c>
      <c r="S1094" t="str">
        <f>_xll.ciqfunctions.udf.CIQ(A1094, "IQ_BETA_1YR_RSQ", F1094)</f>
        <v>(Invalid Identifier)</v>
      </c>
      <c r="T1094" t="str">
        <f>_xll.ciqfunctions.udf.CIQ(A1094, "IQ_VALUE_TRADED", F1094)</f>
        <v>(Invalid Identifier)</v>
      </c>
    </row>
    <row r="1095" spans="1:20" x14ac:dyDescent="0.3">
      <c r="A1095" t="s">
        <v>2271</v>
      </c>
      <c r="B1095" s="2">
        <v>1.03</v>
      </c>
      <c r="C1095" t="s">
        <v>2972</v>
      </c>
      <c r="D1095" t="s">
        <v>2973</v>
      </c>
      <c r="E1095" t="s">
        <v>89</v>
      </c>
      <c r="F1095" s="1">
        <v>45433</v>
      </c>
      <c r="G1095" t="s">
        <v>2974</v>
      </c>
      <c r="H1095">
        <v>1</v>
      </c>
      <c r="I1095">
        <f>_xll.ciqfunctions.udf.CIQ(A1095, "IQ_MARKETCAP", F1095)</f>
        <v>13.342169999999999</v>
      </c>
      <c r="J1095">
        <f>_xll.ciqfunctions.udf.CIQ(A1095, "IQ_PRICE_VOL_HIST_6MTH", F1095)</f>
        <v>0</v>
      </c>
      <c r="K1095">
        <f>_xll.ciqfunctions.udf.CIQ(A1095, "IQ_LASTSALEPRICE", WORKDAY(F1095,-1))</f>
        <v>0</v>
      </c>
      <c r="L1095">
        <f>_xll.ciqfunctions.udf.CIQ(A1095, "IQ_LASTSALEPRICE", F1095)</f>
        <v>0</v>
      </c>
      <c r="M1095">
        <f>_xll.ciqfunctions.udf.CIQ(A1095, "IQ_LASTSALEPRICE", WORKDAY(F1095,5))</f>
        <v>0</v>
      </c>
      <c r="N1095" t="e">
        <f t="shared" si="34"/>
        <v>#DIV/0!</v>
      </c>
      <c r="O1095" t="e">
        <f t="shared" si="35"/>
        <v>#DIV/0!</v>
      </c>
      <c r="P1095">
        <f>LN(_xll.ciqfunctions.udf.CIQ("XBI", "IQ_LASTSALEPRICE", WORKDAY(F1095,-1))/_xll.ciqfunctions.udf.CIQ("XBI", "IQ_LASTSALEPRICE", WORKDAY(F1095,1)))</f>
        <v>1.0843635848916287E-3</v>
      </c>
      <c r="Q1095">
        <f>LN(_xll.ciqfunctions.udf.CIQ("XBI", "IQ_LASTSALEPRICE", WORKDAY(F1095,-1))/_xll.ciqfunctions.udf.CIQ("XBI", "IQ_LASTSALEPRICE", WORKDAY(F1095,5)))</f>
        <v>3.4623083447838446E-2</v>
      </c>
      <c r="R1095">
        <f>_xll.ciqfunctions.udf.CIQ(A1095, "IQ_SHORT_INTEREST_PERCENT", F1095)</f>
        <v>0</v>
      </c>
      <c r="S1095">
        <f>_xll.ciqfunctions.udf.CIQ(A1095, "IQ_BETA_1YR_RSQ", F1095)</f>
        <v>0</v>
      </c>
      <c r="T1095">
        <f>_xll.ciqfunctions.udf.CIQ(A1095, "IQ_VALUE_TRADED", F1095)</f>
        <v>0</v>
      </c>
    </row>
    <row r="1096" spans="1:20" x14ac:dyDescent="0.3">
      <c r="A1096" t="s">
        <v>567</v>
      </c>
      <c r="B1096" s="2">
        <v>5.41</v>
      </c>
      <c r="C1096" t="s">
        <v>568</v>
      </c>
      <c r="D1096" t="s">
        <v>569</v>
      </c>
      <c r="E1096" t="s">
        <v>89</v>
      </c>
      <c r="F1096" s="1">
        <v>45433</v>
      </c>
      <c r="G1096" t="s">
        <v>2975</v>
      </c>
      <c r="H1096">
        <v>9</v>
      </c>
      <c r="I1096">
        <f>_xll.ciqfunctions.udf.CIQ(A1096, "IQ_MARKETCAP", F1096)</f>
        <v>5.0722100000000001</v>
      </c>
      <c r="J1096">
        <f>_xll.ciqfunctions.udf.CIQ(A1096, "IQ_PRICE_VOL_HIST_6MTH", F1096)</f>
        <v>150.3663</v>
      </c>
      <c r="K1096">
        <f>_xll.ciqfunctions.udf.CIQ(A1096, "IQ_LASTSALEPRICE", WORKDAY(F1096,-1))</f>
        <v>5.85</v>
      </c>
      <c r="L1096">
        <f>_xll.ciqfunctions.udf.CIQ(A1096, "IQ_LASTSALEPRICE", F1096)</f>
        <v>5.41</v>
      </c>
      <c r="M1096">
        <f>_xll.ciqfunctions.udf.CIQ(A1096, "IQ_LASTSALEPRICE", WORKDAY(F1096,5))</f>
        <v>4.76</v>
      </c>
      <c r="N1096">
        <f t="shared" si="34"/>
        <v>-7.8192568385374916E-2</v>
      </c>
      <c r="O1096">
        <f t="shared" si="35"/>
        <v>-0.2061939930004365</v>
      </c>
      <c r="P1096">
        <f>LN(_xll.ciqfunctions.udf.CIQ("XBI", "IQ_LASTSALEPRICE", WORKDAY(F1096,-1))/_xll.ciqfunctions.udf.CIQ("XBI", "IQ_LASTSALEPRICE", WORKDAY(F1096,1)))</f>
        <v>1.0843635848916287E-3</v>
      </c>
      <c r="Q1096">
        <f>LN(_xll.ciqfunctions.udf.CIQ("XBI", "IQ_LASTSALEPRICE", WORKDAY(F1096,-1))/_xll.ciqfunctions.udf.CIQ("XBI", "IQ_LASTSALEPRICE", WORKDAY(F1096,5)))</f>
        <v>3.4623083447838446E-2</v>
      </c>
      <c r="R1096">
        <f>_xll.ciqfunctions.udf.CIQ(A1096, "IQ_SHORT_INTEREST_PERCENT", F1096)</f>
        <v>19.037030000000001</v>
      </c>
      <c r="S1096">
        <f>_xll.ciqfunctions.udf.CIQ(A1096, "IQ_BETA_1YR_RSQ", F1096)</f>
        <v>4.1730000000000003E-2</v>
      </c>
      <c r="T1096">
        <f>_xll.ciqfunctions.udf.CIQ(A1096, "IQ_VALUE_TRADED", F1096)</f>
        <v>0.16569999999999999</v>
      </c>
    </row>
    <row r="1097" spans="1:20" x14ac:dyDescent="0.3">
      <c r="A1097" t="s">
        <v>2947</v>
      </c>
      <c r="B1097" s="2">
        <v>5.39</v>
      </c>
      <c r="C1097" t="s">
        <v>2976</v>
      </c>
      <c r="D1097" t="s">
        <v>2977</v>
      </c>
      <c r="E1097" t="s">
        <v>89</v>
      </c>
      <c r="F1097" s="1">
        <v>45433</v>
      </c>
      <c r="G1097" t="s">
        <v>2978</v>
      </c>
      <c r="H1097">
        <v>2</v>
      </c>
      <c r="I1097">
        <f>_xll.ciqfunctions.udf.CIQ(A1097, "IQ_MARKETCAP", F1097)</f>
        <v>1.5645100000000001</v>
      </c>
      <c r="J1097">
        <f>_xll.ciqfunctions.udf.CIQ(A1097, "IQ_PRICE_VOL_HIST_6MTH", F1097)</f>
        <v>150.5624</v>
      </c>
      <c r="K1097">
        <f>_xll.ciqfunctions.udf.CIQ(A1097, "IQ_LASTSALEPRICE", WORKDAY(F1097,-1))</f>
        <v>95.030019999999993</v>
      </c>
      <c r="L1097">
        <f>_xll.ciqfunctions.udf.CIQ(A1097, "IQ_LASTSALEPRICE", F1097)</f>
        <v>91.604519999999994</v>
      </c>
      <c r="M1097">
        <f>_xll.ciqfunctions.udf.CIQ(A1097, "IQ_LASTSALEPRICE", WORKDAY(F1097,5))</f>
        <v>69.615009999999998</v>
      </c>
      <c r="N1097">
        <f t="shared" si="34"/>
        <v>-3.6712226242229355E-2</v>
      </c>
      <c r="O1097">
        <f t="shared" si="35"/>
        <v>-0.31121263667461557</v>
      </c>
      <c r="P1097">
        <f>LN(_xll.ciqfunctions.udf.CIQ("XBI", "IQ_LASTSALEPRICE", WORKDAY(F1097,-1))/_xll.ciqfunctions.udf.CIQ("XBI", "IQ_LASTSALEPRICE", WORKDAY(F1097,1)))</f>
        <v>1.0843635848916287E-3</v>
      </c>
      <c r="Q1097">
        <f>LN(_xll.ciqfunctions.udf.CIQ("XBI", "IQ_LASTSALEPRICE", WORKDAY(F1097,-1))/_xll.ciqfunctions.udf.CIQ("XBI", "IQ_LASTSALEPRICE", WORKDAY(F1097,5)))</f>
        <v>3.4623083447838446E-2</v>
      </c>
      <c r="R1097">
        <f>_xll.ciqfunctions.udf.CIQ(A1097, "IQ_SHORT_INTEREST_PERCENT", F1097)</f>
        <v>0.43047000000000002</v>
      </c>
      <c r="S1097">
        <f>_xll.ciqfunctions.udf.CIQ(A1097, "IQ_BETA_1YR_RSQ", F1097)</f>
        <v>2.2899999999999999E-3</v>
      </c>
      <c r="T1097">
        <f>_xll.ciqfunctions.udf.CIQ(A1097, "IQ_VALUE_TRADED", F1097)</f>
        <v>1.3208500000000001</v>
      </c>
    </row>
    <row r="1098" spans="1:20" x14ac:dyDescent="0.3">
      <c r="A1098" t="s">
        <v>2947</v>
      </c>
      <c r="B1098" s="2">
        <v>5.39</v>
      </c>
      <c r="C1098" t="s">
        <v>2979</v>
      </c>
      <c r="D1098" t="s">
        <v>1631</v>
      </c>
      <c r="E1098" t="s">
        <v>89</v>
      </c>
      <c r="F1098" s="1">
        <v>45433</v>
      </c>
      <c r="G1098" t="s">
        <v>2980</v>
      </c>
      <c r="H1098">
        <v>2</v>
      </c>
      <c r="I1098">
        <f>_xll.ciqfunctions.udf.CIQ(A1098, "IQ_MARKETCAP", F1098)</f>
        <v>1.5645100000000001</v>
      </c>
      <c r="J1098">
        <f>_xll.ciqfunctions.udf.CIQ(A1098, "IQ_PRICE_VOL_HIST_6MTH", F1098)</f>
        <v>150.5624</v>
      </c>
      <c r="K1098">
        <f>_xll.ciqfunctions.udf.CIQ(A1098, "IQ_LASTSALEPRICE", WORKDAY(F1098,-1))</f>
        <v>95.030019999999993</v>
      </c>
      <c r="L1098">
        <f>_xll.ciqfunctions.udf.CIQ(A1098, "IQ_LASTSALEPRICE", F1098)</f>
        <v>91.604519999999994</v>
      </c>
      <c r="M1098">
        <f>_xll.ciqfunctions.udf.CIQ(A1098, "IQ_LASTSALEPRICE", WORKDAY(F1098,5))</f>
        <v>69.615009999999998</v>
      </c>
      <c r="N1098">
        <f t="shared" si="34"/>
        <v>-3.6712226242229355E-2</v>
      </c>
      <c r="O1098">
        <f t="shared" si="35"/>
        <v>-0.31121263667461557</v>
      </c>
      <c r="P1098">
        <f>LN(_xll.ciqfunctions.udf.CIQ("XBI", "IQ_LASTSALEPRICE", WORKDAY(F1098,-1))/_xll.ciqfunctions.udf.CIQ("XBI", "IQ_LASTSALEPRICE", WORKDAY(F1098,1)))</f>
        <v>1.0843635848916287E-3</v>
      </c>
      <c r="Q1098">
        <f>LN(_xll.ciqfunctions.udf.CIQ("XBI", "IQ_LASTSALEPRICE", WORKDAY(F1098,-1))/_xll.ciqfunctions.udf.CIQ("XBI", "IQ_LASTSALEPRICE", WORKDAY(F1098,5)))</f>
        <v>3.4623083447838446E-2</v>
      </c>
      <c r="R1098">
        <f>_xll.ciqfunctions.udf.CIQ(A1098, "IQ_SHORT_INTEREST_PERCENT", F1098)</f>
        <v>0.43047000000000002</v>
      </c>
      <c r="S1098">
        <f>_xll.ciqfunctions.udf.CIQ(A1098, "IQ_BETA_1YR_RSQ", F1098)</f>
        <v>2.2899999999999999E-3</v>
      </c>
      <c r="T1098">
        <f>_xll.ciqfunctions.udf.CIQ(A1098, "IQ_VALUE_TRADED", F1098)</f>
        <v>1.3208500000000001</v>
      </c>
    </row>
    <row r="1099" spans="1:20" x14ac:dyDescent="0.3">
      <c r="A1099" t="s">
        <v>749</v>
      </c>
      <c r="B1099" s="2">
        <v>58.25</v>
      </c>
      <c r="C1099" t="s">
        <v>2981</v>
      </c>
      <c r="D1099" t="s">
        <v>2982</v>
      </c>
      <c r="E1099" t="s">
        <v>76</v>
      </c>
      <c r="F1099" s="1">
        <v>45433</v>
      </c>
      <c r="G1099" t="s">
        <v>2983</v>
      </c>
      <c r="I1099">
        <f>_xll.ciqfunctions.udf.CIQ(A1099, "IQ_MARKETCAP", F1099)</f>
        <v>13.037520000000001</v>
      </c>
      <c r="J1099">
        <f>_xll.ciqfunctions.udf.CIQ(A1099, "IQ_PRICE_VOL_HIST_6MTH", F1099)</f>
        <v>207.60509999999999</v>
      </c>
      <c r="K1099">
        <f>_xll.ciqfunctions.udf.CIQ(A1099, "IQ_LASTSALEPRICE", WORKDAY(F1099,-1))</f>
        <v>317.5</v>
      </c>
      <c r="L1099">
        <f>_xll.ciqfunctions.udf.CIQ(A1099, "IQ_LASTSALEPRICE", F1099)</f>
        <v>582.5</v>
      </c>
      <c r="M1099">
        <f>_xll.ciqfunctions.udf.CIQ(A1099, "IQ_LASTSALEPRICE", WORKDAY(F1099,5))</f>
        <v>270</v>
      </c>
      <c r="N1099">
        <f t="shared" si="34"/>
        <v>0.6068513671071093</v>
      </c>
      <c r="O1099">
        <f t="shared" si="35"/>
        <v>-0.16205585933437153</v>
      </c>
      <c r="P1099">
        <f>LN(_xll.ciqfunctions.udf.CIQ("XBI", "IQ_LASTSALEPRICE", WORKDAY(F1099,-1))/_xll.ciqfunctions.udf.CIQ("XBI", "IQ_LASTSALEPRICE", WORKDAY(F1099,1)))</f>
        <v>1.0843635848916287E-3</v>
      </c>
      <c r="Q1099">
        <f>LN(_xll.ciqfunctions.udf.CIQ("XBI", "IQ_LASTSALEPRICE", WORKDAY(F1099,-1))/_xll.ciqfunctions.udf.CIQ("XBI", "IQ_LASTSALEPRICE", WORKDAY(F1099,5)))</f>
        <v>3.4623083447838446E-2</v>
      </c>
      <c r="R1099">
        <f>_xll.ciqfunctions.udf.CIQ(A1099, "IQ_SHORT_INTEREST_PERCENT", F1099)</f>
        <v>36.744100000000003</v>
      </c>
      <c r="S1099">
        <f>_xll.ciqfunctions.udf.CIQ(A1099, "IQ_BETA_1YR_RSQ", F1099)</f>
        <v>5.1729999999999998E-2</v>
      </c>
      <c r="T1099">
        <f>_xll.ciqfunctions.udf.CIQ(A1099, "IQ_VALUE_TRADED", F1099)</f>
        <v>292.77557000000002</v>
      </c>
    </row>
    <row r="1100" spans="1:20" x14ac:dyDescent="0.3">
      <c r="A1100" t="s">
        <v>1305</v>
      </c>
      <c r="B1100" t="s">
        <v>43</v>
      </c>
      <c r="C1100" t="s">
        <v>2984</v>
      </c>
      <c r="D1100" t="s">
        <v>2985</v>
      </c>
      <c r="E1100" t="s">
        <v>197</v>
      </c>
      <c r="F1100" s="1">
        <v>45433</v>
      </c>
      <c r="G1100" t="s">
        <v>2986</v>
      </c>
      <c r="H1100">
        <v>369</v>
      </c>
      <c r="I1100">
        <f>_xll.ciqfunctions.udf.CIQ(A1100, "IQ_MARKETCAP", F1100)</f>
        <v>2402.5185200000001</v>
      </c>
      <c r="J1100">
        <f>_xll.ciqfunctions.udf.CIQ(A1100, "IQ_PRICE_VOL_HIST_6MTH", F1100)</f>
        <v>39.090499999999999</v>
      </c>
      <c r="K1100">
        <f>_xll.ciqfunctions.udf.CIQ(A1100, "IQ_LASTSALEPRICE", WORKDAY(F1100,-1))</f>
        <v>6.5</v>
      </c>
      <c r="L1100">
        <f>_xll.ciqfunctions.udf.CIQ(A1100, "IQ_LASTSALEPRICE", F1100)</f>
        <v>6.55</v>
      </c>
      <c r="M1100">
        <f>_xll.ciqfunctions.udf.CIQ(A1100, "IQ_LASTSALEPRICE", WORKDAY(F1100,5))</f>
        <v>6.2</v>
      </c>
      <c r="N1100">
        <f t="shared" si="34"/>
        <v>7.6628727455690972E-3</v>
      </c>
      <c r="O1100">
        <f t="shared" si="35"/>
        <v>-4.7252884850545497E-2</v>
      </c>
      <c r="P1100">
        <f>LN(_xll.ciqfunctions.udf.CIQ("XBI", "IQ_LASTSALEPRICE", WORKDAY(F1100,-1))/_xll.ciqfunctions.udf.CIQ("XBI", "IQ_LASTSALEPRICE", WORKDAY(F1100,1)))</f>
        <v>1.0843635848916287E-3</v>
      </c>
      <c r="Q1100">
        <f>LN(_xll.ciqfunctions.udf.CIQ("XBI", "IQ_LASTSALEPRICE", WORKDAY(F1100,-1))/_xll.ciqfunctions.udf.CIQ("XBI", "IQ_LASTSALEPRICE", WORKDAY(F1100,5)))</f>
        <v>3.4623083447838446E-2</v>
      </c>
      <c r="R1100">
        <f>_xll.ciqfunctions.udf.CIQ(A1100, "IQ_SHORT_INTEREST_PERCENT", F1100)</f>
        <v>5.5908699999999998</v>
      </c>
      <c r="S1100">
        <f>_xll.ciqfunctions.udf.CIQ(A1100, "IQ_BETA_1YR_RSQ", F1100)</f>
        <v>0.12826000000000001</v>
      </c>
      <c r="T1100">
        <f>_xll.ciqfunctions.udf.CIQ(A1100, "IQ_VALUE_TRADED", F1100)</f>
        <v>18.853950000000001</v>
      </c>
    </row>
    <row r="1101" spans="1:20" x14ac:dyDescent="0.3">
      <c r="A1101" t="s">
        <v>488</v>
      </c>
      <c r="B1101" s="2">
        <v>802.05</v>
      </c>
      <c r="C1101" t="s">
        <v>2987</v>
      </c>
      <c r="D1101" t="s">
        <v>2988</v>
      </c>
      <c r="E1101" t="s">
        <v>36</v>
      </c>
      <c r="F1101" s="1">
        <v>45433</v>
      </c>
      <c r="G1101" t="s">
        <v>2989</v>
      </c>
      <c r="H1101">
        <v>946</v>
      </c>
      <c r="I1101">
        <f>_xll.ciqfunctions.udf.CIQ(A1101, "IQ_MARKETCAP", F1101)</f>
        <v>723178.59386999998</v>
      </c>
      <c r="J1101">
        <f>_xll.ciqfunctions.udf.CIQ(A1101, "IQ_PRICE_VOL_HIST_6MTH", F1101)</f>
        <v>26.4651</v>
      </c>
      <c r="K1101">
        <f>_xll.ciqfunctions.udf.CIQ(A1101, "IQ_LASTSALEPRICE", WORKDAY(F1101,-1))</f>
        <v>783.18</v>
      </c>
      <c r="L1101">
        <f>_xll.ciqfunctions.udf.CIQ(A1101, "IQ_LASTSALEPRICE", F1101)</f>
        <v>803.17</v>
      </c>
      <c r="M1101">
        <f>_xll.ciqfunctions.udf.CIQ(A1101, "IQ_LASTSALEPRICE", WORKDAY(F1101,5))</f>
        <v>807.86</v>
      </c>
      <c r="N1101">
        <f t="shared" si="34"/>
        <v>2.5203843013550754E-2</v>
      </c>
      <c r="O1101">
        <f t="shared" si="35"/>
        <v>3.1026221553091999E-2</v>
      </c>
      <c r="P1101">
        <f>LN(_xll.ciqfunctions.udf.CIQ("XBI", "IQ_LASTSALEPRICE", WORKDAY(F1101,-1))/_xll.ciqfunctions.udf.CIQ("XBI", "IQ_LASTSALEPRICE", WORKDAY(F1101,1)))</f>
        <v>1.0843635848916287E-3</v>
      </c>
      <c r="Q1101">
        <f>LN(_xll.ciqfunctions.udf.CIQ("XBI", "IQ_LASTSALEPRICE", WORKDAY(F1101,-1))/_xll.ciqfunctions.udf.CIQ("XBI", "IQ_LASTSALEPRICE", WORKDAY(F1101,5)))</f>
        <v>3.4623083447838446E-2</v>
      </c>
      <c r="R1101">
        <f>_xll.ciqfunctions.udf.CIQ(A1101, "IQ_SHORT_INTEREST_PERCENT", F1101)</f>
        <v>0.56740000000000002</v>
      </c>
      <c r="S1101">
        <f>_xll.ciqfunctions.udf.CIQ(A1101, "IQ_BETA_1YR_RSQ", F1101)</f>
        <v>3.0890000000000001E-2</v>
      </c>
      <c r="T1101">
        <f>_xll.ciqfunctions.udf.CIQ(A1101, "IQ_VALUE_TRADED", F1101)</f>
        <v>3481.3395599999999</v>
      </c>
    </row>
    <row r="1102" spans="1:20" x14ac:dyDescent="0.3">
      <c r="A1102" t="s">
        <v>1289</v>
      </c>
      <c r="B1102" s="2">
        <v>25.9</v>
      </c>
      <c r="C1102" t="s">
        <v>2990</v>
      </c>
      <c r="D1102" t="s">
        <v>318</v>
      </c>
      <c r="E1102" t="s">
        <v>76</v>
      </c>
      <c r="F1102" s="1">
        <v>45433</v>
      </c>
      <c r="G1102" t="s">
        <v>2991</v>
      </c>
      <c r="H1102">
        <v>12</v>
      </c>
      <c r="I1102">
        <f>_xll.ciqfunctions.udf.CIQ(A1102, "IQ_MARKETCAP", F1102)</f>
        <v>301.43851999999998</v>
      </c>
      <c r="J1102">
        <f>_xll.ciqfunctions.udf.CIQ(A1102, "IQ_PRICE_VOL_HIST_6MTH", F1102)</f>
        <v>54.158700000000003</v>
      </c>
      <c r="K1102">
        <f>_xll.ciqfunctions.udf.CIQ(A1102, "IQ_LASTSALEPRICE", WORKDAY(F1102,-1))</f>
        <v>25.03</v>
      </c>
      <c r="L1102">
        <f>_xll.ciqfunctions.udf.CIQ(A1102, "IQ_LASTSALEPRICE", F1102)</f>
        <v>25.9</v>
      </c>
      <c r="M1102">
        <f>_xll.ciqfunctions.udf.CIQ(A1102, "IQ_LASTSALEPRICE", WORKDAY(F1102,5))</f>
        <v>25.5</v>
      </c>
      <c r="N1102">
        <f t="shared" si="34"/>
        <v>3.4167863261809192E-2</v>
      </c>
      <c r="O1102">
        <f t="shared" si="35"/>
        <v>1.8603346720697491E-2</v>
      </c>
      <c r="P1102">
        <f>LN(_xll.ciqfunctions.udf.CIQ("XBI", "IQ_LASTSALEPRICE", WORKDAY(F1102,-1))/_xll.ciqfunctions.udf.CIQ("XBI", "IQ_LASTSALEPRICE", WORKDAY(F1102,1)))</f>
        <v>1.0843635848916287E-3</v>
      </c>
      <c r="Q1102">
        <f>LN(_xll.ciqfunctions.udf.CIQ("XBI", "IQ_LASTSALEPRICE", WORKDAY(F1102,-1))/_xll.ciqfunctions.udf.CIQ("XBI", "IQ_LASTSALEPRICE", WORKDAY(F1102,5)))</f>
        <v>3.4623083447838446E-2</v>
      </c>
      <c r="R1102">
        <f>_xll.ciqfunctions.udf.CIQ(A1102, "IQ_SHORT_INTEREST_PERCENT", F1102)</f>
        <v>2.3318500000000002</v>
      </c>
      <c r="S1102">
        <f>_xll.ciqfunctions.udf.CIQ(A1102, "IQ_BETA_1YR_RSQ", F1102)</f>
        <v>2.32E-3</v>
      </c>
      <c r="T1102">
        <f>_xll.ciqfunctions.udf.CIQ(A1102, "IQ_VALUE_TRADED", F1102)</f>
        <v>0.22233</v>
      </c>
    </row>
    <row r="1103" spans="1:20" x14ac:dyDescent="0.3">
      <c r="A1103" t="s">
        <v>1293</v>
      </c>
      <c r="B1103" s="2">
        <v>3</v>
      </c>
      <c r="C1103" t="s">
        <v>2990</v>
      </c>
      <c r="D1103" t="s">
        <v>318</v>
      </c>
      <c r="E1103" t="s">
        <v>76</v>
      </c>
      <c r="F1103" s="1">
        <v>45433</v>
      </c>
      <c r="G1103" t="s">
        <v>2991</v>
      </c>
      <c r="H1103">
        <v>90</v>
      </c>
      <c r="I1103">
        <f>_xll.ciqfunctions.udf.CIQ(A1103, "IQ_MARKETCAP", F1103)</f>
        <v>120.40544</v>
      </c>
      <c r="J1103">
        <f>_xll.ciqfunctions.udf.CIQ(A1103, "IQ_PRICE_VOL_HIST_6MTH", F1103)</f>
        <v>90.444299999999998</v>
      </c>
      <c r="K1103">
        <f>_xll.ciqfunctions.udf.CIQ(A1103, "IQ_LASTSALEPRICE", WORKDAY(F1103,-1))</f>
        <v>2.81</v>
      </c>
      <c r="L1103">
        <f>_xll.ciqfunctions.udf.CIQ(A1103, "IQ_LASTSALEPRICE", F1103)</f>
        <v>3</v>
      </c>
      <c r="M1103">
        <f>_xll.ciqfunctions.udf.CIQ(A1103, "IQ_LASTSALEPRICE", WORKDAY(F1103,5))</f>
        <v>3.69</v>
      </c>
      <c r="N1103">
        <f t="shared" si="34"/>
        <v>6.5427805322455193E-2</v>
      </c>
      <c r="O1103">
        <f t="shared" si="35"/>
        <v>0.27244197470678133</v>
      </c>
      <c r="P1103">
        <f>LN(_xll.ciqfunctions.udf.CIQ("XBI", "IQ_LASTSALEPRICE", WORKDAY(F1103,-1))/_xll.ciqfunctions.udf.CIQ("XBI", "IQ_LASTSALEPRICE", WORKDAY(F1103,1)))</f>
        <v>1.0843635848916287E-3</v>
      </c>
      <c r="Q1103">
        <f>LN(_xll.ciqfunctions.udf.CIQ("XBI", "IQ_LASTSALEPRICE", WORKDAY(F1103,-1))/_xll.ciqfunctions.udf.CIQ("XBI", "IQ_LASTSALEPRICE", WORKDAY(F1103,5)))</f>
        <v>3.4623083447838446E-2</v>
      </c>
      <c r="R1103">
        <f>_xll.ciqfunctions.udf.CIQ(A1103, "IQ_SHORT_INTEREST_PERCENT", F1103)</f>
        <v>0.78449999999999998</v>
      </c>
      <c r="S1103">
        <f>_xll.ciqfunctions.udf.CIQ(A1103, "IQ_BETA_1YR_RSQ", F1103)</f>
        <v>2.002E-2</v>
      </c>
      <c r="T1103">
        <f>_xll.ciqfunctions.udf.CIQ(A1103, "IQ_VALUE_TRADED", F1103)</f>
        <v>11.567270000000001</v>
      </c>
    </row>
    <row r="1104" spans="1:20" x14ac:dyDescent="0.3">
      <c r="A1104" t="s">
        <v>1264</v>
      </c>
      <c r="B1104" s="2">
        <v>0.73</v>
      </c>
      <c r="C1104" t="s">
        <v>2992</v>
      </c>
      <c r="D1104" t="s">
        <v>2993</v>
      </c>
      <c r="E1104" t="s">
        <v>197</v>
      </c>
      <c r="F1104" s="1">
        <v>45433</v>
      </c>
      <c r="G1104" t="s">
        <v>2994</v>
      </c>
      <c r="H1104">
        <v>4</v>
      </c>
      <c r="I1104">
        <f>_xll.ciqfunctions.udf.CIQ(A1104, "IQ_MARKETCAP", F1104)</f>
        <v>5.5384200000000003</v>
      </c>
      <c r="J1104">
        <f>_xll.ciqfunctions.udf.CIQ(A1104, "IQ_PRICE_VOL_HIST_6MTH", F1104)</f>
        <v>68.796899999999994</v>
      </c>
      <c r="K1104">
        <f>_xll.ciqfunctions.udf.CIQ(A1104, "IQ_LASTSALEPRICE", WORKDAY(F1104,-1))</f>
        <v>6.04</v>
      </c>
      <c r="L1104">
        <f>_xll.ciqfunctions.udf.CIQ(A1104, "IQ_LASTSALEPRICE", F1104)</f>
        <v>5.8255999999999997</v>
      </c>
      <c r="M1104">
        <f>_xll.ciqfunctions.udf.CIQ(A1104, "IQ_LASTSALEPRICE", WORKDAY(F1104,5))</f>
        <v>4.9667899999999996</v>
      </c>
      <c r="N1104">
        <f t="shared" si="34"/>
        <v>-3.6142013507691743E-2</v>
      </c>
      <c r="O1104">
        <f t="shared" si="35"/>
        <v>-0.19563025575696918</v>
      </c>
      <c r="P1104">
        <f>LN(_xll.ciqfunctions.udf.CIQ("XBI", "IQ_LASTSALEPRICE", WORKDAY(F1104,-1))/_xll.ciqfunctions.udf.CIQ("XBI", "IQ_LASTSALEPRICE", WORKDAY(F1104,1)))</f>
        <v>1.0843635848916287E-3</v>
      </c>
      <c r="Q1104">
        <f>LN(_xll.ciqfunctions.udf.CIQ("XBI", "IQ_LASTSALEPRICE", WORKDAY(F1104,-1))/_xll.ciqfunctions.udf.CIQ("XBI", "IQ_LASTSALEPRICE", WORKDAY(F1104,5)))</f>
        <v>3.4623083447838446E-2</v>
      </c>
      <c r="R1104">
        <f>_xll.ciqfunctions.udf.CIQ(A1104, "IQ_SHORT_INTEREST_PERCENT", F1104)</f>
        <v>0.42141000000000001</v>
      </c>
      <c r="S1104">
        <f>_xll.ciqfunctions.udf.CIQ(A1104, "IQ_BETA_1YR_RSQ", F1104)</f>
        <v>1.103E-2</v>
      </c>
      <c r="T1104">
        <f>_xll.ciqfunctions.udf.CIQ(A1104, "IQ_VALUE_TRADED", F1104)</f>
        <v>0.15897</v>
      </c>
    </row>
    <row r="1105" spans="1:20" x14ac:dyDescent="0.3">
      <c r="A1105" t="s">
        <v>1539</v>
      </c>
      <c r="B1105" s="2">
        <v>15.96</v>
      </c>
      <c r="C1105" t="s">
        <v>1540</v>
      </c>
      <c r="D1105" t="s">
        <v>416</v>
      </c>
      <c r="E1105" t="s">
        <v>124</v>
      </c>
      <c r="F1105" s="1">
        <v>45433</v>
      </c>
      <c r="G1105" t="s">
        <v>2995</v>
      </c>
      <c r="H1105">
        <v>6</v>
      </c>
      <c r="I1105">
        <f>_xll.ciqfunctions.udf.CIQ(A1105, "IQ_MARKETCAP", F1105)</f>
        <v>49.873170000000002</v>
      </c>
      <c r="J1105">
        <f>_xll.ciqfunctions.udf.CIQ(A1105, "IQ_PRICE_VOL_HIST_6MTH", F1105)</f>
        <v>79.317800000000005</v>
      </c>
      <c r="K1105">
        <f>_xll.ciqfunctions.udf.CIQ(A1105, "IQ_LASTSALEPRICE", WORKDAY(F1105,-1))</f>
        <v>16.7775</v>
      </c>
      <c r="L1105">
        <f>_xll.ciqfunctions.udf.CIQ(A1105, "IQ_LASTSALEPRICE", F1105)</f>
        <v>15.9625</v>
      </c>
      <c r="M1105">
        <f>_xll.ciqfunctions.udf.CIQ(A1105, "IQ_LASTSALEPRICE", WORKDAY(F1105,5))</f>
        <v>15.324999999999999</v>
      </c>
      <c r="N1105">
        <f t="shared" si="34"/>
        <v>-4.9796481691599545E-2</v>
      </c>
      <c r="O1105">
        <f t="shared" si="35"/>
        <v>-9.0553221227982275E-2</v>
      </c>
      <c r="P1105">
        <f>LN(_xll.ciqfunctions.udf.CIQ("XBI", "IQ_LASTSALEPRICE", WORKDAY(F1105,-1))/_xll.ciqfunctions.udf.CIQ("XBI", "IQ_LASTSALEPRICE", WORKDAY(F1105,1)))</f>
        <v>1.0843635848916287E-3</v>
      </c>
      <c r="Q1105">
        <f>LN(_xll.ciqfunctions.udf.CIQ("XBI", "IQ_LASTSALEPRICE", WORKDAY(F1105,-1))/_xll.ciqfunctions.udf.CIQ("XBI", "IQ_LASTSALEPRICE", WORKDAY(F1105,5)))</f>
        <v>3.4623083447838446E-2</v>
      </c>
      <c r="R1105">
        <f>_xll.ciqfunctions.udf.CIQ(A1105, "IQ_SHORT_INTEREST_PERCENT", F1105)</f>
        <v>1.0734399999999999</v>
      </c>
      <c r="S1105">
        <f>_xll.ciqfunctions.udf.CIQ(A1105, "IQ_BETA_1YR_RSQ", F1105)</f>
        <v>0.14746999999999999</v>
      </c>
      <c r="T1105">
        <f>_xll.ciqfunctions.udf.CIQ(A1105, "IQ_VALUE_TRADED", F1105)</f>
        <v>0.23945</v>
      </c>
    </row>
    <row r="1106" spans="1:20" x14ac:dyDescent="0.3">
      <c r="A1106" t="s">
        <v>324</v>
      </c>
      <c r="B1106" s="2">
        <v>8.3000000000000007</v>
      </c>
      <c r="C1106" t="s">
        <v>2996</v>
      </c>
      <c r="D1106" t="s">
        <v>2997</v>
      </c>
      <c r="E1106" t="s">
        <v>89</v>
      </c>
      <c r="F1106" s="1">
        <v>45433</v>
      </c>
      <c r="G1106" t="s">
        <v>2998</v>
      </c>
      <c r="H1106">
        <v>237</v>
      </c>
      <c r="I1106">
        <f>_xll.ciqfunctions.udf.CIQ(A1106, "IQ_MARKETCAP", F1106)</f>
        <v>1838.47414</v>
      </c>
      <c r="J1106">
        <f>_xll.ciqfunctions.udf.CIQ(A1106, "IQ_PRICE_VOL_HIST_6MTH", F1106)</f>
        <v>104.95440000000001</v>
      </c>
      <c r="K1106">
        <f>_xll.ciqfunctions.udf.CIQ(A1106, "IQ_LASTSALEPRICE", WORKDAY(F1106,-1))</f>
        <v>8.6300000000000008</v>
      </c>
      <c r="L1106">
        <f>_xll.ciqfunctions.udf.CIQ(A1106, "IQ_LASTSALEPRICE", F1106)</f>
        <v>8.3000000000000007</v>
      </c>
      <c r="M1106">
        <f>_xll.ciqfunctions.udf.CIQ(A1106, "IQ_LASTSALEPRICE", WORKDAY(F1106,5))</f>
        <v>7.8</v>
      </c>
      <c r="N1106">
        <f t="shared" si="34"/>
        <v>-3.8988990292784381E-2</v>
      </c>
      <c r="O1106">
        <f t="shared" si="35"/>
        <v>-0.10112077139979068</v>
      </c>
      <c r="P1106">
        <f>LN(_xll.ciqfunctions.udf.CIQ("XBI", "IQ_LASTSALEPRICE", WORKDAY(F1106,-1))/_xll.ciqfunctions.udf.CIQ("XBI", "IQ_LASTSALEPRICE", WORKDAY(F1106,1)))</f>
        <v>1.0843635848916287E-3</v>
      </c>
      <c r="Q1106">
        <f>LN(_xll.ciqfunctions.udf.CIQ("XBI", "IQ_LASTSALEPRICE", WORKDAY(F1106,-1))/_xll.ciqfunctions.udf.CIQ("XBI", "IQ_LASTSALEPRICE", WORKDAY(F1106,5)))</f>
        <v>3.4623083447838446E-2</v>
      </c>
      <c r="R1106">
        <f>_xll.ciqfunctions.udf.CIQ(A1106, "IQ_SHORT_INTEREST_PERCENT", F1106)</f>
        <v>11.580270000000001</v>
      </c>
      <c r="S1106">
        <f>_xll.ciqfunctions.udf.CIQ(A1106, "IQ_BETA_1YR_RSQ", F1106)</f>
        <v>0.11894</v>
      </c>
      <c r="T1106">
        <f>_xll.ciqfunctions.udf.CIQ(A1106, "IQ_VALUE_TRADED", F1106)</f>
        <v>10.65727</v>
      </c>
    </row>
    <row r="1107" spans="1:20" x14ac:dyDescent="0.3">
      <c r="A1107" t="s">
        <v>91</v>
      </c>
      <c r="B1107" s="2">
        <v>1.52</v>
      </c>
      <c r="C1107" t="s">
        <v>2999</v>
      </c>
      <c r="D1107" t="s">
        <v>273</v>
      </c>
      <c r="E1107" t="s">
        <v>36</v>
      </c>
      <c r="F1107" s="1">
        <v>45433</v>
      </c>
      <c r="G1107" t="s">
        <v>3000</v>
      </c>
      <c r="H1107">
        <v>59</v>
      </c>
      <c r="I1107">
        <f>_xll.ciqfunctions.udf.CIQ(A1107, "IQ_MARKETCAP", F1107)</f>
        <v>89.502570000000006</v>
      </c>
      <c r="J1107">
        <f>_xll.ciqfunctions.udf.CIQ(A1107, "IQ_PRICE_VOL_HIST_6MTH", F1107)</f>
        <v>78.263199999999998</v>
      </c>
      <c r="K1107">
        <f>_xll.ciqfunctions.udf.CIQ(A1107, "IQ_LASTSALEPRICE", WORKDAY(F1107,-1))</f>
        <v>1.54</v>
      </c>
      <c r="L1107">
        <f>_xll.ciqfunctions.udf.CIQ(A1107, "IQ_LASTSALEPRICE", F1107)</f>
        <v>1.52</v>
      </c>
      <c r="M1107">
        <f>_xll.ciqfunctions.udf.CIQ(A1107, "IQ_LASTSALEPRICE", WORKDAY(F1107,5))</f>
        <v>1.46</v>
      </c>
      <c r="N1107">
        <f t="shared" si="34"/>
        <v>-1.3072081567352775E-2</v>
      </c>
      <c r="O1107">
        <f t="shared" si="35"/>
        <v>-5.3345980705292735E-2</v>
      </c>
      <c r="P1107">
        <f>LN(_xll.ciqfunctions.udf.CIQ("XBI", "IQ_LASTSALEPRICE", WORKDAY(F1107,-1))/_xll.ciqfunctions.udf.CIQ("XBI", "IQ_LASTSALEPRICE", WORKDAY(F1107,1)))</f>
        <v>1.0843635848916287E-3</v>
      </c>
      <c r="Q1107">
        <f>LN(_xll.ciqfunctions.udf.CIQ("XBI", "IQ_LASTSALEPRICE", WORKDAY(F1107,-1))/_xll.ciqfunctions.udf.CIQ("XBI", "IQ_LASTSALEPRICE", WORKDAY(F1107,5)))</f>
        <v>3.4623083447838446E-2</v>
      </c>
      <c r="R1107">
        <f>_xll.ciqfunctions.udf.CIQ(A1107, "IQ_SHORT_INTEREST_PERCENT", F1107)</f>
        <v>0.22325999999999999</v>
      </c>
      <c r="S1107">
        <f>_xll.ciqfunctions.udf.CIQ(A1107, "IQ_BETA_1YR_RSQ", F1107)</f>
        <v>4.854E-2</v>
      </c>
      <c r="T1107">
        <f>_xll.ciqfunctions.udf.CIQ(A1107, "IQ_VALUE_TRADED", F1107)</f>
        <v>0.38046000000000002</v>
      </c>
    </row>
    <row r="1108" spans="1:20" x14ac:dyDescent="0.3">
      <c r="A1108" t="s">
        <v>3001</v>
      </c>
      <c r="B1108" t="s">
        <v>43</v>
      </c>
      <c r="C1108" t="s">
        <v>3002</v>
      </c>
      <c r="D1108" t="s">
        <v>1748</v>
      </c>
      <c r="E1108" t="s">
        <v>197</v>
      </c>
      <c r="F1108" s="1">
        <v>45433</v>
      </c>
      <c r="G1108" t="s">
        <v>3003</v>
      </c>
      <c r="H1108">
        <v>32</v>
      </c>
      <c r="I1108">
        <f>_xll.ciqfunctions.udf.CIQ(A1108, "IQ_MARKETCAP", F1108)</f>
        <v>0</v>
      </c>
      <c r="J1108">
        <f>_xll.ciqfunctions.udf.CIQ(A1108, "IQ_PRICE_VOL_HIST_6MTH", F1108)</f>
        <v>0</v>
      </c>
      <c r="K1108">
        <f>_xll.ciqfunctions.udf.CIQ(A1108, "IQ_LASTSALEPRICE", WORKDAY(F1108,-1))</f>
        <v>0</v>
      </c>
      <c r="L1108">
        <f>_xll.ciqfunctions.udf.CIQ(A1108, "IQ_LASTSALEPRICE", F1108)</f>
        <v>0</v>
      </c>
      <c r="M1108">
        <f>_xll.ciqfunctions.udf.CIQ(A1108, "IQ_LASTSALEPRICE", WORKDAY(F1108,5))</f>
        <v>0</v>
      </c>
      <c r="N1108" t="e">
        <f t="shared" si="34"/>
        <v>#DIV/0!</v>
      </c>
      <c r="O1108" t="e">
        <f t="shared" si="35"/>
        <v>#DIV/0!</v>
      </c>
      <c r="P1108">
        <f>LN(_xll.ciqfunctions.udf.CIQ("XBI", "IQ_LASTSALEPRICE", WORKDAY(F1108,-1))/_xll.ciqfunctions.udf.CIQ("XBI", "IQ_LASTSALEPRICE", WORKDAY(F1108,1)))</f>
        <v>1.0843635848916287E-3</v>
      </c>
      <c r="Q1108">
        <f>LN(_xll.ciqfunctions.udf.CIQ("XBI", "IQ_LASTSALEPRICE", WORKDAY(F1108,-1))/_xll.ciqfunctions.udf.CIQ("XBI", "IQ_LASTSALEPRICE", WORKDAY(F1108,5)))</f>
        <v>3.4623083447838446E-2</v>
      </c>
      <c r="R1108">
        <f>_xll.ciqfunctions.udf.CIQ(A1108, "IQ_SHORT_INTEREST_PERCENT", F1108)</f>
        <v>0</v>
      </c>
      <c r="S1108">
        <f>_xll.ciqfunctions.udf.CIQ(A1108, "IQ_BETA_1YR_RSQ", F1108)</f>
        <v>0</v>
      </c>
      <c r="T1108">
        <f>_xll.ciqfunctions.udf.CIQ(A1108, "IQ_VALUE_TRADED", F1108)</f>
        <v>0</v>
      </c>
    </row>
    <row r="1109" spans="1:20" x14ac:dyDescent="0.3">
      <c r="A1109" t="s">
        <v>1785</v>
      </c>
      <c r="B1109" s="2">
        <v>1.31</v>
      </c>
      <c r="C1109" t="s">
        <v>3004</v>
      </c>
      <c r="D1109" t="s">
        <v>2293</v>
      </c>
      <c r="E1109" t="s">
        <v>89</v>
      </c>
      <c r="F1109" s="1">
        <v>45433</v>
      </c>
      <c r="G1109" t="s">
        <v>3005</v>
      </c>
      <c r="H1109">
        <v>68</v>
      </c>
      <c r="I1109">
        <f>_xll.ciqfunctions.udf.CIQ(A1109, "IQ_MARKETCAP", F1109)</f>
        <v>36.433720000000001</v>
      </c>
      <c r="J1109">
        <f>_xll.ciqfunctions.udf.CIQ(A1109, "IQ_PRICE_VOL_HIST_6MTH", F1109)</f>
        <v>94.262799999999999</v>
      </c>
      <c r="K1109">
        <f>_xll.ciqfunctions.udf.CIQ(A1109, "IQ_LASTSALEPRICE", WORKDAY(F1109,-1))</f>
        <v>1.54</v>
      </c>
      <c r="L1109">
        <f>_xll.ciqfunctions.udf.CIQ(A1109, "IQ_LASTSALEPRICE", F1109)</f>
        <v>1.3049999999999999</v>
      </c>
      <c r="M1109">
        <f>_xll.ciqfunctions.udf.CIQ(A1109, "IQ_LASTSALEPRICE", WORKDAY(F1109,5))</f>
        <v>1.38</v>
      </c>
      <c r="N1109">
        <f t="shared" si="34"/>
        <v>-0.16557937565088107</v>
      </c>
      <c r="O1109">
        <f t="shared" si="35"/>
        <v>-0.1096989172564245</v>
      </c>
      <c r="P1109">
        <f>LN(_xll.ciqfunctions.udf.CIQ("XBI", "IQ_LASTSALEPRICE", WORKDAY(F1109,-1))/_xll.ciqfunctions.udf.CIQ("XBI", "IQ_LASTSALEPRICE", WORKDAY(F1109,1)))</f>
        <v>1.0843635848916287E-3</v>
      </c>
      <c r="Q1109">
        <f>LN(_xll.ciqfunctions.udf.CIQ("XBI", "IQ_LASTSALEPRICE", WORKDAY(F1109,-1))/_xll.ciqfunctions.udf.CIQ("XBI", "IQ_LASTSALEPRICE", WORKDAY(F1109,5)))</f>
        <v>3.4623083447838446E-2</v>
      </c>
      <c r="R1109">
        <f>_xll.ciqfunctions.udf.CIQ(A1109, "IQ_SHORT_INTEREST_PERCENT", F1109)</f>
        <v>4.4770099999999999</v>
      </c>
      <c r="S1109">
        <f>_xll.ciqfunctions.udf.CIQ(A1109, "IQ_BETA_1YR_RSQ", F1109)</f>
        <v>1.7350000000000001E-2</v>
      </c>
      <c r="T1109">
        <f>_xll.ciqfunctions.udf.CIQ(A1109, "IQ_VALUE_TRADED", F1109)</f>
        <v>1.2585</v>
      </c>
    </row>
    <row r="1110" spans="1:20" x14ac:dyDescent="0.3">
      <c r="A1110" t="s">
        <v>2636</v>
      </c>
      <c r="B1110" s="2">
        <v>0.36</v>
      </c>
      <c r="C1110" t="s">
        <v>3006</v>
      </c>
      <c r="D1110" t="s">
        <v>2638</v>
      </c>
      <c r="E1110" t="s">
        <v>76</v>
      </c>
      <c r="F1110" s="1">
        <v>45433</v>
      </c>
      <c r="G1110" t="s">
        <v>3007</v>
      </c>
      <c r="H1110">
        <v>1</v>
      </c>
      <c r="I1110">
        <f>_xll.ciqfunctions.udf.CIQ(A1110, "IQ_MARKETCAP", F1110)</f>
        <v>21.666910000000001</v>
      </c>
      <c r="J1110">
        <f>_xll.ciqfunctions.udf.CIQ(A1110, "IQ_PRICE_VOL_HIST_6MTH", F1110)</f>
        <v>301.14999999999998</v>
      </c>
      <c r="K1110">
        <f>_xll.ciqfunctions.udf.CIQ(A1110, "IQ_LASTSALEPRICE", WORKDAY(F1110,-1))</f>
        <v>18.649999999999999</v>
      </c>
      <c r="L1110">
        <f>_xll.ciqfunctions.udf.CIQ(A1110, "IQ_LASTSALEPRICE", F1110)</f>
        <v>17.77</v>
      </c>
      <c r="M1110">
        <f>_xll.ciqfunctions.udf.CIQ(A1110, "IQ_LASTSALEPRICE", WORKDAY(F1110,5))</f>
        <v>16.675000000000001</v>
      </c>
      <c r="N1110">
        <f t="shared" si="34"/>
        <v>-4.8334503923264549E-2</v>
      </c>
      <c r="O1110">
        <f t="shared" si="35"/>
        <v>-0.11193555428813697</v>
      </c>
      <c r="P1110">
        <f>LN(_xll.ciqfunctions.udf.CIQ("XBI", "IQ_LASTSALEPRICE", WORKDAY(F1110,-1))/_xll.ciqfunctions.udf.CIQ("XBI", "IQ_LASTSALEPRICE", WORKDAY(F1110,1)))</f>
        <v>1.0843635848916287E-3</v>
      </c>
      <c r="Q1110">
        <f>LN(_xll.ciqfunctions.udf.CIQ("XBI", "IQ_LASTSALEPRICE", WORKDAY(F1110,-1))/_xll.ciqfunctions.udf.CIQ("XBI", "IQ_LASTSALEPRICE", WORKDAY(F1110,5)))</f>
        <v>3.4623083447838446E-2</v>
      </c>
      <c r="R1110">
        <f>_xll.ciqfunctions.udf.CIQ(A1110, "IQ_SHORT_INTEREST_PERCENT", F1110)</f>
        <v>0.67874000000000001</v>
      </c>
      <c r="S1110">
        <f>_xll.ciqfunctions.udf.CIQ(A1110, "IQ_BETA_1YR_RSQ", F1110)</f>
        <v>5.0000000000000001E-4</v>
      </c>
      <c r="T1110">
        <f>_xll.ciqfunctions.udf.CIQ(A1110, "IQ_VALUE_TRADED", F1110)</f>
        <v>1.71719</v>
      </c>
    </row>
    <row r="1111" spans="1:20" x14ac:dyDescent="0.3">
      <c r="A1111" t="s">
        <v>3008</v>
      </c>
      <c r="B1111" s="2">
        <v>43.46</v>
      </c>
      <c r="C1111" t="s">
        <v>3009</v>
      </c>
      <c r="D1111" t="s">
        <v>3010</v>
      </c>
      <c r="E1111" t="s">
        <v>160</v>
      </c>
      <c r="F1111" s="1">
        <v>45434</v>
      </c>
      <c r="G1111" t="s">
        <v>3011</v>
      </c>
      <c r="H1111">
        <v>46</v>
      </c>
      <c r="I1111">
        <f>_xll.ciqfunctions.udf.CIQ(A1111, "IQ_MARKETCAP", F1111)</f>
        <v>2125.2793999999999</v>
      </c>
      <c r="J1111">
        <f>_xll.ciqfunctions.udf.CIQ(A1111, "IQ_PRICE_VOL_HIST_6MTH", F1111)</f>
        <v>40.742800000000003</v>
      </c>
      <c r="K1111">
        <f>_xll.ciqfunctions.udf.CIQ(A1111, "IQ_LASTSALEPRICE", WORKDAY(F1111,-1))</f>
        <v>41.91</v>
      </c>
      <c r="L1111">
        <f>_xll.ciqfunctions.udf.CIQ(A1111, "IQ_LASTSALEPRICE", F1111)</f>
        <v>43.46</v>
      </c>
      <c r="M1111">
        <f>_xll.ciqfunctions.udf.CIQ(A1111, "IQ_LASTSALEPRICE", WORKDAY(F1111,5))</f>
        <v>41.64</v>
      </c>
      <c r="N1111">
        <f t="shared" si="34"/>
        <v>3.6316512891303644E-2</v>
      </c>
      <c r="O1111">
        <f t="shared" si="35"/>
        <v>-6.4632181902118929E-3</v>
      </c>
      <c r="P1111">
        <f>LN(_xll.ciqfunctions.udf.CIQ("XBI", "IQ_LASTSALEPRICE", WORKDAY(F1111,-1))/_xll.ciqfunctions.udf.CIQ("XBI", "IQ_LASTSALEPRICE", WORKDAY(F1111,1)))</f>
        <v>2.4878280147683677E-2</v>
      </c>
      <c r="Q1111">
        <f>LN(_xll.ciqfunctions.udf.CIQ("XBI", "IQ_LASTSALEPRICE", WORKDAY(F1111,-1))/_xll.ciqfunctions.udf.CIQ("XBI", "IQ_LASTSALEPRICE", WORKDAY(F1111,5)))</f>
        <v>4.5693511311073583E-2</v>
      </c>
      <c r="R1111">
        <f>_xll.ciqfunctions.udf.CIQ(A1111, "IQ_SHORT_INTEREST_PERCENT", F1111)</f>
        <v>8.1531000000000002</v>
      </c>
      <c r="S1111">
        <f>_xll.ciqfunctions.udf.CIQ(A1111, "IQ_BETA_1YR_RSQ", F1111)</f>
        <v>8.1619999999999998E-2</v>
      </c>
      <c r="T1111">
        <f>_xll.ciqfunctions.udf.CIQ(A1111, "IQ_VALUE_TRADED", F1111)</f>
        <v>14.12846</v>
      </c>
    </row>
    <row r="1112" spans="1:20" x14ac:dyDescent="0.3">
      <c r="A1112" t="s">
        <v>654</v>
      </c>
      <c r="B1112" s="2">
        <v>14.18</v>
      </c>
      <c r="C1112" t="s">
        <v>2813</v>
      </c>
      <c r="D1112" t="s">
        <v>2814</v>
      </c>
      <c r="E1112" t="s">
        <v>124</v>
      </c>
      <c r="F1112" s="1">
        <v>45434</v>
      </c>
      <c r="G1112" t="s">
        <v>3012</v>
      </c>
      <c r="H1112">
        <v>61</v>
      </c>
      <c r="I1112">
        <f>_xll.ciqfunctions.udf.CIQ(A1112, "IQ_MARKETCAP", F1112)</f>
        <v>855.4203</v>
      </c>
      <c r="J1112">
        <f>_xll.ciqfunctions.udf.CIQ(A1112, "IQ_PRICE_VOL_HIST_6MTH", F1112)</f>
        <v>57.828600000000002</v>
      </c>
      <c r="K1112">
        <f>_xll.ciqfunctions.udf.CIQ(A1112, "IQ_LASTSALEPRICE", WORKDAY(F1112,-1))</f>
        <v>14.59</v>
      </c>
      <c r="L1112">
        <f>_xll.ciqfunctions.udf.CIQ(A1112, "IQ_LASTSALEPRICE", F1112)</f>
        <v>14.18</v>
      </c>
      <c r="M1112">
        <f>_xll.ciqfunctions.udf.CIQ(A1112, "IQ_LASTSALEPRICE", WORKDAY(F1112,5))</f>
        <v>12.62</v>
      </c>
      <c r="N1112">
        <f t="shared" si="34"/>
        <v>-2.8503841430712905E-2</v>
      </c>
      <c r="O1112">
        <f t="shared" si="35"/>
        <v>-0.14505350542162723</v>
      </c>
      <c r="P1112">
        <f>LN(_xll.ciqfunctions.udf.CIQ("XBI", "IQ_LASTSALEPRICE", WORKDAY(F1112,-1))/_xll.ciqfunctions.udf.CIQ("XBI", "IQ_LASTSALEPRICE", WORKDAY(F1112,1)))</f>
        <v>2.4878280147683677E-2</v>
      </c>
      <c r="Q1112">
        <f>LN(_xll.ciqfunctions.udf.CIQ("XBI", "IQ_LASTSALEPRICE", WORKDAY(F1112,-1))/_xll.ciqfunctions.udf.CIQ("XBI", "IQ_LASTSALEPRICE", WORKDAY(F1112,5)))</f>
        <v>4.5693511311073583E-2</v>
      </c>
      <c r="R1112">
        <f>_xll.ciqfunctions.udf.CIQ(A1112, "IQ_SHORT_INTEREST_PERCENT", F1112)</f>
        <v>12.50717</v>
      </c>
      <c r="S1112">
        <f>_xll.ciqfunctions.udf.CIQ(A1112, "IQ_BETA_1YR_RSQ", F1112)</f>
        <v>7.8869999999999996E-2</v>
      </c>
      <c r="T1112">
        <f>_xll.ciqfunctions.udf.CIQ(A1112, "IQ_VALUE_TRADED", F1112)</f>
        <v>3.8331499999999998</v>
      </c>
    </row>
    <row r="1113" spans="1:20" x14ac:dyDescent="0.3">
      <c r="A1113" t="s">
        <v>3013</v>
      </c>
      <c r="B1113" s="2">
        <v>25.46</v>
      </c>
      <c r="C1113" t="s">
        <v>3014</v>
      </c>
      <c r="D1113" t="s">
        <v>3015</v>
      </c>
      <c r="E1113" t="s">
        <v>197</v>
      </c>
      <c r="F1113" s="1">
        <v>45434</v>
      </c>
      <c r="G1113" t="s">
        <v>3016</v>
      </c>
      <c r="H1113">
        <v>26</v>
      </c>
      <c r="I1113">
        <f>_xll.ciqfunctions.udf.CIQ(A1113, "IQ_MARKETCAP", F1113)</f>
        <v>453.08751000000001</v>
      </c>
      <c r="J1113">
        <f>_xll.ciqfunctions.udf.CIQ(A1113, "IQ_PRICE_VOL_HIST_6MTH", F1113)</f>
        <v>126.2033</v>
      </c>
      <c r="K1113">
        <f>_xll.ciqfunctions.udf.CIQ(A1113, "IQ_LASTSALEPRICE", WORKDAY(F1113,-1))</f>
        <v>24.6</v>
      </c>
      <c r="L1113">
        <f>_xll.ciqfunctions.udf.CIQ(A1113, "IQ_LASTSALEPRICE", F1113)</f>
        <v>25.46</v>
      </c>
      <c r="M1113">
        <f>_xll.ciqfunctions.udf.CIQ(A1113, "IQ_LASTSALEPRICE", WORKDAY(F1113,5))</f>
        <v>29</v>
      </c>
      <c r="N1113">
        <f t="shared" si="34"/>
        <v>3.4362150190943297E-2</v>
      </c>
      <c r="O1113">
        <f t="shared" si="35"/>
        <v>0.1645493870481568</v>
      </c>
      <c r="P1113">
        <f>LN(_xll.ciqfunctions.udf.CIQ("XBI", "IQ_LASTSALEPRICE", WORKDAY(F1113,-1))/_xll.ciqfunctions.udf.CIQ("XBI", "IQ_LASTSALEPRICE", WORKDAY(F1113,1)))</f>
        <v>2.4878280147683677E-2</v>
      </c>
      <c r="Q1113">
        <f>LN(_xll.ciqfunctions.udf.CIQ("XBI", "IQ_LASTSALEPRICE", WORKDAY(F1113,-1))/_xll.ciqfunctions.udf.CIQ("XBI", "IQ_LASTSALEPRICE", WORKDAY(F1113,5)))</f>
        <v>4.5693511311073583E-2</v>
      </c>
      <c r="R1113">
        <f>_xll.ciqfunctions.udf.CIQ(A1113, "IQ_SHORT_INTEREST_PERCENT", F1113)</f>
        <v>4.4067600000000002</v>
      </c>
      <c r="S1113">
        <f>_xll.ciqfunctions.udf.CIQ(A1113, "IQ_BETA_1YR_RSQ", F1113)</f>
        <v>3.0040000000000001E-2</v>
      </c>
      <c r="T1113">
        <f>_xll.ciqfunctions.udf.CIQ(A1113, "IQ_VALUE_TRADED", F1113)</f>
        <v>1.48376</v>
      </c>
    </row>
    <row r="1114" spans="1:20" x14ac:dyDescent="0.3">
      <c r="A1114" t="s">
        <v>700</v>
      </c>
      <c r="B1114" s="2">
        <v>1</v>
      </c>
      <c r="C1114" t="s">
        <v>701</v>
      </c>
      <c r="D1114" t="s">
        <v>702</v>
      </c>
      <c r="E1114" t="s">
        <v>17</v>
      </c>
      <c r="F1114" s="1">
        <v>45434</v>
      </c>
      <c r="G1114" t="s">
        <v>3017</v>
      </c>
      <c r="H1114">
        <v>4</v>
      </c>
      <c r="I1114">
        <f>_xll.ciqfunctions.udf.CIQ(A1114, "IQ_MARKETCAP", F1114)</f>
        <v>39.367629999999998</v>
      </c>
      <c r="J1114">
        <f>_xll.ciqfunctions.udf.CIQ(A1114, "IQ_PRICE_VOL_HIST_6MTH", F1114)</f>
        <v>89.9178</v>
      </c>
      <c r="K1114">
        <f>_xll.ciqfunctions.udf.CIQ(A1114, "IQ_LASTSALEPRICE", WORKDAY(F1114,-1))</f>
        <v>9.9</v>
      </c>
      <c r="L1114">
        <f>_xll.ciqfunctions.udf.CIQ(A1114, "IQ_LASTSALEPRICE", F1114)</f>
        <v>10</v>
      </c>
      <c r="M1114">
        <f>_xll.ciqfunctions.udf.CIQ(A1114, "IQ_LASTSALEPRICE", WORKDAY(F1114,5))</f>
        <v>9.6880000000000006</v>
      </c>
      <c r="N1114">
        <f t="shared" si="34"/>
        <v>1.0050335853501506E-2</v>
      </c>
      <c r="O1114">
        <f t="shared" si="35"/>
        <v>-2.1646750889753142E-2</v>
      </c>
      <c r="P1114">
        <f>LN(_xll.ciqfunctions.udf.CIQ("XBI", "IQ_LASTSALEPRICE", WORKDAY(F1114,-1))/_xll.ciqfunctions.udf.CIQ("XBI", "IQ_LASTSALEPRICE", WORKDAY(F1114,1)))</f>
        <v>2.4878280147683677E-2</v>
      </c>
      <c r="Q1114">
        <f>LN(_xll.ciqfunctions.udf.CIQ("XBI", "IQ_LASTSALEPRICE", WORKDAY(F1114,-1))/_xll.ciqfunctions.udf.CIQ("XBI", "IQ_LASTSALEPRICE", WORKDAY(F1114,5)))</f>
        <v>4.5693511311073583E-2</v>
      </c>
      <c r="R1114">
        <f>_xll.ciqfunctions.udf.CIQ(A1114, "IQ_SHORT_INTEREST_PERCENT", F1114)</f>
        <v>0.22214999999999999</v>
      </c>
      <c r="S1114">
        <f>_xll.ciqfunctions.udf.CIQ(A1114, "IQ_BETA_1YR_RSQ", F1114)</f>
        <v>4.2470000000000001E-2</v>
      </c>
      <c r="T1114">
        <f>_xll.ciqfunctions.udf.CIQ(A1114, "IQ_VALUE_TRADED", F1114)</f>
        <v>8.7900000000000006E-2</v>
      </c>
    </row>
    <row r="1115" spans="1:20" x14ac:dyDescent="0.3">
      <c r="A1115" t="s">
        <v>528</v>
      </c>
      <c r="B1115" s="2">
        <v>11.71</v>
      </c>
      <c r="C1115" t="s">
        <v>529</v>
      </c>
      <c r="D1115" t="s">
        <v>183</v>
      </c>
      <c r="E1115" t="s">
        <v>76</v>
      </c>
      <c r="F1115" s="1">
        <v>45434</v>
      </c>
      <c r="G1115" t="s">
        <v>3018</v>
      </c>
      <c r="H1115">
        <v>96</v>
      </c>
      <c r="I1115">
        <f>_xll.ciqfunctions.udf.CIQ(A1115, "IQ_MARKETCAP", F1115)</f>
        <v>933.92010000000005</v>
      </c>
      <c r="J1115">
        <f>_xll.ciqfunctions.udf.CIQ(A1115, "IQ_PRICE_VOL_HIST_6MTH", F1115)</f>
        <v>73.114999999999995</v>
      </c>
      <c r="K1115">
        <f>_xll.ciqfunctions.udf.CIQ(A1115, "IQ_LASTSALEPRICE", WORKDAY(F1115,-1))</f>
        <v>12.27</v>
      </c>
      <c r="L1115">
        <f>_xll.ciqfunctions.udf.CIQ(A1115, "IQ_LASTSALEPRICE", F1115)</f>
        <v>11.71</v>
      </c>
      <c r="M1115">
        <f>_xll.ciqfunctions.udf.CIQ(A1115, "IQ_LASTSALEPRICE", WORKDAY(F1115,5))</f>
        <v>9.2100000000000009</v>
      </c>
      <c r="N1115">
        <f t="shared" si="34"/>
        <v>-4.6714081113193966E-2</v>
      </c>
      <c r="O1115">
        <f t="shared" si="35"/>
        <v>-0.28686740845560449</v>
      </c>
      <c r="P1115">
        <f>LN(_xll.ciqfunctions.udf.CIQ("XBI", "IQ_LASTSALEPRICE", WORKDAY(F1115,-1))/_xll.ciqfunctions.udf.CIQ("XBI", "IQ_LASTSALEPRICE", WORKDAY(F1115,1)))</f>
        <v>2.4878280147683677E-2</v>
      </c>
      <c r="Q1115">
        <f>LN(_xll.ciqfunctions.udf.CIQ("XBI", "IQ_LASTSALEPRICE", WORKDAY(F1115,-1))/_xll.ciqfunctions.udf.CIQ("XBI", "IQ_LASTSALEPRICE", WORKDAY(F1115,5)))</f>
        <v>4.5693511311073583E-2</v>
      </c>
      <c r="R1115">
        <f>_xll.ciqfunctions.udf.CIQ(A1115, "IQ_SHORT_INTEREST_PERCENT", F1115)</f>
        <v>16.779730000000001</v>
      </c>
      <c r="S1115">
        <f>_xll.ciqfunctions.udf.CIQ(A1115, "IQ_BETA_1YR_RSQ", F1115)</f>
        <v>1.4239999999999999E-2</v>
      </c>
      <c r="T1115">
        <f>_xll.ciqfunctions.udf.CIQ(A1115, "IQ_VALUE_TRADED", F1115)</f>
        <v>11.406879999999999</v>
      </c>
    </row>
    <row r="1116" spans="1:20" x14ac:dyDescent="0.3">
      <c r="A1116" t="s">
        <v>3019</v>
      </c>
      <c r="B1116" s="2">
        <v>3.41</v>
      </c>
      <c r="C1116" t="s">
        <v>3020</v>
      </c>
      <c r="D1116" t="s">
        <v>3021</v>
      </c>
      <c r="E1116" t="s">
        <v>124</v>
      </c>
      <c r="F1116" s="1">
        <v>45434</v>
      </c>
      <c r="G1116" t="s">
        <v>3022</v>
      </c>
      <c r="H1116">
        <v>191</v>
      </c>
      <c r="I1116">
        <f>_xll.ciqfunctions.udf.CIQ(A1116, "IQ_MARKETCAP", F1116)</f>
        <v>643.52637000000004</v>
      </c>
      <c r="J1116">
        <f>_xll.ciqfunctions.udf.CIQ(A1116, "IQ_PRICE_VOL_HIST_6MTH", F1116)</f>
        <v>43.193600000000004</v>
      </c>
      <c r="K1116">
        <f>_xll.ciqfunctions.udf.CIQ(A1116, "IQ_LASTSALEPRICE", WORKDAY(F1116,-1))</f>
        <v>3.21</v>
      </c>
      <c r="L1116">
        <f>_xll.ciqfunctions.udf.CIQ(A1116, "IQ_LASTSALEPRICE", F1116)</f>
        <v>3.41</v>
      </c>
      <c r="M1116">
        <f>_xll.ciqfunctions.udf.CIQ(A1116, "IQ_LASTSALEPRICE", WORKDAY(F1116,5))</f>
        <v>3.36</v>
      </c>
      <c r="N1116">
        <f t="shared" si="34"/>
        <v>6.044135415350093E-2</v>
      </c>
      <c r="O1116">
        <f t="shared" si="35"/>
        <v>4.5670036833188266E-2</v>
      </c>
      <c r="P1116">
        <f>LN(_xll.ciqfunctions.udf.CIQ("XBI", "IQ_LASTSALEPRICE", WORKDAY(F1116,-1))/_xll.ciqfunctions.udf.CIQ("XBI", "IQ_LASTSALEPRICE", WORKDAY(F1116,1)))</f>
        <v>2.4878280147683677E-2</v>
      </c>
      <c r="Q1116">
        <f>LN(_xll.ciqfunctions.udf.CIQ("XBI", "IQ_LASTSALEPRICE", WORKDAY(F1116,-1))/_xll.ciqfunctions.udf.CIQ("XBI", "IQ_LASTSALEPRICE", WORKDAY(F1116,5)))</f>
        <v>4.5693511311073583E-2</v>
      </c>
      <c r="R1116">
        <f>_xll.ciqfunctions.udf.CIQ(A1116, "IQ_SHORT_INTEREST_PERCENT", F1116)</f>
        <v>3.0763400000000001</v>
      </c>
      <c r="S1116">
        <f>_xll.ciqfunctions.udf.CIQ(A1116, "IQ_BETA_1YR_RSQ", F1116)</f>
        <v>7.5620000000000007E-2</v>
      </c>
      <c r="T1116">
        <f>_xll.ciqfunctions.udf.CIQ(A1116, "IQ_VALUE_TRADED", F1116)</f>
        <v>7.4261299999999997</v>
      </c>
    </row>
    <row r="1117" spans="1:20" x14ac:dyDescent="0.3">
      <c r="A1117" t="s">
        <v>2374</v>
      </c>
      <c r="B1117" s="2">
        <v>2.2999999999999998</v>
      </c>
      <c r="C1117" t="s">
        <v>3020</v>
      </c>
      <c r="D1117" t="s">
        <v>3021</v>
      </c>
      <c r="E1117" t="s">
        <v>124</v>
      </c>
      <c r="F1117" s="1">
        <v>45434</v>
      </c>
      <c r="G1117" t="s">
        <v>3022</v>
      </c>
      <c r="H1117">
        <v>40</v>
      </c>
      <c r="I1117">
        <f>_xll.ciqfunctions.udf.CIQ(A1117, "IQ_MARKETCAP", F1117)</f>
        <v>89.776259999999994</v>
      </c>
      <c r="J1117">
        <f>_xll.ciqfunctions.udf.CIQ(A1117, "IQ_PRICE_VOL_HIST_6MTH", F1117)</f>
        <v>85.580699999999993</v>
      </c>
      <c r="K1117">
        <f>_xll.ciqfunctions.udf.CIQ(A1117, "IQ_LASTSALEPRICE", WORKDAY(F1117,-1))</f>
        <v>2.1513</v>
      </c>
      <c r="L1117">
        <f>_xll.ciqfunctions.udf.CIQ(A1117, "IQ_LASTSALEPRICE", F1117)</f>
        <v>2.2999999999999998</v>
      </c>
      <c r="M1117">
        <f>_xll.ciqfunctions.udf.CIQ(A1117, "IQ_LASTSALEPRICE", WORKDAY(F1117,5))</f>
        <v>2.09</v>
      </c>
      <c r="N1117">
        <f t="shared" si="34"/>
        <v>6.6836812360602058E-2</v>
      </c>
      <c r="O1117">
        <f t="shared" si="35"/>
        <v>-2.8908244597782278E-2</v>
      </c>
      <c r="P1117">
        <f>LN(_xll.ciqfunctions.udf.CIQ("XBI", "IQ_LASTSALEPRICE", WORKDAY(F1117,-1))/_xll.ciqfunctions.udf.CIQ("XBI", "IQ_LASTSALEPRICE", WORKDAY(F1117,1)))</f>
        <v>2.4878280147683677E-2</v>
      </c>
      <c r="Q1117">
        <f>LN(_xll.ciqfunctions.udf.CIQ("XBI", "IQ_LASTSALEPRICE", WORKDAY(F1117,-1))/_xll.ciqfunctions.udf.CIQ("XBI", "IQ_LASTSALEPRICE", WORKDAY(F1117,5)))</f>
        <v>4.5693511311073583E-2</v>
      </c>
      <c r="R1117">
        <f>_xll.ciqfunctions.udf.CIQ(A1117, "IQ_SHORT_INTEREST_PERCENT", F1117)</f>
        <v>4.8730000000000002E-2</v>
      </c>
      <c r="S1117">
        <f>_xll.ciqfunctions.udf.CIQ(A1117, "IQ_BETA_1YR_RSQ", F1117)</f>
        <v>1.2199999999999999E-3</v>
      </c>
      <c r="T1117">
        <f>_xll.ciqfunctions.udf.CIQ(A1117, "IQ_VALUE_TRADED", F1117)</f>
        <v>2.4889999999999999E-2</v>
      </c>
    </row>
    <row r="1118" spans="1:20" x14ac:dyDescent="0.3">
      <c r="A1118" t="s">
        <v>2378</v>
      </c>
      <c r="B1118" t="s">
        <v>43</v>
      </c>
      <c r="C1118" t="s">
        <v>3020</v>
      </c>
      <c r="D1118" t="s">
        <v>3021</v>
      </c>
      <c r="E1118" t="s">
        <v>124</v>
      </c>
      <c r="F1118" s="1">
        <v>45434</v>
      </c>
      <c r="G1118" t="s">
        <v>3022</v>
      </c>
      <c r="I1118">
        <f>_xll.ciqfunctions.udf.CIQ(A1118, "IQ_MARKETCAP", F1118)</f>
        <v>1.02</v>
      </c>
      <c r="J1118">
        <f>_xll.ciqfunctions.udf.CIQ(A1118, "IQ_PRICE_VOL_HIST_6MTH", F1118)</f>
        <v>370.13670000000002</v>
      </c>
      <c r="K1118">
        <f>_xll.ciqfunctions.udf.CIQ(A1118, "IQ_LASTSALEPRICE", WORKDAY(F1118,-1))</f>
        <v>0.03</v>
      </c>
      <c r="L1118">
        <f>_xll.ciqfunctions.udf.CIQ(A1118, "IQ_LASTSALEPRICE", F1118)</f>
        <v>0.03</v>
      </c>
      <c r="M1118">
        <f>_xll.ciqfunctions.udf.CIQ(A1118, "IQ_LASTSALEPRICE", WORKDAY(F1118,5))</f>
        <v>0.03</v>
      </c>
      <c r="N1118">
        <f t="shared" si="34"/>
        <v>0</v>
      </c>
      <c r="O1118">
        <f t="shared" si="35"/>
        <v>0</v>
      </c>
      <c r="P1118">
        <f>LN(_xll.ciqfunctions.udf.CIQ("XBI", "IQ_LASTSALEPRICE", WORKDAY(F1118,-1))/_xll.ciqfunctions.udf.CIQ("XBI", "IQ_LASTSALEPRICE", WORKDAY(F1118,1)))</f>
        <v>2.4878280147683677E-2</v>
      </c>
      <c r="Q1118">
        <f>LN(_xll.ciqfunctions.udf.CIQ("XBI", "IQ_LASTSALEPRICE", WORKDAY(F1118,-1))/_xll.ciqfunctions.udf.CIQ("XBI", "IQ_LASTSALEPRICE", WORKDAY(F1118,5)))</f>
        <v>4.5693511311073583E-2</v>
      </c>
      <c r="R1118">
        <f>_xll.ciqfunctions.udf.CIQ(A1118, "IQ_SHORT_INTEREST_PERCENT", F1118)</f>
        <v>0</v>
      </c>
      <c r="S1118" t="str">
        <f>_xll.ciqfunctions.udf.CIQ(A1118, "IQ_BETA_1YR_RSQ", F1118)</f>
        <v>NM</v>
      </c>
      <c r="T1118">
        <f>_xll.ciqfunctions.udf.CIQ(A1118, "IQ_VALUE_TRADED", F1118)</f>
        <v>0</v>
      </c>
    </row>
    <row r="1119" spans="1:20" x14ac:dyDescent="0.3">
      <c r="A1119" t="s">
        <v>1203</v>
      </c>
      <c r="B1119" s="2">
        <v>2.48</v>
      </c>
      <c r="C1119" t="s">
        <v>3023</v>
      </c>
      <c r="D1119" t="s">
        <v>104</v>
      </c>
      <c r="E1119" t="s">
        <v>97</v>
      </c>
      <c r="F1119" s="1">
        <v>45434</v>
      </c>
      <c r="G1119" t="s">
        <v>3024</v>
      </c>
      <c r="H1119">
        <v>1</v>
      </c>
      <c r="I1119">
        <f>_xll.ciqfunctions.udf.CIQ(A1119, "IQ_MARKETCAP", F1119)</f>
        <v>21.176410000000001</v>
      </c>
      <c r="J1119">
        <f>_xll.ciqfunctions.udf.CIQ(A1119, "IQ_PRICE_VOL_HIST_6MTH", F1119)</f>
        <v>74.376800000000003</v>
      </c>
      <c r="K1119">
        <f>_xll.ciqfunctions.udf.CIQ(A1119, "IQ_LASTSALEPRICE", WORKDAY(F1119,-1))</f>
        <v>65.799970000000002</v>
      </c>
      <c r="L1119">
        <f>_xll.ciqfunctions.udf.CIQ(A1119, "IQ_LASTSALEPRICE", F1119)</f>
        <v>69.439970000000002</v>
      </c>
      <c r="M1119">
        <f>_xll.ciqfunctions.udf.CIQ(A1119, "IQ_LASTSALEPRICE", WORKDAY(F1119,5))</f>
        <v>77.279970000000006</v>
      </c>
      <c r="N1119">
        <f t="shared" si="34"/>
        <v>5.3843255920235714E-2</v>
      </c>
      <c r="O1119">
        <f t="shared" si="35"/>
        <v>0.16081541930131363</v>
      </c>
      <c r="P1119">
        <f>LN(_xll.ciqfunctions.udf.CIQ("XBI", "IQ_LASTSALEPRICE", WORKDAY(F1119,-1))/_xll.ciqfunctions.udf.CIQ("XBI", "IQ_LASTSALEPRICE", WORKDAY(F1119,1)))</f>
        <v>2.4878280147683677E-2</v>
      </c>
      <c r="Q1119">
        <f>LN(_xll.ciqfunctions.udf.CIQ("XBI", "IQ_LASTSALEPRICE", WORKDAY(F1119,-1))/_xll.ciqfunctions.udf.CIQ("XBI", "IQ_LASTSALEPRICE", WORKDAY(F1119,5)))</f>
        <v>4.5693511311073583E-2</v>
      </c>
      <c r="R1119">
        <f>_xll.ciqfunctions.udf.CIQ(A1119, "IQ_SHORT_INTEREST_PERCENT", F1119)</f>
        <v>0.30224000000000001</v>
      </c>
      <c r="S1119">
        <f>_xll.ciqfunctions.udf.CIQ(A1119, "IQ_BETA_1YR_RSQ", F1119)</f>
        <v>9.9500000000000005E-2</v>
      </c>
      <c r="T1119">
        <f>_xll.ciqfunctions.udf.CIQ(A1119, "IQ_VALUE_TRADED", F1119)</f>
        <v>0.24026</v>
      </c>
    </row>
    <row r="1120" spans="1:20" x14ac:dyDescent="0.3">
      <c r="A1120" t="s">
        <v>1168</v>
      </c>
      <c r="B1120" s="2">
        <v>4.84</v>
      </c>
      <c r="C1120" t="s">
        <v>2484</v>
      </c>
      <c r="D1120" t="s">
        <v>2485</v>
      </c>
      <c r="E1120" t="s">
        <v>124</v>
      </c>
      <c r="F1120" s="1">
        <v>45434</v>
      </c>
      <c r="G1120" t="s">
        <v>3025</v>
      </c>
      <c r="H1120">
        <v>7</v>
      </c>
      <c r="I1120">
        <f>_xll.ciqfunctions.udf.CIQ(A1120, "IQ_MARKETCAP", F1120)</f>
        <v>29.521629999999998</v>
      </c>
      <c r="J1120">
        <f>_xll.ciqfunctions.udf.CIQ(A1120, "IQ_PRICE_VOL_HIST_6MTH", F1120)</f>
        <v>182.71960000000001</v>
      </c>
      <c r="K1120">
        <f>_xll.ciqfunctions.udf.CIQ(A1120, "IQ_LASTSALEPRICE", WORKDAY(F1120,-1))</f>
        <v>48.37</v>
      </c>
      <c r="L1120">
        <f>_xll.ciqfunctions.udf.CIQ(A1120, "IQ_LASTSALEPRICE", F1120)</f>
        <v>48.42</v>
      </c>
      <c r="M1120">
        <f>_xll.ciqfunctions.udf.CIQ(A1120, "IQ_LASTSALEPRICE", WORKDAY(F1120,5))</f>
        <v>43.74</v>
      </c>
      <c r="N1120">
        <f t="shared" si="34"/>
        <v>1.0331646750206284E-3</v>
      </c>
      <c r="O1120">
        <f t="shared" si="35"/>
        <v>-0.10061677158626998</v>
      </c>
      <c r="P1120">
        <f>LN(_xll.ciqfunctions.udf.CIQ("XBI", "IQ_LASTSALEPRICE", WORKDAY(F1120,-1))/_xll.ciqfunctions.udf.CIQ("XBI", "IQ_LASTSALEPRICE", WORKDAY(F1120,1)))</f>
        <v>2.4878280147683677E-2</v>
      </c>
      <c r="Q1120">
        <f>LN(_xll.ciqfunctions.udf.CIQ("XBI", "IQ_LASTSALEPRICE", WORKDAY(F1120,-1))/_xll.ciqfunctions.udf.CIQ("XBI", "IQ_LASTSALEPRICE", WORKDAY(F1120,5)))</f>
        <v>4.5693511311073583E-2</v>
      </c>
      <c r="R1120">
        <f>_xll.ciqfunctions.udf.CIQ(A1120, "IQ_SHORT_INTEREST_PERCENT", F1120)</f>
        <v>2.0868000000000002</v>
      </c>
      <c r="S1120">
        <f>_xll.ciqfunctions.udf.CIQ(A1120, "IQ_BETA_1YR_RSQ", F1120)</f>
        <v>1.306E-2</v>
      </c>
      <c r="T1120">
        <f>_xll.ciqfunctions.udf.CIQ(A1120, "IQ_VALUE_TRADED", F1120)</f>
        <v>0.36421999999999999</v>
      </c>
    </row>
    <row r="1121" spans="1:20" x14ac:dyDescent="0.3">
      <c r="A1121" t="s">
        <v>3026</v>
      </c>
      <c r="B1121" s="2">
        <v>12.75</v>
      </c>
      <c r="C1121" t="s">
        <v>3027</v>
      </c>
      <c r="D1121" t="s">
        <v>3028</v>
      </c>
      <c r="E1121" t="s">
        <v>76</v>
      </c>
      <c r="F1121" s="1">
        <v>45434</v>
      </c>
      <c r="G1121" t="s">
        <v>3018</v>
      </c>
      <c r="H1121">
        <v>36</v>
      </c>
      <c r="I1121">
        <f>_xll.ciqfunctions.udf.CIQ(A1121, "IQ_MARKETCAP", F1121)</f>
        <v>470.47842000000003</v>
      </c>
      <c r="J1121">
        <f>_xll.ciqfunctions.udf.CIQ(A1121, "IQ_PRICE_VOL_HIST_6MTH", F1121)</f>
        <v>104.27930000000001</v>
      </c>
      <c r="K1121">
        <f>_xll.ciqfunctions.udf.CIQ(A1121, "IQ_LASTSALEPRICE", WORKDAY(F1121,-1))</f>
        <v>12.75</v>
      </c>
      <c r="L1121">
        <f>_xll.ciqfunctions.udf.CIQ(A1121, "IQ_LASTSALEPRICE", F1121)</f>
        <v>12.75</v>
      </c>
      <c r="M1121">
        <f>_xll.ciqfunctions.udf.CIQ(A1121, "IQ_LASTSALEPRICE", WORKDAY(F1121,5))</f>
        <v>8.26</v>
      </c>
      <c r="N1121">
        <f t="shared" si="34"/>
        <v>0</v>
      </c>
      <c r="O1121">
        <f t="shared" si="35"/>
        <v>-0.43410668407154845</v>
      </c>
      <c r="P1121">
        <f>LN(_xll.ciqfunctions.udf.CIQ("XBI", "IQ_LASTSALEPRICE", WORKDAY(F1121,-1))/_xll.ciqfunctions.udf.CIQ("XBI", "IQ_LASTSALEPRICE", WORKDAY(F1121,1)))</f>
        <v>2.4878280147683677E-2</v>
      </c>
      <c r="Q1121">
        <f>LN(_xll.ciqfunctions.udf.CIQ("XBI", "IQ_LASTSALEPRICE", WORKDAY(F1121,-1))/_xll.ciqfunctions.udf.CIQ("XBI", "IQ_LASTSALEPRICE", WORKDAY(F1121,5)))</f>
        <v>4.5693511311073583E-2</v>
      </c>
      <c r="R1121">
        <f>_xll.ciqfunctions.udf.CIQ(A1121, "IQ_SHORT_INTEREST_PERCENT", F1121)</f>
        <v>3.1140000000000001E-2</v>
      </c>
      <c r="S1121">
        <f>_xll.ciqfunctions.udf.CIQ(A1121, "IQ_BETA_1YR_RSQ", F1121)</f>
        <v>5.2999999999999998E-4</v>
      </c>
      <c r="T1121">
        <f>_xll.ciqfunctions.udf.CIQ(A1121, "IQ_VALUE_TRADED", F1121)</f>
        <v>2.96E-3</v>
      </c>
    </row>
    <row r="1122" spans="1:20" x14ac:dyDescent="0.3">
      <c r="A1122" t="s">
        <v>859</v>
      </c>
      <c r="B1122" s="2">
        <v>1.8</v>
      </c>
      <c r="C1122" t="s">
        <v>860</v>
      </c>
      <c r="D1122" t="s">
        <v>861</v>
      </c>
      <c r="E1122" t="s">
        <v>17</v>
      </c>
      <c r="F1122" s="1">
        <v>45434</v>
      </c>
      <c r="G1122" t="s">
        <v>3029</v>
      </c>
      <c r="I1122">
        <f>_xll.ciqfunctions.udf.CIQ(A1122, "IQ_MARKETCAP", F1122)</f>
        <v>0</v>
      </c>
      <c r="J1122">
        <f>_xll.ciqfunctions.udf.CIQ(A1122, "IQ_PRICE_VOL_HIST_6MTH", F1122)</f>
        <v>0</v>
      </c>
      <c r="K1122">
        <f>_xll.ciqfunctions.udf.CIQ(A1122, "IQ_LASTSALEPRICE", WORKDAY(F1122,-1))</f>
        <v>0</v>
      </c>
      <c r="L1122">
        <f>_xll.ciqfunctions.udf.CIQ(A1122, "IQ_LASTSALEPRICE", F1122)</f>
        <v>0</v>
      </c>
      <c r="M1122">
        <f>_xll.ciqfunctions.udf.CIQ(A1122, "IQ_LASTSALEPRICE", WORKDAY(F1122,5))</f>
        <v>0</v>
      </c>
      <c r="N1122" t="e">
        <f t="shared" si="34"/>
        <v>#DIV/0!</v>
      </c>
      <c r="O1122" t="e">
        <f t="shared" si="35"/>
        <v>#DIV/0!</v>
      </c>
      <c r="P1122">
        <f>LN(_xll.ciqfunctions.udf.CIQ("XBI", "IQ_LASTSALEPRICE", WORKDAY(F1122,-1))/_xll.ciqfunctions.udf.CIQ("XBI", "IQ_LASTSALEPRICE", WORKDAY(F1122,1)))</f>
        <v>2.4878280147683677E-2</v>
      </c>
      <c r="Q1122">
        <f>LN(_xll.ciqfunctions.udf.CIQ("XBI", "IQ_LASTSALEPRICE", WORKDAY(F1122,-1))/_xll.ciqfunctions.udf.CIQ("XBI", "IQ_LASTSALEPRICE", WORKDAY(F1122,5)))</f>
        <v>4.5693511311073583E-2</v>
      </c>
      <c r="R1122">
        <f>_xll.ciqfunctions.udf.CIQ(A1122, "IQ_SHORT_INTEREST_PERCENT", F1122)</f>
        <v>0</v>
      </c>
      <c r="S1122">
        <f>_xll.ciqfunctions.udf.CIQ(A1122, "IQ_BETA_1YR_RSQ", F1122)</f>
        <v>0</v>
      </c>
      <c r="T1122">
        <f>_xll.ciqfunctions.udf.CIQ(A1122, "IQ_VALUE_TRADED", F1122)</f>
        <v>0</v>
      </c>
    </row>
    <row r="1123" spans="1:20" x14ac:dyDescent="0.3">
      <c r="A1123" t="s">
        <v>2848</v>
      </c>
      <c r="B1123" s="2">
        <v>35.700000000000003</v>
      </c>
      <c r="C1123" t="s">
        <v>3030</v>
      </c>
      <c r="D1123" t="s">
        <v>3031</v>
      </c>
      <c r="E1123" t="s">
        <v>89</v>
      </c>
      <c r="F1123" s="1">
        <v>45434</v>
      </c>
      <c r="G1123" t="s">
        <v>3032</v>
      </c>
      <c r="H1123">
        <v>71</v>
      </c>
      <c r="I1123">
        <f>_xll.ciqfunctions.udf.CIQ(A1123, "IQ_MARKETCAP", F1123)</f>
        <v>2190.4899500000001</v>
      </c>
      <c r="J1123">
        <f>_xll.ciqfunctions.udf.CIQ(A1123, "IQ_PRICE_VOL_HIST_6MTH", F1123)</f>
        <v>59.825499999999998</v>
      </c>
      <c r="K1123">
        <f>_xll.ciqfunctions.udf.CIQ(A1123, "IQ_LASTSALEPRICE", WORKDAY(F1123,-1))</f>
        <v>35.32</v>
      </c>
      <c r="L1123">
        <f>_xll.ciqfunctions.udf.CIQ(A1123, "IQ_LASTSALEPRICE", F1123)</f>
        <v>35.700000000000003</v>
      </c>
      <c r="M1123">
        <f>_xll.ciqfunctions.udf.CIQ(A1123, "IQ_LASTSALEPRICE", WORKDAY(F1123,5))</f>
        <v>32.49</v>
      </c>
      <c r="N1123">
        <f t="shared" si="34"/>
        <v>1.0701313049834264E-2</v>
      </c>
      <c r="O1123">
        <f t="shared" si="35"/>
        <v>-8.3517026054750282E-2</v>
      </c>
      <c r="P1123">
        <f>LN(_xll.ciqfunctions.udf.CIQ("XBI", "IQ_LASTSALEPRICE", WORKDAY(F1123,-1))/_xll.ciqfunctions.udf.CIQ("XBI", "IQ_LASTSALEPRICE", WORKDAY(F1123,1)))</f>
        <v>2.4878280147683677E-2</v>
      </c>
      <c r="Q1123">
        <f>LN(_xll.ciqfunctions.udf.CIQ("XBI", "IQ_LASTSALEPRICE", WORKDAY(F1123,-1))/_xll.ciqfunctions.udf.CIQ("XBI", "IQ_LASTSALEPRICE", WORKDAY(F1123,5)))</f>
        <v>4.5693511311073583E-2</v>
      </c>
      <c r="R1123">
        <f>_xll.ciqfunctions.udf.CIQ(A1123, "IQ_SHORT_INTEREST_PERCENT", F1123)</f>
        <v>16.148309999999999</v>
      </c>
      <c r="S1123">
        <f>_xll.ciqfunctions.udf.CIQ(A1123, "IQ_BETA_1YR_RSQ", F1123)</f>
        <v>0.27001999999999998</v>
      </c>
      <c r="T1123">
        <f>_xll.ciqfunctions.udf.CIQ(A1123, "IQ_VALUE_TRADED", F1123)</f>
        <v>18.394850000000002</v>
      </c>
    </row>
    <row r="1124" spans="1:20" x14ac:dyDescent="0.3">
      <c r="A1124" t="s">
        <v>3033</v>
      </c>
      <c r="B1124" s="2">
        <v>1.68</v>
      </c>
      <c r="C1124" t="s">
        <v>3034</v>
      </c>
      <c r="D1124" t="s">
        <v>969</v>
      </c>
      <c r="E1124" t="s">
        <v>197</v>
      </c>
      <c r="F1124" s="1">
        <v>45434</v>
      </c>
      <c r="G1124" t="s">
        <v>3035</v>
      </c>
      <c r="H1124">
        <v>55</v>
      </c>
      <c r="I1124">
        <f>_xll.ciqfunctions.udf.CIQ(A1124, "IQ_MARKETCAP", F1124)</f>
        <v>92.570440000000005</v>
      </c>
      <c r="J1124">
        <f>_xll.ciqfunctions.udf.CIQ(A1124, "IQ_PRICE_VOL_HIST_6MTH", F1124)</f>
        <v>129.62970000000001</v>
      </c>
      <c r="K1124">
        <f>_xll.ciqfunctions.udf.CIQ(A1124, "IQ_LASTSALEPRICE", WORKDAY(F1124,-1))</f>
        <v>1.77</v>
      </c>
      <c r="L1124">
        <f>_xll.ciqfunctions.udf.CIQ(A1124, "IQ_LASTSALEPRICE", F1124)</f>
        <v>1.68</v>
      </c>
      <c r="M1124">
        <f>_xll.ciqfunctions.udf.CIQ(A1124, "IQ_LASTSALEPRICE", WORKDAY(F1124,5))</f>
        <v>1.5999000000000001</v>
      </c>
      <c r="N1124">
        <f t="shared" si="34"/>
        <v>-5.2185753170570309E-2</v>
      </c>
      <c r="O1124">
        <f t="shared" si="35"/>
        <v>-0.10103841929320859</v>
      </c>
      <c r="P1124">
        <f>LN(_xll.ciqfunctions.udf.CIQ("XBI", "IQ_LASTSALEPRICE", WORKDAY(F1124,-1))/_xll.ciqfunctions.udf.CIQ("XBI", "IQ_LASTSALEPRICE", WORKDAY(F1124,1)))</f>
        <v>2.4878280147683677E-2</v>
      </c>
      <c r="Q1124">
        <f>LN(_xll.ciqfunctions.udf.CIQ("XBI", "IQ_LASTSALEPRICE", WORKDAY(F1124,-1))/_xll.ciqfunctions.udf.CIQ("XBI", "IQ_LASTSALEPRICE", WORKDAY(F1124,5)))</f>
        <v>4.5693511311073583E-2</v>
      </c>
      <c r="R1124">
        <f>_xll.ciqfunctions.udf.CIQ(A1124, "IQ_SHORT_INTEREST_PERCENT", F1124)</f>
        <v>5.6680000000000001E-2</v>
      </c>
      <c r="S1124">
        <f>_xll.ciqfunctions.udf.CIQ(A1124, "IQ_BETA_1YR_RSQ", F1124)</f>
        <v>3.6999999999999999E-4</v>
      </c>
      <c r="T1124">
        <f>_xll.ciqfunctions.udf.CIQ(A1124, "IQ_VALUE_TRADED", F1124)</f>
        <v>4.4150000000000002E-2</v>
      </c>
    </row>
    <row r="1125" spans="1:20" x14ac:dyDescent="0.3">
      <c r="A1125" t="s">
        <v>3036</v>
      </c>
      <c r="B1125" s="2">
        <v>7.09</v>
      </c>
      <c r="C1125" t="s">
        <v>3037</v>
      </c>
      <c r="D1125" t="s">
        <v>3038</v>
      </c>
      <c r="E1125" t="s">
        <v>17</v>
      </c>
      <c r="F1125" s="1">
        <v>45435</v>
      </c>
      <c r="G1125" t="s">
        <v>3039</v>
      </c>
      <c r="H1125">
        <v>111</v>
      </c>
      <c r="I1125">
        <f>_xll.ciqfunctions.udf.CIQ(A1125, "IQ_MARKETCAP", F1125)</f>
        <v>757.54</v>
      </c>
      <c r="J1125">
        <f>_xll.ciqfunctions.udf.CIQ(A1125, "IQ_PRICE_VOL_HIST_6MTH", F1125)</f>
        <v>56.859299999999998</v>
      </c>
      <c r="K1125">
        <f>_xll.ciqfunctions.udf.CIQ(A1125, "IQ_LASTSALEPRICE", WORKDAY(F1125,-1))</f>
        <v>7.39</v>
      </c>
      <c r="L1125">
        <f>_xll.ciqfunctions.udf.CIQ(A1125, "IQ_LASTSALEPRICE", F1125)</f>
        <v>7.09</v>
      </c>
      <c r="M1125">
        <f>_xll.ciqfunctions.udf.CIQ(A1125, "IQ_LASTSALEPRICE", WORKDAY(F1125,5))</f>
        <v>6.66</v>
      </c>
      <c r="N1125">
        <f t="shared" si="34"/>
        <v>-4.1442394416074217E-2</v>
      </c>
      <c r="O1125">
        <f t="shared" si="35"/>
        <v>-0.1040082504078126</v>
      </c>
      <c r="P1125">
        <f>LN(_xll.ciqfunctions.udf.CIQ("XBI", "IQ_LASTSALEPRICE", WORKDAY(F1125,-1))/_xll.ciqfunctions.udf.CIQ("XBI", "IQ_LASTSALEPRICE", WORKDAY(F1125,1)))</f>
        <v>3.6910267223963261E-2</v>
      </c>
      <c r="Q1125">
        <f>LN(_xll.ciqfunctions.udf.CIQ("XBI", "IQ_LASTSALEPRICE", WORKDAY(F1125,-1))/_xll.ciqfunctions.udf.CIQ("XBI", "IQ_LASTSALEPRICE", WORKDAY(F1125,5)))</f>
        <v>3.5447867503300687E-2</v>
      </c>
      <c r="R1125">
        <f>_xll.ciqfunctions.udf.CIQ(A1125, "IQ_SHORT_INTEREST_PERCENT", F1125)</f>
        <v>10.19008</v>
      </c>
      <c r="S1125">
        <f>_xll.ciqfunctions.udf.CIQ(A1125, "IQ_BETA_1YR_RSQ", F1125)</f>
        <v>4.6100000000000004E-3</v>
      </c>
      <c r="T1125">
        <f>_xll.ciqfunctions.udf.CIQ(A1125, "IQ_VALUE_TRADED", F1125)</f>
        <v>8.6808800000000002</v>
      </c>
    </row>
    <row r="1126" spans="1:20" x14ac:dyDescent="0.3">
      <c r="A1126" t="s">
        <v>3040</v>
      </c>
      <c r="B1126" s="2">
        <v>1.71</v>
      </c>
      <c r="C1126" t="s">
        <v>3041</v>
      </c>
      <c r="D1126" t="s">
        <v>3042</v>
      </c>
      <c r="E1126" t="s">
        <v>22</v>
      </c>
      <c r="F1126" s="1">
        <v>45435</v>
      </c>
      <c r="G1126" t="s">
        <v>3043</v>
      </c>
      <c r="H1126">
        <v>4</v>
      </c>
      <c r="I1126">
        <f>_xll.ciqfunctions.udf.CIQ(A1126, "IQ_MARKETCAP", F1126)</f>
        <v>27.414210000000001</v>
      </c>
      <c r="J1126">
        <f>_xll.ciqfunctions.udf.CIQ(A1126, "IQ_PRICE_VOL_HIST_6MTH", F1126)</f>
        <v>121.4821</v>
      </c>
      <c r="K1126">
        <f>_xll.ciqfunctions.udf.CIQ(A1126, "IQ_LASTSALEPRICE", WORKDAY(F1126,-1))</f>
        <v>0.51</v>
      </c>
      <c r="L1126">
        <f>_xll.ciqfunctions.udf.CIQ(A1126, "IQ_LASTSALEPRICE", F1126)</f>
        <v>0.51</v>
      </c>
      <c r="M1126">
        <f>_xll.ciqfunctions.udf.CIQ(A1126, "IQ_LASTSALEPRICE", WORKDAY(F1126,5))</f>
        <v>0.46</v>
      </c>
      <c r="N1126">
        <f t="shared" si="34"/>
        <v>0</v>
      </c>
      <c r="O1126">
        <f t="shared" si="35"/>
        <v>-0.10318423623523075</v>
      </c>
      <c r="P1126">
        <f>LN(_xll.ciqfunctions.udf.CIQ("XBI", "IQ_LASTSALEPRICE", WORKDAY(F1126,-1))/_xll.ciqfunctions.udf.CIQ("XBI", "IQ_LASTSALEPRICE", WORKDAY(F1126,1)))</f>
        <v>3.6910267223963261E-2</v>
      </c>
      <c r="Q1126">
        <f>LN(_xll.ciqfunctions.udf.CIQ("XBI", "IQ_LASTSALEPRICE", WORKDAY(F1126,-1))/_xll.ciqfunctions.udf.CIQ("XBI", "IQ_LASTSALEPRICE", WORKDAY(F1126,5)))</f>
        <v>3.5447867503300687E-2</v>
      </c>
      <c r="R1126">
        <f>_xll.ciqfunctions.udf.CIQ(A1126, "IQ_SHORT_INTEREST_PERCENT", F1126)</f>
        <v>0</v>
      </c>
      <c r="S1126">
        <f>_xll.ciqfunctions.udf.CIQ(A1126, "IQ_BETA_1YR_RSQ", F1126)</f>
        <v>4.7400000000000003E-3</v>
      </c>
      <c r="T1126">
        <f>_xll.ciqfunctions.udf.CIQ(A1126, "IQ_VALUE_TRADED", F1126)</f>
        <v>1.193E-2</v>
      </c>
    </row>
    <row r="1127" spans="1:20" x14ac:dyDescent="0.3">
      <c r="A1127" t="s">
        <v>556</v>
      </c>
      <c r="B1127" s="2">
        <v>2.23</v>
      </c>
      <c r="C1127" t="s">
        <v>557</v>
      </c>
      <c r="D1127" t="s">
        <v>558</v>
      </c>
      <c r="E1127" t="s">
        <v>46</v>
      </c>
      <c r="F1127" s="1">
        <v>45435</v>
      </c>
      <c r="G1127" t="s">
        <v>3044</v>
      </c>
      <c r="H1127">
        <v>17</v>
      </c>
      <c r="I1127">
        <f>_xll.ciqfunctions.udf.CIQ(A1127, "IQ_MARKETCAP", F1127)</f>
        <v>26.345220000000001</v>
      </c>
      <c r="J1127">
        <f>_xll.ciqfunctions.udf.CIQ(A1127, "IQ_PRICE_VOL_HIST_6MTH", F1127)</f>
        <v>90.499600000000001</v>
      </c>
      <c r="K1127">
        <f>_xll.ciqfunctions.udf.CIQ(A1127, "IQ_LASTSALEPRICE", WORKDAY(F1127,-1))</f>
        <v>2.27</v>
      </c>
      <c r="L1127">
        <f>_xll.ciqfunctions.udf.CIQ(A1127, "IQ_LASTSALEPRICE", F1127)</f>
        <v>2.23</v>
      </c>
      <c r="M1127">
        <f>_xll.ciqfunctions.udf.CIQ(A1127, "IQ_LASTSALEPRICE", WORKDAY(F1127,5))</f>
        <v>2.4300000000000002</v>
      </c>
      <c r="N1127">
        <f t="shared" si="34"/>
        <v>-1.7778246021283944E-2</v>
      </c>
      <c r="O1127">
        <f t="shared" si="35"/>
        <v>6.8111425859145883E-2</v>
      </c>
      <c r="P1127">
        <f>LN(_xll.ciqfunctions.udf.CIQ("XBI", "IQ_LASTSALEPRICE", WORKDAY(F1127,-1))/_xll.ciqfunctions.udf.CIQ("XBI", "IQ_LASTSALEPRICE", WORKDAY(F1127,1)))</f>
        <v>3.6910267223963261E-2</v>
      </c>
      <c r="Q1127">
        <f>LN(_xll.ciqfunctions.udf.CIQ("XBI", "IQ_LASTSALEPRICE", WORKDAY(F1127,-1))/_xll.ciqfunctions.udf.CIQ("XBI", "IQ_LASTSALEPRICE", WORKDAY(F1127,5)))</f>
        <v>3.5447867503300687E-2</v>
      </c>
      <c r="R1127">
        <f>_xll.ciqfunctions.udf.CIQ(A1127, "IQ_SHORT_INTEREST_PERCENT", F1127)</f>
        <v>0.84828000000000003</v>
      </c>
      <c r="S1127">
        <f>_xll.ciqfunctions.udf.CIQ(A1127, "IQ_BETA_1YR_RSQ", F1127)</f>
        <v>2.801E-2</v>
      </c>
      <c r="T1127">
        <f>_xll.ciqfunctions.udf.CIQ(A1127, "IQ_VALUE_TRADED", F1127)</f>
        <v>0.79281999999999997</v>
      </c>
    </row>
    <row r="1128" spans="1:20" x14ac:dyDescent="0.3">
      <c r="A1128" t="s">
        <v>378</v>
      </c>
      <c r="B1128" s="2">
        <v>7.2</v>
      </c>
      <c r="C1128" t="s">
        <v>379</v>
      </c>
      <c r="D1128" t="s">
        <v>380</v>
      </c>
      <c r="E1128" t="s">
        <v>22</v>
      </c>
      <c r="F1128" s="1">
        <v>45435</v>
      </c>
      <c r="G1128" t="s">
        <v>3045</v>
      </c>
      <c r="H1128">
        <v>6</v>
      </c>
      <c r="I1128">
        <f>_xll.ciqfunctions.udf.CIQ(A1128, "IQ_MARKETCAP", F1128)</f>
        <v>27.86026</v>
      </c>
      <c r="J1128">
        <f>_xll.ciqfunctions.udf.CIQ(A1128, "IQ_PRICE_VOL_HIST_6MTH", F1128)</f>
        <v>52.413200000000003</v>
      </c>
      <c r="K1128">
        <f>_xll.ciqfunctions.udf.CIQ(A1128, "IQ_LASTSALEPRICE", WORKDAY(F1128,-1))</f>
        <v>1.99</v>
      </c>
      <c r="L1128">
        <f>_xll.ciqfunctions.udf.CIQ(A1128, "IQ_LASTSALEPRICE", F1128)</f>
        <v>2</v>
      </c>
      <c r="M1128">
        <f>_xll.ciqfunctions.udf.CIQ(A1128, "IQ_LASTSALEPRICE", WORKDAY(F1128,5))</f>
        <v>1.96</v>
      </c>
      <c r="N1128">
        <f t="shared" si="34"/>
        <v>5.0125418235441935E-3</v>
      </c>
      <c r="O1128">
        <f t="shared" si="35"/>
        <v>-1.5190165493975233E-2</v>
      </c>
      <c r="P1128">
        <f>LN(_xll.ciqfunctions.udf.CIQ("XBI", "IQ_LASTSALEPRICE", WORKDAY(F1128,-1))/_xll.ciqfunctions.udf.CIQ("XBI", "IQ_LASTSALEPRICE", WORKDAY(F1128,1)))</f>
        <v>3.6910267223963261E-2</v>
      </c>
      <c r="Q1128">
        <f>LN(_xll.ciqfunctions.udf.CIQ("XBI", "IQ_LASTSALEPRICE", WORKDAY(F1128,-1))/_xll.ciqfunctions.udf.CIQ("XBI", "IQ_LASTSALEPRICE", WORKDAY(F1128,5)))</f>
        <v>3.5447867503300687E-2</v>
      </c>
      <c r="R1128">
        <f>_xll.ciqfunctions.udf.CIQ(A1128, "IQ_SHORT_INTEREST_PERCENT", F1128)</f>
        <v>0</v>
      </c>
      <c r="S1128">
        <f>_xll.ciqfunctions.udf.CIQ(A1128, "IQ_BETA_1YR_RSQ", F1128)</f>
        <v>0.11493</v>
      </c>
      <c r="T1128">
        <f>_xll.ciqfunctions.udf.CIQ(A1128, "IQ_VALUE_TRADED", F1128)</f>
        <v>4.0000000000000001E-3</v>
      </c>
    </row>
    <row r="1129" spans="1:20" x14ac:dyDescent="0.3">
      <c r="A1129" t="s">
        <v>203</v>
      </c>
      <c r="B1129" s="2">
        <v>40.47</v>
      </c>
      <c r="C1129" t="s">
        <v>379</v>
      </c>
      <c r="D1129" t="s">
        <v>380</v>
      </c>
      <c r="E1129" t="s">
        <v>22</v>
      </c>
      <c r="F1129" s="1">
        <v>45435</v>
      </c>
      <c r="G1129" t="s">
        <v>3045</v>
      </c>
      <c r="I1129">
        <f>_xll.ciqfunctions.udf.CIQ(A1129, "IQ_MARKETCAP", F1129)</f>
        <v>84205.737989999994</v>
      </c>
      <c r="J1129">
        <f>_xll.ciqfunctions.udf.CIQ(A1129, "IQ_PRICE_VOL_HIST_6MTH", F1129)</f>
        <v>22.6783</v>
      </c>
      <c r="K1129">
        <f>_xll.ciqfunctions.udf.CIQ(A1129, "IQ_LASTSALEPRICE", WORKDAY(F1129,-1))</f>
        <v>42.34</v>
      </c>
      <c r="L1129">
        <f>_xll.ciqfunctions.udf.CIQ(A1129, "IQ_LASTSALEPRICE", F1129)</f>
        <v>41.54</v>
      </c>
      <c r="M1129">
        <f>_xll.ciqfunctions.udf.CIQ(A1129, "IQ_LASTSALEPRICE", WORKDAY(F1129,5))</f>
        <v>40.25</v>
      </c>
      <c r="N1129">
        <f t="shared" si="34"/>
        <v>-1.9075447258752966E-2</v>
      </c>
      <c r="O1129">
        <f t="shared" si="35"/>
        <v>-5.062226184214684E-2</v>
      </c>
      <c r="P1129">
        <f>LN(_xll.ciqfunctions.udf.CIQ("XBI", "IQ_LASTSALEPRICE", WORKDAY(F1129,-1))/_xll.ciqfunctions.udf.CIQ("XBI", "IQ_LASTSALEPRICE", WORKDAY(F1129,1)))</f>
        <v>3.6910267223963261E-2</v>
      </c>
      <c r="Q1129">
        <f>LN(_xll.ciqfunctions.udf.CIQ("XBI", "IQ_LASTSALEPRICE", WORKDAY(F1129,-1))/_xll.ciqfunctions.udf.CIQ("XBI", "IQ_LASTSALEPRICE", WORKDAY(F1129,5)))</f>
        <v>3.5447867503300687E-2</v>
      </c>
      <c r="R1129">
        <f>_xll.ciqfunctions.udf.CIQ(A1129, "IQ_SHORT_INTEREST_PERCENT", F1129)</f>
        <v>1.3825000000000001</v>
      </c>
      <c r="S1129">
        <f>_xll.ciqfunctions.udf.CIQ(A1129, "IQ_BETA_1YR_RSQ", F1129)</f>
        <v>3.5369999999999999E-2</v>
      </c>
      <c r="T1129">
        <f>_xll.ciqfunctions.udf.CIQ(A1129, "IQ_VALUE_TRADED", F1129)</f>
        <v>516.67282</v>
      </c>
    </row>
    <row r="1130" spans="1:20" x14ac:dyDescent="0.3">
      <c r="A1130" t="s">
        <v>2059</v>
      </c>
      <c r="B1130" s="2">
        <v>27.77</v>
      </c>
      <c r="C1130" t="s">
        <v>3046</v>
      </c>
      <c r="D1130" t="s">
        <v>3047</v>
      </c>
      <c r="E1130" t="s">
        <v>76</v>
      </c>
      <c r="F1130" s="1">
        <v>45435</v>
      </c>
      <c r="G1130" t="s">
        <v>3048</v>
      </c>
      <c r="H1130">
        <v>56</v>
      </c>
      <c r="I1130">
        <f>_xll.ciqfunctions.udf.CIQ(A1130, "IQ_MARKETCAP", F1130)</f>
        <v>1526.6350299999999</v>
      </c>
      <c r="J1130">
        <f>_xll.ciqfunctions.udf.CIQ(A1130, "IQ_PRICE_VOL_HIST_6MTH", F1130)</f>
        <v>36.331400000000002</v>
      </c>
      <c r="K1130">
        <f>_xll.ciqfunctions.udf.CIQ(A1130, "IQ_LASTSALEPRICE", WORKDAY(F1130,-1))</f>
        <v>27.87</v>
      </c>
      <c r="L1130">
        <f>_xll.ciqfunctions.udf.CIQ(A1130, "IQ_LASTSALEPRICE", F1130)</f>
        <v>27.77</v>
      </c>
      <c r="M1130">
        <f>_xll.ciqfunctions.udf.CIQ(A1130, "IQ_LASTSALEPRICE", WORKDAY(F1130,5))</f>
        <v>26.57</v>
      </c>
      <c r="N1130">
        <f t="shared" si="34"/>
        <v>-3.5945401751487178E-3</v>
      </c>
      <c r="O1130">
        <f t="shared" si="35"/>
        <v>-4.7768081722134779E-2</v>
      </c>
      <c r="P1130">
        <f>LN(_xll.ciqfunctions.udf.CIQ("XBI", "IQ_LASTSALEPRICE", WORKDAY(F1130,-1))/_xll.ciqfunctions.udf.CIQ("XBI", "IQ_LASTSALEPRICE", WORKDAY(F1130,1)))</f>
        <v>3.6910267223963261E-2</v>
      </c>
      <c r="Q1130">
        <f>LN(_xll.ciqfunctions.udf.CIQ("XBI", "IQ_LASTSALEPRICE", WORKDAY(F1130,-1))/_xll.ciqfunctions.udf.CIQ("XBI", "IQ_LASTSALEPRICE", WORKDAY(F1130,5)))</f>
        <v>3.5447867503300687E-2</v>
      </c>
      <c r="R1130">
        <f>_xll.ciqfunctions.udf.CIQ(A1130, "IQ_SHORT_INTEREST_PERCENT", F1130)</f>
        <v>8.7686799999999998</v>
      </c>
      <c r="S1130">
        <f>_xll.ciqfunctions.udf.CIQ(A1130, "IQ_BETA_1YR_RSQ", F1130)</f>
        <v>0.11794</v>
      </c>
      <c r="T1130">
        <f>_xll.ciqfunctions.udf.CIQ(A1130, "IQ_VALUE_TRADED", F1130)</f>
        <v>17.315760000000001</v>
      </c>
    </row>
    <row r="1131" spans="1:20" x14ac:dyDescent="0.3">
      <c r="A1131" t="s">
        <v>2032</v>
      </c>
      <c r="B1131" s="2">
        <v>44.07</v>
      </c>
      <c r="C1131" t="s">
        <v>3049</v>
      </c>
      <c r="D1131" t="s">
        <v>104</v>
      </c>
      <c r="E1131" t="s">
        <v>22</v>
      </c>
      <c r="F1131" s="1">
        <v>45435</v>
      </c>
      <c r="G1131" t="s">
        <v>3050</v>
      </c>
      <c r="H1131">
        <v>75</v>
      </c>
      <c r="I1131">
        <f>_xll.ciqfunctions.udf.CIQ(A1131, "IQ_MARKETCAP", F1131)</f>
        <v>2586.3603699999999</v>
      </c>
      <c r="J1131">
        <f>_xll.ciqfunctions.udf.CIQ(A1131, "IQ_PRICE_VOL_HIST_6MTH", F1131)</f>
        <v>49.268300000000004</v>
      </c>
      <c r="K1131">
        <f>_xll.ciqfunctions.udf.CIQ(A1131, "IQ_LASTSALEPRICE", WORKDAY(F1131,-1))</f>
        <v>43.4</v>
      </c>
      <c r="L1131">
        <f>_xll.ciqfunctions.udf.CIQ(A1131, "IQ_LASTSALEPRICE", F1131)</f>
        <v>44.07</v>
      </c>
      <c r="M1131">
        <f>_xll.ciqfunctions.udf.CIQ(A1131, "IQ_LASTSALEPRICE", WORKDAY(F1131,5))</f>
        <v>57.3</v>
      </c>
      <c r="N1131">
        <f t="shared" si="34"/>
        <v>1.5319837747536588E-2</v>
      </c>
      <c r="O1131">
        <f t="shared" si="35"/>
        <v>0.27784118261433471</v>
      </c>
      <c r="P1131">
        <f>LN(_xll.ciqfunctions.udf.CIQ("XBI", "IQ_LASTSALEPRICE", WORKDAY(F1131,-1))/_xll.ciqfunctions.udf.CIQ("XBI", "IQ_LASTSALEPRICE", WORKDAY(F1131,1)))</f>
        <v>3.6910267223963261E-2</v>
      </c>
      <c r="Q1131">
        <f>LN(_xll.ciqfunctions.udf.CIQ("XBI", "IQ_LASTSALEPRICE", WORKDAY(F1131,-1))/_xll.ciqfunctions.udf.CIQ("XBI", "IQ_LASTSALEPRICE", WORKDAY(F1131,5)))</f>
        <v>3.5447867503300687E-2</v>
      </c>
      <c r="R1131">
        <f>_xll.ciqfunctions.udf.CIQ(A1131, "IQ_SHORT_INTEREST_PERCENT", F1131)</f>
        <v>5.7613000000000003</v>
      </c>
      <c r="S1131">
        <f>_xll.ciqfunctions.udf.CIQ(A1131, "IQ_BETA_1YR_RSQ", F1131)</f>
        <v>0.29835</v>
      </c>
      <c r="T1131">
        <f>_xll.ciqfunctions.udf.CIQ(A1131, "IQ_VALUE_TRADED", F1131)</f>
        <v>71.095839999999995</v>
      </c>
    </row>
    <row r="1132" spans="1:20" x14ac:dyDescent="0.3">
      <c r="A1132" t="s">
        <v>2036</v>
      </c>
      <c r="B1132" t="s">
        <v>43</v>
      </c>
      <c r="C1132" t="s">
        <v>3049</v>
      </c>
      <c r="D1132" t="s">
        <v>104</v>
      </c>
      <c r="E1132" t="s">
        <v>22</v>
      </c>
      <c r="F1132" s="1">
        <v>45435</v>
      </c>
      <c r="G1132" t="s">
        <v>3050</v>
      </c>
      <c r="H1132">
        <v>661</v>
      </c>
      <c r="I1132">
        <f>_xll.ciqfunctions.udf.CIQ(A1132, "IQ_MARKETCAP", F1132)</f>
        <v>130727.49368</v>
      </c>
      <c r="J1132">
        <f>_xll.ciqfunctions.udf.CIQ(A1132, "IQ_PRICE_VOL_HIST_6MTH", F1132)</f>
        <v>31.208500000000001</v>
      </c>
      <c r="K1132">
        <f>_xll.ciqfunctions.udf.CIQ(A1132, "IQ_LASTSALEPRICE", WORKDAY(F1132,-1))</f>
        <v>2055</v>
      </c>
      <c r="L1132">
        <f>_xll.ciqfunctions.udf.CIQ(A1132, "IQ_LASTSALEPRICE", F1132)</f>
        <v>2025</v>
      </c>
      <c r="M1132">
        <f>_xll.ciqfunctions.udf.CIQ(A1132, "IQ_LASTSALEPRICE", WORKDAY(F1132,5))</f>
        <v>1931</v>
      </c>
      <c r="N1132">
        <f t="shared" si="34"/>
        <v>-1.4706147389695449E-2</v>
      </c>
      <c r="O1132">
        <f t="shared" si="35"/>
        <v>-6.2237844501820482E-2</v>
      </c>
      <c r="P1132">
        <f>LN(_xll.ciqfunctions.udf.CIQ("XBI", "IQ_LASTSALEPRICE", WORKDAY(F1132,-1))/_xll.ciqfunctions.udf.CIQ("XBI", "IQ_LASTSALEPRICE", WORKDAY(F1132,1)))</f>
        <v>3.6910267223963261E-2</v>
      </c>
      <c r="Q1132">
        <f>LN(_xll.ciqfunctions.udf.CIQ("XBI", "IQ_LASTSALEPRICE", WORKDAY(F1132,-1))/_xll.ciqfunctions.udf.CIQ("XBI", "IQ_LASTSALEPRICE", WORKDAY(F1132,5)))</f>
        <v>3.5447867503300687E-2</v>
      </c>
      <c r="R1132">
        <f>_xll.ciqfunctions.udf.CIQ(A1132, "IQ_SHORT_INTEREST_PERCENT", F1132)</f>
        <v>0</v>
      </c>
      <c r="S1132">
        <f>_xll.ciqfunctions.udf.CIQ(A1132, "IQ_BETA_1YR_RSQ", F1132)</f>
        <v>9.3840000000000007E-2</v>
      </c>
      <c r="T1132">
        <f>_xll.ciqfunctions.udf.CIQ(A1132, "IQ_VALUE_TRADED", F1132)</f>
        <v>216.03104999999999</v>
      </c>
    </row>
    <row r="1133" spans="1:20" x14ac:dyDescent="0.3">
      <c r="A1133" t="s">
        <v>2189</v>
      </c>
      <c r="B1133" s="2">
        <v>23.48</v>
      </c>
      <c r="C1133" t="s">
        <v>3051</v>
      </c>
      <c r="D1133" t="s">
        <v>104</v>
      </c>
      <c r="E1133" t="s">
        <v>17</v>
      </c>
      <c r="F1133" s="1">
        <v>45435</v>
      </c>
      <c r="G1133" t="s">
        <v>3052</v>
      </c>
      <c r="H1133">
        <v>69</v>
      </c>
      <c r="I1133">
        <f>_xll.ciqfunctions.udf.CIQ(A1133, "IQ_MARKETCAP", F1133)</f>
        <v>1004.81188</v>
      </c>
      <c r="J1133">
        <f>_xll.ciqfunctions.udf.CIQ(A1133, "IQ_PRICE_VOL_HIST_6MTH", F1133)</f>
        <v>61.344999999999999</v>
      </c>
      <c r="K1133">
        <f>_xll.ciqfunctions.udf.CIQ(A1133, "IQ_LASTSALEPRICE", WORKDAY(F1133,-1))</f>
        <v>21.42</v>
      </c>
      <c r="L1133">
        <f>_xll.ciqfunctions.udf.CIQ(A1133, "IQ_LASTSALEPRICE", F1133)</f>
        <v>23.48</v>
      </c>
      <c r="M1133">
        <f>_xll.ciqfunctions.udf.CIQ(A1133, "IQ_LASTSALEPRICE", WORKDAY(F1133,5))</f>
        <v>21.92</v>
      </c>
      <c r="N1133">
        <f t="shared" si="34"/>
        <v>9.1823929940292884E-2</v>
      </c>
      <c r="O1133">
        <f t="shared" si="35"/>
        <v>2.3074397060211995E-2</v>
      </c>
      <c r="P1133">
        <f>LN(_xll.ciqfunctions.udf.CIQ("XBI", "IQ_LASTSALEPRICE", WORKDAY(F1133,-1))/_xll.ciqfunctions.udf.CIQ("XBI", "IQ_LASTSALEPRICE", WORKDAY(F1133,1)))</f>
        <v>3.6910267223963261E-2</v>
      </c>
      <c r="Q1133">
        <f>LN(_xll.ciqfunctions.udf.CIQ("XBI", "IQ_LASTSALEPRICE", WORKDAY(F1133,-1))/_xll.ciqfunctions.udf.CIQ("XBI", "IQ_LASTSALEPRICE", WORKDAY(F1133,5)))</f>
        <v>3.5447867503300687E-2</v>
      </c>
      <c r="R1133">
        <f>_xll.ciqfunctions.udf.CIQ(A1133, "IQ_SHORT_INTEREST_PERCENT", F1133)</f>
        <v>6.5174300000000001</v>
      </c>
      <c r="S1133">
        <f>_xll.ciqfunctions.udf.CIQ(A1133, "IQ_BETA_1YR_RSQ", F1133)</f>
        <v>0.10273</v>
      </c>
      <c r="T1133">
        <f>_xll.ciqfunctions.udf.CIQ(A1133, "IQ_VALUE_TRADED", F1133)</f>
        <v>48.694209999999998</v>
      </c>
    </row>
    <row r="1134" spans="1:20" x14ac:dyDescent="0.3">
      <c r="A1134" t="s">
        <v>2641</v>
      </c>
      <c r="B1134" s="2">
        <v>2.1</v>
      </c>
      <c r="C1134" t="s">
        <v>3053</v>
      </c>
      <c r="D1134" t="s">
        <v>3054</v>
      </c>
      <c r="E1134" t="s">
        <v>76</v>
      </c>
      <c r="F1134" s="1">
        <v>45435</v>
      </c>
      <c r="G1134" t="s">
        <v>3055</v>
      </c>
      <c r="H1134">
        <v>58</v>
      </c>
      <c r="I1134">
        <f>_xll.ciqfunctions.udf.CIQ(A1134, "IQ_MARKETCAP", F1134)</f>
        <v>101.04343</v>
      </c>
      <c r="J1134">
        <f>_xll.ciqfunctions.udf.CIQ(A1134, "IQ_PRICE_VOL_HIST_6MTH", F1134)</f>
        <v>137.7567</v>
      </c>
      <c r="K1134">
        <f>_xll.ciqfunctions.udf.CIQ(A1134, "IQ_LASTSALEPRICE", WORKDAY(F1134,-1))</f>
        <v>2.2799999999999998</v>
      </c>
      <c r="L1134">
        <f>_xll.ciqfunctions.udf.CIQ(A1134, "IQ_LASTSALEPRICE", F1134)</f>
        <v>2.1</v>
      </c>
      <c r="M1134">
        <f>_xll.ciqfunctions.udf.CIQ(A1134, "IQ_LASTSALEPRICE", WORKDAY(F1134,5))</f>
        <v>1.5149999999999999</v>
      </c>
      <c r="N1134">
        <f t="shared" si="34"/>
        <v>-8.2238098236971993E-2</v>
      </c>
      <c r="O1134">
        <f t="shared" si="35"/>
        <v>-0.40876000400501694</v>
      </c>
      <c r="P1134">
        <f>LN(_xll.ciqfunctions.udf.CIQ("XBI", "IQ_LASTSALEPRICE", WORKDAY(F1134,-1))/_xll.ciqfunctions.udf.CIQ("XBI", "IQ_LASTSALEPRICE", WORKDAY(F1134,1)))</f>
        <v>3.6910267223963261E-2</v>
      </c>
      <c r="Q1134">
        <f>LN(_xll.ciqfunctions.udf.CIQ("XBI", "IQ_LASTSALEPRICE", WORKDAY(F1134,-1))/_xll.ciqfunctions.udf.CIQ("XBI", "IQ_LASTSALEPRICE", WORKDAY(F1134,5)))</f>
        <v>3.5447867503300687E-2</v>
      </c>
      <c r="R1134">
        <f>_xll.ciqfunctions.udf.CIQ(A1134, "IQ_SHORT_INTEREST_PERCENT", F1134)</f>
        <v>11.07718</v>
      </c>
      <c r="S1134">
        <f>_xll.ciqfunctions.udf.CIQ(A1134, "IQ_BETA_1YR_RSQ", F1134)</f>
        <v>0.29957</v>
      </c>
      <c r="T1134">
        <f>_xll.ciqfunctions.udf.CIQ(A1134, "IQ_VALUE_TRADED", F1134)</f>
        <v>1.23228</v>
      </c>
    </row>
    <row r="1135" spans="1:20" x14ac:dyDescent="0.3">
      <c r="A1135" t="s">
        <v>1707</v>
      </c>
      <c r="B1135" s="2">
        <v>1.86</v>
      </c>
      <c r="C1135" t="s">
        <v>3056</v>
      </c>
      <c r="D1135" t="s">
        <v>243</v>
      </c>
      <c r="E1135" t="s">
        <v>22</v>
      </c>
      <c r="F1135" s="1">
        <v>45435</v>
      </c>
      <c r="G1135" t="s">
        <v>3057</v>
      </c>
      <c r="H1135">
        <v>124</v>
      </c>
      <c r="I1135">
        <f>_xll.ciqfunctions.udf.CIQ(A1135, "IQ_MARKETCAP", F1135)</f>
        <v>46.291310000000003</v>
      </c>
      <c r="J1135">
        <f>_xll.ciqfunctions.udf.CIQ(A1135, "IQ_PRICE_VOL_HIST_6MTH", F1135)</f>
        <v>194.29509999999999</v>
      </c>
      <c r="K1135">
        <f>_xll.ciqfunctions.udf.CIQ(A1135, "IQ_LASTSALEPRICE", WORKDAY(F1135,-1))</f>
        <v>1.78</v>
      </c>
      <c r="L1135">
        <f>_xll.ciqfunctions.udf.CIQ(A1135, "IQ_LASTSALEPRICE", F1135)</f>
        <v>1.86</v>
      </c>
      <c r="M1135">
        <f>_xll.ciqfunctions.udf.CIQ(A1135, "IQ_LASTSALEPRICE", WORKDAY(F1135,5))</f>
        <v>1.57</v>
      </c>
      <c r="N1135">
        <f t="shared" si="34"/>
        <v>4.3963123421116204E-2</v>
      </c>
      <c r="O1135">
        <f t="shared" si="35"/>
        <v>-0.12553774494377704</v>
      </c>
      <c r="P1135">
        <f>LN(_xll.ciqfunctions.udf.CIQ("XBI", "IQ_LASTSALEPRICE", WORKDAY(F1135,-1))/_xll.ciqfunctions.udf.CIQ("XBI", "IQ_LASTSALEPRICE", WORKDAY(F1135,1)))</f>
        <v>3.6910267223963261E-2</v>
      </c>
      <c r="Q1135">
        <f>LN(_xll.ciqfunctions.udf.CIQ("XBI", "IQ_LASTSALEPRICE", WORKDAY(F1135,-1))/_xll.ciqfunctions.udf.CIQ("XBI", "IQ_LASTSALEPRICE", WORKDAY(F1135,5)))</f>
        <v>3.5447867503300687E-2</v>
      </c>
      <c r="R1135">
        <f>_xll.ciqfunctions.udf.CIQ(A1135, "IQ_SHORT_INTEREST_PERCENT", F1135)</f>
        <v>2.21258</v>
      </c>
      <c r="S1135">
        <f>_xll.ciqfunctions.udf.CIQ(A1135, "IQ_BETA_1YR_RSQ", F1135)</f>
        <v>1.16E-3</v>
      </c>
      <c r="T1135">
        <f>_xll.ciqfunctions.udf.CIQ(A1135, "IQ_VALUE_TRADED", F1135)</f>
        <v>3.5392399999999999</v>
      </c>
    </row>
    <row r="1136" spans="1:20" x14ac:dyDescent="0.3">
      <c r="A1136" t="s">
        <v>1891</v>
      </c>
      <c r="B1136" s="2">
        <v>1.28</v>
      </c>
      <c r="C1136" t="s">
        <v>1892</v>
      </c>
      <c r="D1136" t="s">
        <v>1893</v>
      </c>
      <c r="E1136" t="s">
        <v>17</v>
      </c>
      <c r="F1136" s="1">
        <v>45435</v>
      </c>
      <c r="G1136" t="s">
        <v>3058</v>
      </c>
      <c r="H1136">
        <v>4</v>
      </c>
      <c r="I1136">
        <f>_xll.ciqfunctions.udf.CIQ(A1136, "IQ_MARKETCAP", F1136)</f>
        <v>127.32848</v>
      </c>
      <c r="J1136">
        <f>_xll.ciqfunctions.udf.CIQ(A1136, "IQ_PRICE_VOL_HIST_6MTH", F1136)</f>
        <v>163.6463</v>
      </c>
      <c r="K1136">
        <f>_xll.ciqfunctions.udf.CIQ(A1136, "IQ_LASTSALEPRICE", WORKDAY(F1136,-1))</f>
        <v>30.75</v>
      </c>
      <c r="L1136">
        <f>_xll.ciqfunctions.udf.CIQ(A1136, "IQ_LASTSALEPRICE", F1136)</f>
        <v>32</v>
      </c>
      <c r="M1136">
        <f>_xll.ciqfunctions.udf.CIQ(A1136, "IQ_LASTSALEPRICE", WORKDAY(F1136,5))</f>
        <v>28.75</v>
      </c>
      <c r="N1136">
        <f t="shared" si="34"/>
        <v>3.9845908547199778E-2</v>
      </c>
      <c r="O1136">
        <f t="shared" si="35"/>
        <v>-6.7252227009167456E-2</v>
      </c>
      <c r="P1136">
        <f>LN(_xll.ciqfunctions.udf.CIQ("XBI", "IQ_LASTSALEPRICE", WORKDAY(F1136,-1))/_xll.ciqfunctions.udf.CIQ("XBI", "IQ_LASTSALEPRICE", WORKDAY(F1136,1)))</f>
        <v>3.6910267223963261E-2</v>
      </c>
      <c r="Q1136">
        <f>LN(_xll.ciqfunctions.udf.CIQ("XBI", "IQ_LASTSALEPRICE", WORKDAY(F1136,-1))/_xll.ciqfunctions.udf.CIQ("XBI", "IQ_LASTSALEPRICE", WORKDAY(F1136,5)))</f>
        <v>3.5447867503300687E-2</v>
      </c>
      <c r="R1136">
        <f>_xll.ciqfunctions.udf.CIQ(A1136, "IQ_SHORT_INTEREST_PERCENT", F1136)</f>
        <v>6.9563199999999998</v>
      </c>
      <c r="S1136">
        <f>_xll.ciqfunctions.udf.CIQ(A1136, "IQ_BETA_1YR_RSQ", F1136)</f>
        <v>5.2290000000000003E-2</v>
      </c>
      <c r="T1136">
        <f>_xll.ciqfunctions.udf.CIQ(A1136, "IQ_VALUE_TRADED", F1136)</f>
        <v>2.0514600000000001</v>
      </c>
    </row>
    <row r="1137" spans="1:20" x14ac:dyDescent="0.3">
      <c r="A1137" t="s">
        <v>2205</v>
      </c>
      <c r="B1137" s="2">
        <v>12.18</v>
      </c>
      <c r="C1137" t="s">
        <v>3059</v>
      </c>
      <c r="D1137" t="s">
        <v>3060</v>
      </c>
      <c r="E1137" t="s">
        <v>17</v>
      </c>
      <c r="F1137" s="1">
        <v>45435</v>
      </c>
      <c r="G1137" t="s">
        <v>3061</v>
      </c>
      <c r="H1137">
        <v>61</v>
      </c>
      <c r="I1137">
        <f>_xll.ciqfunctions.udf.CIQ(A1137, "IQ_MARKETCAP", F1137)</f>
        <v>308.46521000000001</v>
      </c>
      <c r="J1137">
        <f>_xll.ciqfunctions.udf.CIQ(A1137, "IQ_PRICE_VOL_HIST_6MTH", F1137)</f>
        <v>64.502600000000001</v>
      </c>
      <c r="K1137">
        <f>_xll.ciqfunctions.udf.CIQ(A1137, "IQ_LASTSALEPRICE", WORKDAY(F1137,-1))</f>
        <v>11.88</v>
      </c>
      <c r="L1137">
        <f>_xll.ciqfunctions.udf.CIQ(A1137, "IQ_LASTSALEPRICE", F1137)</f>
        <v>12.18</v>
      </c>
      <c r="M1137">
        <f>_xll.ciqfunctions.udf.CIQ(A1137, "IQ_LASTSALEPRICE", WORKDAY(F1137,5))</f>
        <v>3.99</v>
      </c>
      <c r="N1137">
        <f t="shared" si="34"/>
        <v>2.4938948347251931E-2</v>
      </c>
      <c r="O1137">
        <f t="shared" si="35"/>
        <v>-1.0910650830327269</v>
      </c>
      <c r="P1137">
        <f>LN(_xll.ciqfunctions.udf.CIQ("XBI", "IQ_LASTSALEPRICE", WORKDAY(F1137,-1))/_xll.ciqfunctions.udf.CIQ("XBI", "IQ_LASTSALEPRICE", WORKDAY(F1137,1)))</f>
        <v>3.6910267223963261E-2</v>
      </c>
      <c r="Q1137">
        <f>LN(_xll.ciqfunctions.udf.CIQ("XBI", "IQ_LASTSALEPRICE", WORKDAY(F1137,-1))/_xll.ciqfunctions.udf.CIQ("XBI", "IQ_LASTSALEPRICE", WORKDAY(F1137,5)))</f>
        <v>3.5447867503300687E-2</v>
      </c>
      <c r="R1137">
        <f>_xll.ciqfunctions.udf.CIQ(A1137, "IQ_SHORT_INTEREST_PERCENT", F1137)</f>
        <v>3.25902</v>
      </c>
      <c r="S1137">
        <f>_xll.ciqfunctions.udf.CIQ(A1137, "IQ_BETA_1YR_RSQ", F1137)</f>
        <v>2.172E-2</v>
      </c>
      <c r="T1137">
        <f>_xll.ciqfunctions.udf.CIQ(A1137, "IQ_VALUE_TRADED", F1137)</f>
        <v>3.7607300000000001</v>
      </c>
    </row>
    <row r="1138" spans="1:20" x14ac:dyDescent="0.3">
      <c r="A1138" t="s">
        <v>3062</v>
      </c>
      <c r="B1138" s="2">
        <v>1.75</v>
      </c>
      <c r="C1138" t="s">
        <v>3063</v>
      </c>
      <c r="D1138" t="s">
        <v>104</v>
      </c>
      <c r="E1138" t="s">
        <v>22</v>
      </c>
      <c r="F1138" s="1">
        <v>45435</v>
      </c>
      <c r="G1138" t="s">
        <v>3064</v>
      </c>
      <c r="H1138">
        <v>81</v>
      </c>
      <c r="I1138">
        <f>_xll.ciqfunctions.udf.CIQ(A1138, "IQ_MARKETCAP", F1138)</f>
        <v>141.22779</v>
      </c>
      <c r="J1138">
        <f>_xll.ciqfunctions.udf.CIQ(A1138, "IQ_PRICE_VOL_HIST_6MTH", F1138)</f>
        <v>72.152100000000004</v>
      </c>
      <c r="K1138">
        <f>_xll.ciqfunctions.udf.CIQ(A1138, "IQ_LASTSALEPRICE", WORKDAY(F1138,-1))</f>
        <v>1.76</v>
      </c>
      <c r="L1138">
        <f>_xll.ciqfunctions.udf.CIQ(A1138, "IQ_LASTSALEPRICE", F1138)</f>
        <v>1.75</v>
      </c>
      <c r="M1138">
        <f>_xll.ciqfunctions.udf.CIQ(A1138, "IQ_LASTSALEPRICE", WORKDAY(F1138,5))</f>
        <v>1.74</v>
      </c>
      <c r="N1138">
        <f t="shared" si="34"/>
        <v>-5.6980211146377786E-3</v>
      </c>
      <c r="O1138">
        <f t="shared" si="35"/>
        <v>-1.1428695823622744E-2</v>
      </c>
      <c r="P1138">
        <f>LN(_xll.ciqfunctions.udf.CIQ("XBI", "IQ_LASTSALEPRICE", WORKDAY(F1138,-1))/_xll.ciqfunctions.udf.CIQ("XBI", "IQ_LASTSALEPRICE", WORKDAY(F1138,1)))</f>
        <v>3.6910267223963261E-2</v>
      </c>
      <c r="Q1138">
        <f>LN(_xll.ciqfunctions.udf.CIQ("XBI", "IQ_LASTSALEPRICE", WORKDAY(F1138,-1))/_xll.ciqfunctions.udf.CIQ("XBI", "IQ_LASTSALEPRICE", WORKDAY(F1138,5)))</f>
        <v>3.5447867503300687E-2</v>
      </c>
      <c r="R1138">
        <f>_xll.ciqfunctions.udf.CIQ(A1138, "IQ_SHORT_INTEREST_PERCENT", F1138)</f>
        <v>1.4321699999999999</v>
      </c>
      <c r="S1138">
        <f>_xll.ciqfunctions.udf.CIQ(A1138, "IQ_BETA_1YR_RSQ", F1138)</f>
        <v>0.15626999999999999</v>
      </c>
      <c r="T1138">
        <f>_xll.ciqfunctions.udf.CIQ(A1138, "IQ_VALUE_TRADED", F1138)</f>
        <v>0.19120999999999999</v>
      </c>
    </row>
    <row r="1139" spans="1:20" x14ac:dyDescent="0.3">
      <c r="A1139" t="s">
        <v>1164</v>
      </c>
      <c r="B1139" s="2">
        <v>22.65</v>
      </c>
      <c r="C1139" t="s">
        <v>3065</v>
      </c>
      <c r="D1139" t="s">
        <v>104</v>
      </c>
      <c r="E1139" t="s">
        <v>22</v>
      </c>
      <c r="F1139" s="1">
        <v>45435</v>
      </c>
      <c r="G1139" t="s">
        <v>3066</v>
      </c>
      <c r="H1139">
        <v>59</v>
      </c>
      <c r="I1139">
        <f>_xll.ciqfunctions.udf.CIQ(A1139, "IQ_MARKETCAP", F1139)</f>
        <v>1305.4154000000001</v>
      </c>
      <c r="J1139">
        <f>_xll.ciqfunctions.udf.CIQ(A1139, "IQ_PRICE_VOL_HIST_6MTH", F1139)</f>
        <v>76.0291</v>
      </c>
      <c r="K1139">
        <f>_xll.ciqfunctions.udf.CIQ(A1139, "IQ_LASTSALEPRICE", WORKDAY(F1139,-1))</f>
        <v>23.14</v>
      </c>
      <c r="L1139">
        <f>_xll.ciqfunctions.udf.CIQ(A1139, "IQ_LASTSALEPRICE", F1139)</f>
        <v>22.65</v>
      </c>
      <c r="M1139">
        <f>_xll.ciqfunctions.udf.CIQ(A1139, "IQ_LASTSALEPRICE", WORKDAY(F1139,5))</f>
        <v>22.79</v>
      </c>
      <c r="N1139">
        <f t="shared" si="34"/>
        <v>-2.1402869836487586E-2</v>
      </c>
      <c r="O1139">
        <f t="shared" si="35"/>
        <v>-1.5240878507937646E-2</v>
      </c>
      <c r="P1139">
        <f>LN(_xll.ciqfunctions.udf.CIQ("XBI", "IQ_LASTSALEPRICE", WORKDAY(F1139,-1))/_xll.ciqfunctions.udf.CIQ("XBI", "IQ_LASTSALEPRICE", WORKDAY(F1139,1)))</f>
        <v>3.6910267223963261E-2</v>
      </c>
      <c r="Q1139">
        <f>LN(_xll.ciqfunctions.udf.CIQ("XBI", "IQ_LASTSALEPRICE", WORKDAY(F1139,-1))/_xll.ciqfunctions.udf.CIQ("XBI", "IQ_LASTSALEPRICE", WORKDAY(F1139,5)))</f>
        <v>3.5447867503300687E-2</v>
      </c>
      <c r="R1139">
        <f>_xll.ciqfunctions.udf.CIQ(A1139, "IQ_SHORT_INTEREST_PERCENT", F1139)</f>
        <v>4.08873</v>
      </c>
      <c r="S1139">
        <f>_xll.ciqfunctions.udf.CIQ(A1139, "IQ_BETA_1YR_RSQ", F1139)</f>
        <v>0.12008000000000001</v>
      </c>
      <c r="T1139">
        <f>_xll.ciqfunctions.udf.CIQ(A1139, "IQ_VALUE_TRADED", F1139)</f>
        <v>13.48887</v>
      </c>
    </row>
    <row r="1140" spans="1:20" x14ac:dyDescent="0.3">
      <c r="A1140" t="s">
        <v>385</v>
      </c>
      <c r="B1140" s="2">
        <v>980.57</v>
      </c>
      <c r="C1140" t="s">
        <v>3067</v>
      </c>
      <c r="D1140" t="s">
        <v>243</v>
      </c>
      <c r="E1140" t="s">
        <v>17</v>
      </c>
      <c r="F1140" s="1">
        <v>45435</v>
      </c>
      <c r="G1140" t="s">
        <v>3068</v>
      </c>
      <c r="H1140">
        <v>105</v>
      </c>
      <c r="I1140">
        <f>_xll.ciqfunctions.udf.CIQ(A1140, "IQ_MARKETCAP", F1140)</f>
        <v>105789.28767999999</v>
      </c>
      <c r="J1140">
        <f>_xll.ciqfunctions.udf.CIQ(A1140, "IQ_PRICE_VOL_HIST_6MTH", F1140)</f>
        <v>16.8217</v>
      </c>
      <c r="K1140">
        <f>_xll.ciqfunctions.udf.CIQ(A1140, "IQ_LASTSALEPRICE", WORKDAY(F1140,-1))</f>
        <v>983.8</v>
      </c>
      <c r="L1140">
        <f>_xll.ciqfunctions.udf.CIQ(A1140, "IQ_LASTSALEPRICE", F1140)</f>
        <v>980.57</v>
      </c>
      <c r="M1140">
        <f>_xll.ciqfunctions.udf.CIQ(A1140, "IQ_LASTSALEPRICE", WORKDAY(F1140,5))</f>
        <v>969.91</v>
      </c>
      <c r="N1140">
        <f t="shared" si="34"/>
        <v>-3.288589126272569E-3</v>
      </c>
      <c r="O1140">
        <f t="shared" si="35"/>
        <v>-1.4219340673621293E-2</v>
      </c>
      <c r="P1140">
        <f>LN(_xll.ciqfunctions.udf.CIQ("XBI", "IQ_LASTSALEPRICE", WORKDAY(F1140,-1))/_xll.ciqfunctions.udf.CIQ("XBI", "IQ_LASTSALEPRICE", WORKDAY(F1140,1)))</f>
        <v>3.6910267223963261E-2</v>
      </c>
      <c r="Q1140">
        <f>LN(_xll.ciqfunctions.udf.CIQ("XBI", "IQ_LASTSALEPRICE", WORKDAY(F1140,-1))/_xll.ciqfunctions.udf.CIQ("XBI", "IQ_LASTSALEPRICE", WORKDAY(F1140,5)))</f>
        <v>3.5447867503300687E-2</v>
      </c>
      <c r="R1140">
        <f>_xll.ciqfunctions.udf.CIQ(A1140, "IQ_SHORT_INTEREST_PERCENT", F1140)</f>
        <v>1.4588000000000001</v>
      </c>
      <c r="S1140">
        <f>_xll.ciqfunctions.udf.CIQ(A1140, "IQ_BETA_1YR_RSQ", F1140)</f>
        <v>9.017E-2</v>
      </c>
      <c r="T1140">
        <f>_xll.ciqfunctions.udf.CIQ(A1140, "IQ_VALUE_TRADED", F1140)</f>
        <v>309.59929</v>
      </c>
    </row>
    <row r="1141" spans="1:20" x14ac:dyDescent="0.3">
      <c r="A1141" t="s">
        <v>3069</v>
      </c>
      <c r="B1141" s="2">
        <v>3.59</v>
      </c>
      <c r="C1141" t="s">
        <v>3070</v>
      </c>
      <c r="D1141" t="s">
        <v>243</v>
      </c>
      <c r="E1141" t="s">
        <v>76</v>
      </c>
      <c r="F1141" s="1">
        <v>45435</v>
      </c>
      <c r="G1141" t="s">
        <v>3071</v>
      </c>
      <c r="H1141">
        <v>17</v>
      </c>
      <c r="I1141">
        <f>_xll.ciqfunctions.udf.CIQ(A1141, "IQ_MARKETCAP", F1141)</f>
        <v>60.756720000000001</v>
      </c>
      <c r="J1141">
        <f>_xll.ciqfunctions.udf.CIQ(A1141, "IQ_PRICE_VOL_HIST_6MTH", F1141)</f>
        <v>67.835599999999999</v>
      </c>
      <c r="K1141">
        <f>_xll.ciqfunctions.udf.CIQ(A1141, "IQ_LASTSALEPRICE", WORKDAY(F1141,-1))</f>
        <v>3.77</v>
      </c>
      <c r="L1141">
        <f>_xll.ciqfunctions.udf.CIQ(A1141, "IQ_LASTSALEPRICE", F1141)</f>
        <v>3.59</v>
      </c>
      <c r="M1141">
        <f>_xll.ciqfunctions.udf.CIQ(A1141, "IQ_LASTSALEPRICE", WORKDAY(F1141,5))</f>
        <v>3.35</v>
      </c>
      <c r="N1141">
        <f t="shared" si="34"/>
        <v>-4.8922798959731985E-2</v>
      </c>
      <c r="O1141">
        <f t="shared" si="35"/>
        <v>-0.11811465562294435</v>
      </c>
      <c r="P1141">
        <f>LN(_xll.ciqfunctions.udf.CIQ("XBI", "IQ_LASTSALEPRICE", WORKDAY(F1141,-1))/_xll.ciqfunctions.udf.CIQ("XBI", "IQ_LASTSALEPRICE", WORKDAY(F1141,1)))</f>
        <v>3.6910267223963261E-2</v>
      </c>
      <c r="Q1141">
        <f>LN(_xll.ciqfunctions.udf.CIQ("XBI", "IQ_LASTSALEPRICE", WORKDAY(F1141,-1))/_xll.ciqfunctions.udf.CIQ("XBI", "IQ_LASTSALEPRICE", WORKDAY(F1141,5)))</f>
        <v>3.5447867503300687E-2</v>
      </c>
      <c r="R1141">
        <f>_xll.ciqfunctions.udf.CIQ(A1141, "IQ_SHORT_INTEREST_PERCENT", F1141)</f>
        <v>10.162750000000001</v>
      </c>
      <c r="S1141">
        <f>_xll.ciqfunctions.udf.CIQ(A1141, "IQ_BETA_1YR_RSQ", F1141)</f>
        <v>0</v>
      </c>
      <c r="T1141">
        <f>_xll.ciqfunctions.udf.CIQ(A1141, "IQ_VALUE_TRADED", F1141)</f>
        <v>0.38630999999999999</v>
      </c>
    </row>
    <row r="1142" spans="1:20" x14ac:dyDescent="0.3">
      <c r="A1142" t="s">
        <v>2213</v>
      </c>
      <c r="B1142" s="2">
        <v>24</v>
      </c>
      <c r="C1142" t="s">
        <v>3070</v>
      </c>
      <c r="D1142" t="s">
        <v>243</v>
      </c>
      <c r="E1142" t="s">
        <v>76</v>
      </c>
      <c r="F1142" s="1">
        <v>45435</v>
      </c>
      <c r="G1142" t="s">
        <v>3071</v>
      </c>
      <c r="H1142">
        <v>165</v>
      </c>
      <c r="I1142">
        <f>_xll.ciqfunctions.udf.CIQ(A1142, "IQ_MARKETCAP", F1142)</f>
        <v>4061.3114599999999</v>
      </c>
      <c r="J1142">
        <f>_xll.ciqfunctions.udf.CIQ(A1142, "IQ_PRICE_VOL_HIST_6MTH", F1142)</f>
        <v>37.386000000000003</v>
      </c>
      <c r="K1142">
        <f>_xll.ciqfunctions.udf.CIQ(A1142, "IQ_LASTSALEPRICE", WORKDAY(F1142,-1))</f>
        <v>24.21</v>
      </c>
      <c r="L1142">
        <f>_xll.ciqfunctions.udf.CIQ(A1142, "IQ_LASTSALEPRICE", F1142)</f>
        <v>24</v>
      </c>
      <c r="M1142">
        <f>_xll.ciqfunctions.udf.CIQ(A1142, "IQ_LASTSALEPRICE", WORKDAY(F1142,5))</f>
        <v>23.21</v>
      </c>
      <c r="N1142">
        <f t="shared" si="34"/>
        <v>-8.7119406020215676E-3</v>
      </c>
      <c r="O1142">
        <f t="shared" si="35"/>
        <v>-4.2182550663621449E-2</v>
      </c>
      <c r="P1142">
        <f>LN(_xll.ciqfunctions.udf.CIQ("XBI", "IQ_LASTSALEPRICE", WORKDAY(F1142,-1))/_xll.ciqfunctions.udf.CIQ("XBI", "IQ_LASTSALEPRICE", WORKDAY(F1142,1)))</f>
        <v>3.6910267223963261E-2</v>
      </c>
      <c r="Q1142">
        <f>LN(_xll.ciqfunctions.udf.CIQ("XBI", "IQ_LASTSALEPRICE", WORKDAY(F1142,-1))/_xll.ciqfunctions.udf.CIQ("XBI", "IQ_LASTSALEPRICE", WORKDAY(F1142,5)))</f>
        <v>3.5447867503300687E-2</v>
      </c>
      <c r="R1142">
        <f>_xll.ciqfunctions.udf.CIQ(A1142, "IQ_SHORT_INTEREST_PERCENT", F1142)</f>
        <v>7.6197299999999997</v>
      </c>
      <c r="S1142">
        <f>_xll.ciqfunctions.udf.CIQ(A1142, "IQ_BETA_1YR_RSQ", F1142)</f>
        <v>4.095E-2</v>
      </c>
      <c r="T1142">
        <f>_xll.ciqfunctions.udf.CIQ(A1142, "IQ_VALUE_TRADED", F1142)</f>
        <v>36.835700000000003</v>
      </c>
    </row>
    <row r="1143" spans="1:20" x14ac:dyDescent="0.3">
      <c r="A1143" t="s">
        <v>959</v>
      </c>
      <c r="B1143" s="2">
        <v>10.26</v>
      </c>
      <c r="C1143" t="s">
        <v>3072</v>
      </c>
      <c r="D1143" t="s">
        <v>253</v>
      </c>
      <c r="E1143" t="s">
        <v>76</v>
      </c>
      <c r="F1143" s="1">
        <v>45435</v>
      </c>
      <c r="G1143" t="s">
        <v>3073</v>
      </c>
      <c r="H1143">
        <v>361</v>
      </c>
      <c r="I1143">
        <f>_xll.ciqfunctions.udf.CIQ(A1143, "IQ_MARKETCAP", F1143)</f>
        <v>2871.0837299999998</v>
      </c>
      <c r="J1143">
        <f>_xll.ciqfunctions.udf.CIQ(A1143, "IQ_PRICE_VOL_HIST_6MTH", F1143)</f>
        <v>98.737399999999994</v>
      </c>
      <c r="K1143">
        <f>_xll.ciqfunctions.udf.CIQ(A1143, "IQ_LASTSALEPRICE", WORKDAY(F1143,-1))</f>
        <v>10.33</v>
      </c>
      <c r="L1143">
        <f>_xll.ciqfunctions.udf.CIQ(A1143, "IQ_LASTSALEPRICE", F1143)</f>
        <v>10.26</v>
      </c>
      <c r="M1143">
        <f>_xll.ciqfunctions.udf.CIQ(A1143, "IQ_LASTSALEPRICE", WORKDAY(F1143,5))</f>
        <v>9</v>
      </c>
      <c r="N1143">
        <f t="shared" si="34"/>
        <v>-6.7994433889237149E-3</v>
      </c>
      <c r="O1143">
        <f t="shared" si="35"/>
        <v>-0.1378277057953278</v>
      </c>
      <c r="P1143">
        <f>LN(_xll.ciqfunctions.udf.CIQ("XBI", "IQ_LASTSALEPRICE", WORKDAY(F1143,-1))/_xll.ciqfunctions.udf.CIQ("XBI", "IQ_LASTSALEPRICE", WORKDAY(F1143,1)))</f>
        <v>3.6910267223963261E-2</v>
      </c>
      <c r="Q1143">
        <f>LN(_xll.ciqfunctions.udf.CIQ("XBI", "IQ_LASTSALEPRICE", WORKDAY(F1143,-1))/_xll.ciqfunctions.udf.CIQ("XBI", "IQ_LASTSALEPRICE", WORKDAY(F1143,5)))</f>
        <v>3.5447867503300687E-2</v>
      </c>
      <c r="R1143">
        <f>_xll.ciqfunctions.udf.CIQ(A1143, "IQ_SHORT_INTEREST_PERCENT", F1143)</f>
        <v>17.887619999999998</v>
      </c>
      <c r="S1143">
        <f>_xll.ciqfunctions.udf.CIQ(A1143, "IQ_BETA_1YR_RSQ", F1143)</f>
        <v>0.14133000000000001</v>
      </c>
      <c r="T1143">
        <f>_xll.ciqfunctions.udf.CIQ(A1143, "IQ_VALUE_TRADED", F1143)</f>
        <v>59.133760000000002</v>
      </c>
    </row>
    <row r="1144" spans="1:20" x14ac:dyDescent="0.3">
      <c r="A1144" t="s">
        <v>1976</v>
      </c>
      <c r="B1144" s="2">
        <v>5.16</v>
      </c>
      <c r="C1144" t="s">
        <v>3074</v>
      </c>
      <c r="D1144" t="s">
        <v>243</v>
      </c>
      <c r="E1144" t="s">
        <v>46</v>
      </c>
      <c r="F1144" s="1">
        <v>45435</v>
      </c>
      <c r="G1144" t="s">
        <v>3075</v>
      </c>
      <c r="H1144">
        <v>45</v>
      </c>
      <c r="I1144">
        <f>_xll.ciqfunctions.udf.CIQ(A1144, "IQ_MARKETCAP", F1144)</f>
        <v>224.22969000000001</v>
      </c>
      <c r="J1144">
        <f>_xll.ciqfunctions.udf.CIQ(A1144, "IQ_PRICE_VOL_HIST_6MTH", F1144)</f>
        <v>93.938599999999994</v>
      </c>
      <c r="K1144">
        <f>_xll.ciqfunctions.udf.CIQ(A1144, "IQ_LASTSALEPRICE", WORKDAY(F1144,-1))</f>
        <v>4.8899999999999997</v>
      </c>
      <c r="L1144">
        <f>_xll.ciqfunctions.udf.CIQ(A1144, "IQ_LASTSALEPRICE", F1144)</f>
        <v>5.16</v>
      </c>
      <c r="M1144">
        <f>_xll.ciqfunctions.udf.CIQ(A1144, "IQ_LASTSALEPRICE", WORKDAY(F1144,5))</f>
        <v>5.36</v>
      </c>
      <c r="N1144">
        <f t="shared" si="34"/>
        <v>5.3744276006690829E-2</v>
      </c>
      <c r="O1144">
        <f t="shared" si="35"/>
        <v>9.1771671595929999E-2</v>
      </c>
      <c r="P1144">
        <f>LN(_xll.ciqfunctions.udf.CIQ("XBI", "IQ_LASTSALEPRICE", WORKDAY(F1144,-1))/_xll.ciqfunctions.udf.CIQ("XBI", "IQ_LASTSALEPRICE", WORKDAY(F1144,1)))</f>
        <v>3.6910267223963261E-2</v>
      </c>
      <c r="Q1144">
        <f>LN(_xll.ciqfunctions.udf.CIQ("XBI", "IQ_LASTSALEPRICE", WORKDAY(F1144,-1))/_xll.ciqfunctions.udf.CIQ("XBI", "IQ_LASTSALEPRICE", WORKDAY(F1144,5)))</f>
        <v>3.5447867503300687E-2</v>
      </c>
      <c r="R1144">
        <f>_xll.ciqfunctions.udf.CIQ(A1144, "IQ_SHORT_INTEREST_PERCENT", F1144)</f>
        <v>0.95382999999999996</v>
      </c>
      <c r="S1144">
        <f>_xll.ciqfunctions.udf.CIQ(A1144, "IQ_BETA_1YR_RSQ", F1144)</f>
        <v>9.6799999999999994E-3</v>
      </c>
      <c r="T1144">
        <f>_xll.ciqfunctions.udf.CIQ(A1144, "IQ_VALUE_TRADED", F1144)</f>
        <v>0.67444999999999999</v>
      </c>
    </row>
    <row r="1145" spans="1:20" x14ac:dyDescent="0.3">
      <c r="A1145" t="s">
        <v>1109</v>
      </c>
      <c r="B1145" s="2">
        <v>1.5</v>
      </c>
      <c r="C1145" t="s">
        <v>3076</v>
      </c>
      <c r="D1145" t="s">
        <v>104</v>
      </c>
      <c r="E1145" t="s">
        <v>22</v>
      </c>
      <c r="F1145" s="1">
        <v>45435</v>
      </c>
      <c r="G1145" t="s">
        <v>3077</v>
      </c>
      <c r="H1145">
        <v>138</v>
      </c>
      <c r="I1145">
        <f>_xll.ciqfunctions.udf.CIQ(A1145, "IQ_MARKETCAP", F1145)</f>
        <v>205.69580999999999</v>
      </c>
      <c r="J1145">
        <f>_xll.ciqfunctions.udf.CIQ(A1145, "IQ_PRICE_VOL_HIST_6MTH", F1145)</f>
        <v>78.848200000000006</v>
      </c>
      <c r="K1145">
        <f>_xll.ciqfunctions.udf.CIQ(A1145, "IQ_LASTSALEPRICE", WORKDAY(F1145,-1))</f>
        <v>1.56</v>
      </c>
      <c r="L1145">
        <f>_xll.ciqfunctions.udf.CIQ(A1145, "IQ_LASTSALEPRICE", F1145)</f>
        <v>1.4950000000000001</v>
      </c>
      <c r="M1145">
        <f>_xll.ciqfunctions.udf.CIQ(A1145, "IQ_LASTSALEPRICE", WORKDAY(F1145,5))</f>
        <v>1.36</v>
      </c>
      <c r="N1145">
        <f t="shared" si="34"/>
        <v>-4.2559614418795889E-2</v>
      </c>
      <c r="O1145">
        <f t="shared" si="35"/>
        <v>-0.13720112151348501</v>
      </c>
      <c r="P1145">
        <f>LN(_xll.ciqfunctions.udf.CIQ("XBI", "IQ_LASTSALEPRICE", WORKDAY(F1145,-1))/_xll.ciqfunctions.udf.CIQ("XBI", "IQ_LASTSALEPRICE", WORKDAY(F1145,1)))</f>
        <v>3.6910267223963261E-2</v>
      </c>
      <c r="Q1145">
        <f>LN(_xll.ciqfunctions.udf.CIQ("XBI", "IQ_LASTSALEPRICE", WORKDAY(F1145,-1))/_xll.ciqfunctions.udf.CIQ("XBI", "IQ_LASTSALEPRICE", WORKDAY(F1145,5)))</f>
        <v>3.5447867503300687E-2</v>
      </c>
      <c r="R1145">
        <f>_xll.ciqfunctions.udf.CIQ(A1145, "IQ_SHORT_INTEREST_PERCENT", F1145)</f>
        <v>1.19404</v>
      </c>
      <c r="S1145">
        <f>_xll.ciqfunctions.udf.CIQ(A1145, "IQ_BETA_1YR_RSQ", F1145)</f>
        <v>3.2969999999999999E-2</v>
      </c>
      <c r="T1145">
        <f>_xll.ciqfunctions.udf.CIQ(A1145, "IQ_VALUE_TRADED", F1145)</f>
        <v>0.25523000000000001</v>
      </c>
    </row>
    <row r="1146" spans="1:20" x14ac:dyDescent="0.3">
      <c r="A1146" t="s">
        <v>2127</v>
      </c>
      <c r="B1146" s="2">
        <v>1.04</v>
      </c>
      <c r="C1146" t="s">
        <v>2804</v>
      </c>
      <c r="D1146" t="s">
        <v>2805</v>
      </c>
      <c r="E1146" t="s">
        <v>22</v>
      </c>
      <c r="F1146" s="1">
        <v>45435</v>
      </c>
      <c r="G1146" t="s">
        <v>3078</v>
      </c>
      <c r="H1146">
        <v>4</v>
      </c>
      <c r="I1146">
        <f>_xll.ciqfunctions.udf.CIQ(A1146, "IQ_MARKETCAP", F1146)</f>
        <v>45.88447</v>
      </c>
      <c r="J1146">
        <f>_xll.ciqfunctions.udf.CIQ(A1146, "IQ_PRICE_VOL_HIST_6MTH", F1146)</f>
        <v>129.8115</v>
      </c>
      <c r="K1146">
        <f>_xll.ciqfunctions.udf.CIQ(A1146, "IQ_LASTSALEPRICE", WORKDAY(F1146,-1))</f>
        <v>31.500029999999999</v>
      </c>
      <c r="L1146">
        <f>_xll.ciqfunctions.udf.CIQ(A1146, "IQ_LASTSALEPRICE", F1146)</f>
        <v>31.197030000000002</v>
      </c>
      <c r="M1146">
        <f>_xll.ciqfunctions.udf.CIQ(A1146, "IQ_LASTSALEPRICE", WORKDAY(F1146,5))</f>
        <v>30.900030000000001</v>
      </c>
      <c r="N1146">
        <f t="shared" si="34"/>
        <v>-9.6656002354171024E-3</v>
      </c>
      <c r="O1146">
        <f t="shared" si="35"/>
        <v>-1.9231343435071314E-2</v>
      </c>
      <c r="P1146">
        <f>LN(_xll.ciqfunctions.udf.CIQ("XBI", "IQ_LASTSALEPRICE", WORKDAY(F1146,-1))/_xll.ciqfunctions.udf.CIQ("XBI", "IQ_LASTSALEPRICE", WORKDAY(F1146,1)))</f>
        <v>3.6910267223963261E-2</v>
      </c>
      <c r="Q1146">
        <f>LN(_xll.ciqfunctions.udf.CIQ("XBI", "IQ_LASTSALEPRICE", WORKDAY(F1146,-1))/_xll.ciqfunctions.udf.CIQ("XBI", "IQ_LASTSALEPRICE", WORKDAY(F1146,5)))</f>
        <v>3.5447867503300687E-2</v>
      </c>
      <c r="R1146">
        <f>_xll.ciqfunctions.udf.CIQ(A1146, "IQ_SHORT_INTEREST_PERCENT", F1146)</f>
        <v>0.40777999999999998</v>
      </c>
      <c r="S1146">
        <f>_xll.ciqfunctions.udf.CIQ(A1146, "IQ_BETA_1YR_RSQ", F1146)</f>
        <v>6.9800000000000001E-3</v>
      </c>
      <c r="T1146">
        <f>_xll.ciqfunctions.udf.CIQ(A1146, "IQ_VALUE_TRADED", F1146)</f>
        <v>2.53E-2</v>
      </c>
    </row>
    <row r="1147" spans="1:20" x14ac:dyDescent="0.3">
      <c r="A1147" t="s">
        <v>3079</v>
      </c>
      <c r="B1147" s="2">
        <v>3.88</v>
      </c>
      <c r="C1147" t="s">
        <v>3080</v>
      </c>
      <c r="D1147" t="s">
        <v>3081</v>
      </c>
      <c r="E1147" t="s">
        <v>197</v>
      </c>
      <c r="F1147" s="1">
        <v>45435</v>
      </c>
      <c r="G1147" t="s">
        <v>3082</v>
      </c>
      <c r="H1147">
        <v>6</v>
      </c>
      <c r="I1147">
        <f>_xll.ciqfunctions.udf.CIQ(A1147, "IQ_MARKETCAP", F1147)</f>
        <v>20.994869999999999</v>
      </c>
      <c r="J1147">
        <f>_xll.ciqfunctions.udf.CIQ(A1147, "IQ_PRICE_VOL_HIST_6MTH", F1147)</f>
        <v>179.56989999999999</v>
      </c>
      <c r="K1147">
        <f>_xll.ciqfunctions.udf.CIQ(A1147, "IQ_LASTSALEPRICE", WORKDAY(F1147,-1))</f>
        <v>19.05</v>
      </c>
      <c r="L1147">
        <f>_xll.ciqfunctions.udf.CIQ(A1147, "IQ_LASTSALEPRICE", F1147)</f>
        <v>19.399999999999999</v>
      </c>
      <c r="M1147">
        <f>_xll.ciqfunctions.udf.CIQ(A1147, "IQ_LASTSALEPRICE", WORKDAY(F1147,5))</f>
        <v>17.997</v>
      </c>
      <c r="N1147">
        <f t="shared" si="34"/>
        <v>1.8205964496572299E-2</v>
      </c>
      <c r="O1147">
        <f t="shared" si="35"/>
        <v>-5.6862024233644282E-2</v>
      </c>
      <c r="P1147">
        <f>LN(_xll.ciqfunctions.udf.CIQ("XBI", "IQ_LASTSALEPRICE", WORKDAY(F1147,-1))/_xll.ciqfunctions.udf.CIQ("XBI", "IQ_LASTSALEPRICE", WORKDAY(F1147,1)))</f>
        <v>3.6910267223963261E-2</v>
      </c>
      <c r="Q1147">
        <f>LN(_xll.ciqfunctions.udf.CIQ("XBI", "IQ_LASTSALEPRICE", WORKDAY(F1147,-1))/_xll.ciqfunctions.udf.CIQ("XBI", "IQ_LASTSALEPRICE", WORKDAY(F1147,5)))</f>
        <v>3.5447867503300687E-2</v>
      </c>
      <c r="R1147">
        <f>_xll.ciqfunctions.udf.CIQ(A1147, "IQ_SHORT_INTEREST_PERCENT", F1147)</f>
        <v>0.98328000000000004</v>
      </c>
      <c r="S1147">
        <f>_xll.ciqfunctions.udf.CIQ(A1147, "IQ_BETA_1YR_RSQ", F1147)</f>
        <v>1.6410000000000001E-2</v>
      </c>
      <c r="T1147">
        <f>_xll.ciqfunctions.udf.CIQ(A1147, "IQ_VALUE_TRADED", F1147)</f>
        <v>7.2650000000000006E-2</v>
      </c>
    </row>
    <row r="1148" spans="1:20" x14ac:dyDescent="0.3">
      <c r="A1148" t="s">
        <v>130</v>
      </c>
      <c r="B1148" s="2">
        <v>129.46</v>
      </c>
      <c r="C1148" t="s">
        <v>3080</v>
      </c>
      <c r="D1148" t="s">
        <v>3081</v>
      </c>
      <c r="E1148" t="s">
        <v>197</v>
      </c>
      <c r="F1148" s="1">
        <v>45435</v>
      </c>
      <c r="G1148" t="s">
        <v>3082</v>
      </c>
      <c r="I1148">
        <f>_xll.ciqfunctions.udf.CIQ(A1148, "IQ_MARKETCAP", F1148)</f>
        <v>332025.57879</v>
      </c>
      <c r="J1148">
        <f>_xll.ciqfunctions.udf.CIQ(A1148, "IQ_PRICE_VOL_HIST_6MTH", F1148)</f>
        <v>16.771100000000001</v>
      </c>
      <c r="K1148">
        <f>_xll.ciqfunctions.udf.CIQ(A1148, "IQ_LASTSALEPRICE", WORKDAY(F1148,-1))</f>
        <v>131.1</v>
      </c>
      <c r="L1148">
        <f>_xll.ciqfunctions.udf.CIQ(A1148, "IQ_LASTSALEPRICE", F1148)</f>
        <v>131.09</v>
      </c>
      <c r="M1148">
        <f>_xll.ciqfunctions.udf.CIQ(A1148, "IQ_LASTSALEPRICE", WORKDAY(F1148,5))</f>
        <v>124.53</v>
      </c>
      <c r="N1148">
        <f t="shared" si="34"/>
        <v>-7.6280559936264071E-5</v>
      </c>
      <c r="O1148">
        <f t="shared" si="35"/>
        <v>-5.141374003659701E-2</v>
      </c>
      <c r="P1148">
        <f>LN(_xll.ciqfunctions.udf.CIQ("XBI", "IQ_LASTSALEPRICE", WORKDAY(F1148,-1))/_xll.ciqfunctions.udf.CIQ("XBI", "IQ_LASTSALEPRICE", WORKDAY(F1148,1)))</f>
        <v>3.6910267223963261E-2</v>
      </c>
      <c r="Q1148">
        <f>LN(_xll.ciqfunctions.udf.CIQ("XBI", "IQ_LASTSALEPRICE", WORKDAY(F1148,-1))/_xll.ciqfunctions.udf.CIQ("XBI", "IQ_LASTSALEPRICE", WORKDAY(F1148,5)))</f>
        <v>3.5447867503300687E-2</v>
      </c>
      <c r="R1148">
        <f>_xll.ciqfunctions.udf.CIQ(A1148, "IQ_SHORT_INTEREST_PERCENT", F1148)</f>
        <v>0.74043999999999999</v>
      </c>
      <c r="S1148">
        <f>_xll.ciqfunctions.udf.CIQ(A1148, "IQ_BETA_1YR_RSQ", F1148)</f>
        <v>1.7229999999999999E-2</v>
      </c>
      <c r="T1148">
        <f>_xll.ciqfunctions.udf.CIQ(A1148, "IQ_VALUE_TRADED", F1148)</f>
        <v>895.47409000000005</v>
      </c>
    </row>
    <row r="1149" spans="1:20" x14ac:dyDescent="0.3">
      <c r="A1149" t="s">
        <v>459</v>
      </c>
      <c r="B1149" s="2">
        <v>12.35</v>
      </c>
      <c r="C1149" t="s">
        <v>3083</v>
      </c>
      <c r="D1149" t="s">
        <v>3084</v>
      </c>
      <c r="E1149" t="s">
        <v>46</v>
      </c>
      <c r="F1149" s="1">
        <v>45435</v>
      </c>
      <c r="G1149" t="s">
        <v>3085</v>
      </c>
      <c r="H1149">
        <v>31</v>
      </c>
      <c r="I1149">
        <f>_xll.ciqfunctions.udf.CIQ(A1149, "IQ_MARKETCAP", F1149)</f>
        <v>259.34087</v>
      </c>
      <c r="J1149">
        <f>_xll.ciqfunctions.udf.CIQ(A1149, "IQ_PRICE_VOL_HIST_6MTH", F1149)</f>
        <v>123.6229</v>
      </c>
      <c r="K1149">
        <f>_xll.ciqfunctions.udf.CIQ(A1149, "IQ_LASTSALEPRICE", WORKDAY(F1149,-1))</f>
        <v>11.91</v>
      </c>
      <c r="L1149">
        <f>_xll.ciqfunctions.udf.CIQ(A1149, "IQ_LASTSALEPRICE", F1149)</f>
        <v>12.35</v>
      </c>
      <c r="M1149">
        <f>_xll.ciqfunctions.udf.CIQ(A1149, "IQ_LASTSALEPRICE", WORKDAY(F1149,5))</f>
        <v>15.11</v>
      </c>
      <c r="N1149">
        <f t="shared" si="34"/>
        <v>3.6277679706777366E-2</v>
      </c>
      <c r="O1149">
        <f t="shared" si="35"/>
        <v>0.23797839291743933</v>
      </c>
      <c r="P1149">
        <f>LN(_xll.ciqfunctions.udf.CIQ("XBI", "IQ_LASTSALEPRICE", WORKDAY(F1149,-1))/_xll.ciqfunctions.udf.CIQ("XBI", "IQ_LASTSALEPRICE", WORKDAY(F1149,1)))</f>
        <v>3.6910267223963261E-2</v>
      </c>
      <c r="Q1149">
        <f>LN(_xll.ciqfunctions.udf.CIQ("XBI", "IQ_LASTSALEPRICE", WORKDAY(F1149,-1))/_xll.ciqfunctions.udf.CIQ("XBI", "IQ_LASTSALEPRICE", WORKDAY(F1149,5)))</f>
        <v>3.5447867503300687E-2</v>
      </c>
      <c r="R1149">
        <f>_xll.ciqfunctions.udf.CIQ(A1149, "IQ_SHORT_INTEREST_PERCENT", F1149)</f>
        <v>15.421099999999999</v>
      </c>
      <c r="S1149">
        <f>_xll.ciqfunctions.udf.CIQ(A1149, "IQ_BETA_1YR_RSQ", F1149)</f>
        <v>0.11062</v>
      </c>
      <c r="T1149">
        <f>_xll.ciqfunctions.udf.CIQ(A1149, "IQ_VALUE_TRADED", F1149)</f>
        <v>7.4105800000000004</v>
      </c>
    </row>
    <row r="1150" spans="1:20" x14ac:dyDescent="0.3">
      <c r="A1150" t="s">
        <v>2032</v>
      </c>
      <c r="B1150" s="2">
        <v>44.07</v>
      </c>
      <c r="C1150" t="s">
        <v>2801</v>
      </c>
      <c r="D1150" t="s">
        <v>2802</v>
      </c>
      <c r="E1150" t="s">
        <v>76</v>
      </c>
      <c r="F1150" s="1">
        <v>45435</v>
      </c>
      <c r="G1150" t="s">
        <v>3086</v>
      </c>
      <c r="H1150">
        <v>75</v>
      </c>
      <c r="I1150">
        <f>_xll.ciqfunctions.udf.CIQ(A1150, "IQ_MARKETCAP", F1150)</f>
        <v>2586.3603699999999</v>
      </c>
      <c r="J1150">
        <f>_xll.ciqfunctions.udf.CIQ(A1150, "IQ_PRICE_VOL_HIST_6MTH", F1150)</f>
        <v>49.268300000000004</v>
      </c>
      <c r="K1150">
        <f>_xll.ciqfunctions.udf.CIQ(A1150, "IQ_LASTSALEPRICE", WORKDAY(F1150,-1))</f>
        <v>43.4</v>
      </c>
      <c r="L1150">
        <f>_xll.ciqfunctions.udf.CIQ(A1150, "IQ_LASTSALEPRICE", F1150)</f>
        <v>44.07</v>
      </c>
      <c r="M1150">
        <f>_xll.ciqfunctions.udf.CIQ(A1150, "IQ_LASTSALEPRICE", WORKDAY(F1150,5))</f>
        <v>57.3</v>
      </c>
      <c r="N1150">
        <f t="shared" si="34"/>
        <v>1.5319837747536588E-2</v>
      </c>
      <c r="O1150">
        <f t="shared" si="35"/>
        <v>0.27784118261433471</v>
      </c>
      <c r="P1150">
        <f>LN(_xll.ciqfunctions.udf.CIQ("XBI", "IQ_LASTSALEPRICE", WORKDAY(F1150,-1))/_xll.ciqfunctions.udf.CIQ("XBI", "IQ_LASTSALEPRICE", WORKDAY(F1150,1)))</f>
        <v>3.6910267223963261E-2</v>
      </c>
      <c r="Q1150">
        <f>LN(_xll.ciqfunctions.udf.CIQ("XBI", "IQ_LASTSALEPRICE", WORKDAY(F1150,-1))/_xll.ciqfunctions.udf.CIQ("XBI", "IQ_LASTSALEPRICE", WORKDAY(F1150,5)))</f>
        <v>3.5447867503300687E-2</v>
      </c>
      <c r="R1150">
        <f>_xll.ciqfunctions.udf.CIQ(A1150, "IQ_SHORT_INTEREST_PERCENT", F1150)</f>
        <v>5.7613000000000003</v>
      </c>
      <c r="S1150">
        <f>_xll.ciqfunctions.udf.CIQ(A1150, "IQ_BETA_1YR_RSQ", F1150)</f>
        <v>0.29835</v>
      </c>
      <c r="T1150">
        <f>_xll.ciqfunctions.udf.CIQ(A1150, "IQ_VALUE_TRADED", F1150)</f>
        <v>71.095839999999995</v>
      </c>
    </row>
    <row r="1151" spans="1:20" x14ac:dyDescent="0.3">
      <c r="A1151" t="s">
        <v>2036</v>
      </c>
      <c r="B1151" t="s">
        <v>43</v>
      </c>
      <c r="C1151" t="s">
        <v>2801</v>
      </c>
      <c r="D1151" t="s">
        <v>2802</v>
      </c>
      <c r="E1151" t="s">
        <v>76</v>
      </c>
      <c r="F1151" s="1">
        <v>45435</v>
      </c>
      <c r="G1151" t="s">
        <v>3086</v>
      </c>
      <c r="H1151">
        <v>661</v>
      </c>
      <c r="I1151">
        <f>_xll.ciqfunctions.udf.CIQ(A1151, "IQ_MARKETCAP", F1151)</f>
        <v>130727.49368</v>
      </c>
      <c r="J1151">
        <f>_xll.ciqfunctions.udf.CIQ(A1151, "IQ_PRICE_VOL_HIST_6MTH", F1151)</f>
        <v>31.208500000000001</v>
      </c>
      <c r="K1151">
        <f>_xll.ciqfunctions.udf.CIQ(A1151, "IQ_LASTSALEPRICE", WORKDAY(F1151,-1))</f>
        <v>2055</v>
      </c>
      <c r="L1151">
        <f>_xll.ciqfunctions.udf.CIQ(A1151, "IQ_LASTSALEPRICE", F1151)</f>
        <v>2025</v>
      </c>
      <c r="M1151">
        <f>_xll.ciqfunctions.udf.CIQ(A1151, "IQ_LASTSALEPRICE", WORKDAY(F1151,5))</f>
        <v>1931</v>
      </c>
      <c r="N1151">
        <f t="shared" si="34"/>
        <v>-1.4706147389695449E-2</v>
      </c>
      <c r="O1151">
        <f t="shared" si="35"/>
        <v>-6.2237844501820482E-2</v>
      </c>
      <c r="P1151">
        <f>LN(_xll.ciqfunctions.udf.CIQ("XBI", "IQ_LASTSALEPRICE", WORKDAY(F1151,-1))/_xll.ciqfunctions.udf.CIQ("XBI", "IQ_LASTSALEPRICE", WORKDAY(F1151,1)))</f>
        <v>3.6910267223963261E-2</v>
      </c>
      <c r="Q1151">
        <f>LN(_xll.ciqfunctions.udf.CIQ("XBI", "IQ_LASTSALEPRICE", WORKDAY(F1151,-1))/_xll.ciqfunctions.udf.CIQ("XBI", "IQ_LASTSALEPRICE", WORKDAY(F1151,5)))</f>
        <v>3.5447867503300687E-2</v>
      </c>
      <c r="R1151">
        <f>_xll.ciqfunctions.udf.CIQ(A1151, "IQ_SHORT_INTEREST_PERCENT", F1151)</f>
        <v>0</v>
      </c>
      <c r="S1151">
        <f>_xll.ciqfunctions.udf.CIQ(A1151, "IQ_BETA_1YR_RSQ", F1151)</f>
        <v>9.3840000000000007E-2</v>
      </c>
      <c r="T1151">
        <f>_xll.ciqfunctions.udf.CIQ(A1151, "IQ_VALUE_TRADED", F1151)</f>
        <v>216.03104999999999</v>
      </c>
    </row>
    <row r="1152" spans="1:20" x14ac:dyDescent="0.3">
      <c r="A1152" t="s">
        <v>267</v>
      </c>
      <c r="B1152" s="2">
        <v>4.71</v>
      </c>
      <c r="C1152" t="s">
        <v>268</v>
      </c>
      <c r="D1152" t="s">
        <v>269</v>
      </c>
      <c r="E1152" t="s">
        <v>76</v>
      </c>
      <c r="F1152" s="1">
        <v>45435</v>
      </c>
      <c r="G1152" t="s">
        <v>3087</v>
      </c>
      <c r="H1152">
        <v>15</v>
      </c>
      <c r="I1152">
        <f>_xll.ciqfunctions.udf.CIQ(A1152, "IQ_MARKETCAP", F1152)</f>
        <v>71.721350000000001</v>
      </c>
      <c r="J1152">
        <f>_xll.ciqfunctions.udf.CIQ(A1152, "IQ_PRICE_VOL_HIST_6MTH", F1152)</f>
        <v>0</v>
      </c>
      <c r="K1152">
        <f>_xll.ciqfunctions.udf.CIQ(A1152, "IQ_LASTSALEPRICE", WORKDAY(F1152,-1))</f>
        <v>0</v>
      </c>
      <c r="L1152">
        <f>_xll.ciqfunctions.udf.CIQ(A1152, "IQ_LASTSALEPRICE", F1152)</f>
        <v>0</v>
      </c>
      <c r="M1152">
        <f>_xll.ciqfunctions.udf.CIQ(A1152, "IQ_LASTSALEPRICE", WORKDAY(F1152,5))</f>
        <v>0</v>
      </c>
      <c r="N1152" t="e">
        <f t="shared" si="34"/>
        <v>#DIV/0!</v>
      </c>
      <c r="O1152" t="e">
        <f t="shared" si="35"/>
        <v>#DIV/0!</v>
      </c>
      <c r="P1152">
        <f>LN(_xll.ciqfunctions.udf.CIQ("XBI", "IQ_LASTSALEPRICE", WORKDAY(F1152,-1))/_xll.ciqfunctions.udf.CIQ("XBI", "IQ_LASTSALEPRICE", WORKDAY(F1152,1)))</f>
        <v>3.6910267223963261E-2</v>
      </c>
      <c r="Q1152">
        <f>LN(_xll.ciqfunctions.udf.CIQ("XBI", "IQ_LASTSALEPRICE", WORKDAY(F1152,-1))/_xll.ciqfunctions.udf.CIQ("XBI", "IQ_LASTSALEPRICE", WORKDAY(F1152,5)))</f>
        <v>3.5447867503300687E-2</v>
      </c>
      <c r="R1152">
        <f>_xll.ciqfunctions.udf.CIQ(A1152, "IQ_SHORT_INTEREST_PERCENT", F1152)</f>
        <v>0</v>
      </c>
      <c r="S1152">
        <f>_xll.ciqfunctions.udf.CIQ(A1152, "IQ_BETA_1YR_RSQ", F1152)</f>
        <v>0</v>
      </c>
      <c r="T1152">
        <f>_xll.ciqfunctions.udf.CIQ(A1152, "IQ_VALUE_TRADED", F1152)</f>
        <v>0</v>
      </c>
    </row>
    <row r="1153" spans="1:20" x14ac:dyDescent="0.3">
      <c r="A1153" t="s">
        <v>3088</v>
      </c>
      <c r="B1153" s="2">
        <v>11.28</v>
      </c>
      <c r="C1153" t="s">
        <v>3089</v>
      </c>
      <c r="D1153" t="s">
        <v>3090</v>
      </c>
      <c r="E1153" t="s">
        <v>22</v>
      </c>
      <c r="F1153" s="1">
        <v>45435</v>
      </c>
      <c r="G1153" t="s">
        <v>3091</v>
      </c>
      <c r="H1153">
        <v>72</v>
      </c>
      <c r="I1153">
        <f>_xll.ciqfunctions.udf.CIQ(A1153, "IQ_MARKETCAP", F1153)</f>
        <v>801.02927</v>
      </c>
      <c r="J1153">
        <f>_xll.ciqfunctions.udf.CIQ(A1153, "IQ_PRICE_VOL_HIST_6MTH", F1153)</f>
        <v>70.311700000000002</v>
      </c>
      <c r="K1153">
        <f>_xll.ciqfunctions.udf.CIQ(A1153, "IQ_LASTSALEPRICE", WORKDAY(F1153,-1))</f>
        <v>11.98</v>
      </c>
      <c r="L1153">
        <f>_xll.ciqfunctions.udf.CIQ(A1153, "IQ_LASTSALEPRICE", F1153)</f>
        <v>11.28</v>
      </c>
      <c r="M1153">
        <f>_xll.ciqfunctions.udf.CIQ(A1153, "IQ_LASTSALEPRICE", WORKDAY(F1153,5))</f>
        <v>11.97</v>
      </c>
      <c r="N1153">
        <f t="shared" si="34"/>
        <v>-6.0207346617390557E-2</v>
      </c>
      <c r="O1153">
        <f t="shared" si="35"/>
        <v>-8.3507311742150696E-4</v>
      </c>
      <c r="P1153">
        <f>LN(_xll.ciqfunctions.udf.CIQ("XBI", "IQ_LASTSALEPRICE", WORKDAY(F1153,-1))/_xll.ciqfunctions.udf.CIQ("XBI", "IQ_LASTSALEPRICE", WORKDAY(F1153,1)))</f>
        <v>3.6910267223963261E-2</v>
      </c>
      <c r="Q1153">
        <f>LN(_xll.ciqfunctions.udf.CIQ("XBI", "IQ_LASTSALEPRICE", WORKDAY(F1153,-1))/_xll.ciqfunctions.udf.CIQ("XBI", "IQ_LASTSALEPRICE", WORKDAY(F1153,5)))</f>
        <v>3.5447867503300687E-2</v>
      </c>
      <c r="R1153">
        <f>_xll.ciqfunctions.udf.CIQ(A1153, "IQ_SHORT_INTEREST_PERCENT", F1153)</f>
        <v>24.647590000000001</v>
      </c>
      <c r="S1153">
        <f>_xll.ciqfunctions.udf.CIQ(A1153, "IQ_BETA_1YR_RSQ", F1153)</f>
        <v>4.1050000000000003E-2</v>
      </c>
      <c r="T1153">
        <f>_xll.ciqfunctions.udf.CIQ(A1153, "IQ_VALUE_TRADED", F1153)</f>
        <v>5.7965799999999996</v>
      </c>
    </row>
    <row r="1154" spans="1:20" x14ac:dyDescent="0.3">
      <c r="A1154" t="s">
        <v>245</v>
      </c>
      <c r="B1154" s="2">
        <v>102.39</v>
      </c>
      <c r="C1154" t="s">
        <v>3092</v>
      </c>
      <c r="D1154" t="s">
        <v>3093</v>
      </c>
      <c r="E1154" t="s">
        <v>22</v>
      </c>
      <c r="F1154" s="1">
        <v>45435</v>
      </c>
      <c r="G1154" t="s">
        <v>3094</v>
      </c>
      <c r="H1154">
        <v>64</v>
      </c>
      <c r="I1154">
        <f>_xll.ciqfunctions.udf.CIQ(A1154, "IQ_MARKETCAP", F1154)</f>
        <v>6411.3446000000004</v>
      </c>
      <c r="J1154">
        <f>_xll.ciqfunctions.udf.CIQ(A1154, "IQ_PRICE_VOL_HIST_6MTH", F1154)</f>
        <v>0</v>
      </c>
      <c r="K1154">
        <f>_xll.ciqfunctions.udf.CIQ(A1154, "IQ_LASTSALEPRICE", WORKDAY(F1154,-1))</f>
        <v>0</v>
      </c>
      <c r="L1154">
        <f>_xll.ciqfunctions.udf.CIQ(A1154, "IQ_LASTSALEPRICE", F1154)</f>
        <v>0</v>
      </c>
      <c r="M1154">
        <f>_xll.ciqfunctions.udf.CIQ(A1154, "IQ_LASTSALEPRICE", WORKDAY(F1154,5))</f>
        <v>0</v>
      </c>
      <c r="N1154" t="e">
        <f t="shared" si="34"/>
        <v>#DIV/0!</v>
      </c>
      <c r="O1154" t="e">
        <f t="shared" si="35"/>
        <v>#DIV/0!</v>
      </c>
      <c r="P1154">
        <f>LN(_xll.ciqfunctions.udf.CIQ("XBI", "IQ_LASTSALEPRICE", WORKDAY(F1154,-1))/_xll.ciqfunctions.udf.CIQ("XBI", "IQ_LASTSALEPRICE", WORKDAY(F1154,1)))</f>
        <v>3.6910267223963261E-2</v>
      </c>
      <c r="Q1154">
        <f>LN(_xll.ciqfunctions.udf.CIQ("XBI", "IQ_LASTSALEPRICE", WORKDAY(F1154,-1))/_xll.ciqfunctions.udf.CIQ("XBI", "IQ_LASTSALEPRICE", WORKDAY(F1154,5)))</f>
        <v>3.5447867503300687E-2</v>
      </c>
      <c r="R1154">
        <f>_xll.ciqfunctions.udf.CIQ(A1154, "IQ_SHORT_INTEREST_PERCENT", F1154)</f>
        <v>0</v>
      </c>
      <c r="S1154">
        <f>_xll.ciqfunctions.udf.CIQ(A1154, "IQ_BETA_1YR_RSQ", F1154)</f>
        <v>0</v>
      </c>
      <c r="T1154">
        <f>_xll.ciqfunctions.udf.CIQ(A1154, "IQ_VALUE_TRADED", F1154)</f>
        <v>0</v>
      </c>
    </row>
    <row r="1155" spans="1:20" x14ac:dyDescent="0.3">
      <c r="A1155" t="s">
        <v>1118</v>
      </c>
      <c r="B1155" s="2">
        <v>1.45</v>
      </c>
      <c r="C1155" t="s">
        <v>1119</v>
      </c>
      <c r="D1155" t="s">
        <v>1120</v>
      </c>
      <c r="E1155" t="s">
        <v>17</v>
      </c>
      <c r="F1155" s="1">
        <v>45435</v>
      </c>
      <c r="G1155" t="s">
        <v>3095</v>
      </c>
      <c r="H1155">
        <v>1</v>
      </c>
      <c r="I1155">
        <f>_xll.ciqfunctions.udf.CIQ(A1155, "IQ_MARKETCAP", F1155)</f>
        <v>36.367359999999998</v>
      </c>
      <c r="J1155">
        <f>_xll.ciqfunctions.udf.CIQ(A1155, "IQ_PRICE_VOL_HIST_6MTH", F1155)</f>
        <v>84.983000000000004</v>
      </c>
      <c r="K1155">
        <f>_xll.ciqfunctions.udf.CIQ(A1155, "IQ_LASTSALEPRICE", WORKDAY(F1155,-1))</f>
        <v>27.2</v>
      </c>
      <c r="L1155">
        <f>_xll.ciqfunctions.udf.CIQ(A1155, "IQ_LASTSALEPRICE", F1155)</f>
        <v>29</v>
      </c>
      <c r="M1155">
        <f>_xll.ciqfunctions.udf.CIQ(A1155, "IQ_LASTSALEPRICE", WORKDAY(F1155,5))</f>
        <v>15.1</v>
      </c>
      <c r="N1155">
        <f t="shared" ref="N1155:N1218" si="36">LN(L1155/K1155)</f>
        <v>6.4078856684522387E-2</v>
      </c>
      <c r="O1155">
        <f t="shared" ref="O1155:O1218" si="37">LN(M1155/K1155)</f>
        <v>-0.58852222948107291</v>
      </c>
      <c r="P1155">
        <f>LN(_xll.ciqfunctions.udf.CIQ("XBI", "IQ_LASTSALEPRICE", WORKDAY(F1155,-1))/_xll.ciqfunctions.udf.CIQ("XBI", "IQ_LASTSALEPRICE", WORKDAY(F1155,1)))</f>
        <v>3.6910267223963261E-2</v>
      </c>
      <c r="Q1155">
        <f>LN(_xll.ciqfunctions.udf.CIQ("XBI", "IQ_LASTSALEPRICE", WORKDAY(F1155,-1))/_xll.ciqfunctions.udf.CIQ("XBI", "IQ_LASTSALEPRICE", WORKDAY(F1155,5)))</f>
        <v>3.5447867503300687E-2</v>
      </c>
      <c r="R1155">
        <f>_xll.ciqfunctions.udf.CIQ(A1155, "IQ_SHORT_INTEREST_PERCENT", F1155)</f>
        <v>0.23974999999999999</v>
      </c>
      <c r="S1155">
        <f>_xll.ciqfunctions.udf.CIQ(A1155, "IQ_BETA_1YR_RSQ", F1155)</f>
        <v>4.2880000000000001E-2</v>
      </c>
      <c r="T1155">
        <f>_xll.ciqfunctions.udf.CIQ(A1155, "IQ_VALUE_TRADED", F1155)</f>
        <v>1.26901</v>
      </c>
    </row>
    <row r="1156" spans="1:20" x14ac:dyDescent="0.3">
      <c r="A1156" t="s">
        <v>385</v>
      </c>
      <c r="B1156" s="2">
        <v>980.57</v>
      </c>
      <c r="C1156" t="s">
        <v>1119</v>
      </c>
      <c r="D1156" t="s">
        <v>1120</v>
      </c>
      <c r="E1156" t="s">
        <v>17</v>
      </c>
      <c r="F1156" s="1">
        <v>45435</v>
      </c>
      <c r="G1156" t="s">
        <v>3095</v>
      </c>
      <c r="H1156">
        <v>105</v>
      </c>
      <c r="I1156">
        <f>_xll.ciqfunctions.udf.CIQ(A1156, "IQ_MARKETCAP", F1156)</f>
        <v>105789.28767999999</v>
      </c>
      <c r="J1156">
        <f>_xll.ciqfunctions.udf.CIQ(A1156, "IQ_PRICE_VOL_HIST_6MTH", F1156)</f>
        <v>16.8217</v>
      </c>
      <c r="K1156">
        <f>_xll.ciqfunctions.udf.CIQ(A1156, "IQ_LASTSALEPRICE", WORKDAY(F1156,-1))</f>
        <v>983.8</v>
      </c>
      <c r="L1156">
        <f>_xll.ciqfunctions.udf.CIQ(A1156, "IQ_LASTSALEPRICE", F1156)</f>
        <v>980.57</v>
      </c>
      <c r="M1156">
        <f>_xll.ciqfunctions.udf.CIQ(A1156, "IQ_LASTSALEPRICE", WORKDAY(F1156,5))</f>
        <v>969.91</v>
      </c>
      <c r="N1156">
        <f t="shared" si="36"/>
        <v>-3.288589126272569E-3</v>
      </c>
      <c r="O1156">
        <f t="shared" si="37"/>
        <v>-1.4219340673621293E-2</v>
      </c>
      <c r="P1156">
        <f>LN(_xll.ciqfunctions.udf.CIQ("XBI", "IQ_LASTSALEPRICE", WORKDAY(F1156,-1))/_xll.ciqfunctions.udf.CIQ("XBI", "IQ_LASTSALEPRICE", WORKDAY(F1156,1)))</f>
        <v>3.6910267223963261E-2</v>
      </c>
      <c r="Q1156">
        <f>LN(_xll.ciqfunctions.udf.CIQ("XBI", "IQ_LASTSALEPRICE", WORKDAY(F1156,-1))/_xll.ciqfunctions.udf.CIQ("XBI", "IQ_LASTSALEPRICE", WORKDAY(F1156,5)))</f>
        <v>3.5447867503300687E-2</v>
      </c>
      <c r="R1156">
        <f>_xll.ciqfunctions.udf.CIQ(A1156, "IQ_SHORT_INTEREST_PERCENT", F1156)</f>
        <v>1.4588000000000001</v>
      </c>
      <c r="S1156">
        <f>_xll.ciqfunctions.udf.CIQ(A1156, "IQ_BETA_1YR_RSQ", F1156)</f>
        <v>9.017E-2</v>
      </c>
      <c r="T1156">
        <f>_xll.ciqfunctions.udf.CIQ(A1156, "IQ_VALUE_TRADED", F1156)</f>
        <v>309.59929</v>
      </c>
    </row>
    <row r="1157" spans="1:20" x14ac:dyDescent="0.3">
      <c r="A1157" t="s">
        <v>1040</v>
      </c>
      <c r="B1157" s="2">
        <v>7.49</v>
      </c>
      <c r="C1157" t="s">
        <v>3096</v>
      </c>
      <c r="D1157" t="s">
        <v>3097</v>
      </c>
      <c r="E1157" t="s">
        <v>36</v>
      </c>
      <c r="F1157" s="1">
        <v>45435</v>
      </c>
      <c r="G1157" t="s">
        <v>3098</v>
      </c>
      <c r="H1157">
        <v>139</v>
      </c>
      <c r="I1157">
        <f>_xll.ciqfunctions.udf.CIQ(A1157, "IQ_MARKETCAP", F1157)</f>
        <v>716.14434000000006</v>
      </c>
      <c r="J1157">
        <f>_xll.ciqfunctions.udf.CIQ(A1157, "IQ_PRICE_VOL_HIST_6MTH", F1157)</f>
        <v>148.67609999999999</v>
      </c>
      <c r="K1157">
        <f>_xll.ciqfunctions.udf.CIQ(A1157, "IQ_LASTSALEPRICE", WORKDAY(F1157,-1))</f>
        <v>8.0299999999999994</v>
      </c>
      <c r="L1157">
        <f>_xll.ciqfunctions.udf.CIQ(A1157, "IQ_LASTSALEPRICE", F1157)</f>
        <v>7.49</v>
      </c>
      <c r="M1157">
        <f>_xll.ciqfunctions.udf.CIQ(A1157, "IQ_LASTSALEPRICE", WORKDAY(F1157,5))</f>
        <v>7.29</v>
      </c>
      <c r="N1157">
        <f t="shared" si="36"/>
        <v>-6.9615730429542125E-2</v>
      </c>
      <c r="O1157">
        <f t="shared" si="37"/>
        <v>-9.6680981938103441E-2</v>
      </c>
      <c r="P1157">
        <f>LN(_xll.ciqfunctions.udf.CIQ("XBI", "IQ_LASTSALEPRICE", WORKDAY(F1157,-1))/_xll.ciqfunctions.udf.CIQ("XBI", "IQ_LASTSALEPRICE", WORKDAY(F1157,1)))</f>
        <v>3.6910267223963261E-2</v>
      </c>
      <c r="Q1157">
        <f>LN(_xll.ciqfunctions.udf.CIQ("XBI", "IQ_LASTSALEPRICE", WORKDAY(F1157,-1))/_xll.ciqfunctions.udf.CIQ("XBI", "IQ_LASTSALEPRICE", WORKDAY(F1157,5)))</f>
        <v>3.5447867503300687E-2</v>
      </c>
      <c r="R1157">
        <f>_xll.ciqfunctions.udf.CIQ(A1157, "IQ_SHORT_INTEREST_PERCENT", F1157)</f>
        <v>12.59651</v>
      </c>
      <c r="S1157">
        <f>_xll.ciqfunctions.udf.CIQ(A1157, "IQ_BETA_1YR_RSQ", F1157)</f>
        <v>1.1800000000000001E-3</v>
      </c>
      <c r="T1157">
        <f>_xll.ciqfunctions.udf.CIQ(A1157, "IQ_VALUE_TRADED", F1157)</f>
        <v>8.4957100000000008</v>
      </c>
    </row>
    <row r="1158" spans="1:20" x14ac:dyDescent="0.3">
      <c r="A1158" t="s">
        <v>2445</v>
      </c>
      <c r="B1158" s="2">
        <v>10.4</v>
      </c>
      <c r="C1158" t="s">
        <v>3099</v>
      </c>
      <c r="D1158" t="s">
        <v>2450</v>
      </c>
      <c r="E1158" t="s">
        <v>17</v>
      </c>
      <c r="F1158" s="1">
        <v>45435</v>
      </c>
      <c r="G1158" t="s">
        <v>3100</v>
      </c>
      <c r="H1158">
        <v>12</v>
      </c>
      <c r="I1158">
        <f>_xll.ciqfunctions.udf.CIQ(A1158, "IQ_MARKETCAP", F1158)</f>
        <v>130.40362999999999</v>
      </c>
      <c r="J1158">
        <f>_xll.ciqfunctions.udf.CIQ(A1158, "IQ_PRICE_VOL_HIST_6MTH", F1158)</f>
        <v>100.3438</v>
      </c>
      <c r="K1158">
        <f>_xll.ciqfunctions.udf.CIQ(A1158, "IQ_LASTSALEPRICE", WORKDAY(F1158,-1))</f>
        <v>9.8000000000000007</v>
      </c>
      <c r="L1158">
        <f>_xll.ciqfunctions.udf.CIQ(A1158, "IQ_LASTSALEPRICE", F1158)</f>
        <v>10.4</v>
      </c>
      <c r="M1158">
        <f>_xll.ciqfunctions.udf.CIQ(A1158, "IQ_LASTSALEPRICE", WORKDAY(F1158,5))</f>
        <v>7.5170000000000003</v>
      </c>
      <c r="N1158">
        <f t="shared" si="36"/>
        <v>5.9423420470800806E-2</v>
      </c>
      <c r="O1158">
        <f t="shared" si="37"/>
        <v>-0.26521526348119451</v>
      </c>
      <c r="P1158">
        <f>LN(_xll.ciqfunctions.udf.CIQ("XBI", "IQ_LASTSALEPRICE", WORKDAY(F1158,-1))/_xll.ciqfunctions.udf.CIQ("XBI", "IQ_LASTSALEPRICE", WORKDAY(F1158,1)))</f>
        <v>3.6910267223963261E-2</v>
      </c>
      <c r="Q1158">
        <f>LN(_xll.ciqfunctions.udf.CIQ("XBI", "IQ_LASTSALEPRICE", WORKDAY(F1158,-1))/_xll.ciqfunctions.udf.CIQ("XBI", "IQ_LASTSALEPRICE", WORKDAY(F1158,5)))</f>
        <v>3.5447867503300687E-2</v>
      </c>
      <c r="R1158">
        <f>_xll.ciqfunctions.udf.CIQ(A1158, "IQ_SHORT_INTEREST_PERCENT", F1158)</f>
        <v>0.51336999999999999</v>
      </c>
      <c r="S1158">
        <f>_xll.ciqfunctions.udf.CIQ(A1158, "IQ_BETA_1YR_RSQ", F1158)</f>
        <v>0.16829</v>
      </c>
      <c r="T1158">
        <f>_xll.ciqfunctions.udf.CIQ(A1158, "IQ_VALUE_TRADED", F1158)</f>
        <v>1.7190099999999999</v>
      </c>
    </row>
    <row r="1159" spans="1:20" x14ac:dyDescent="0.3">
      <c r="A1159" t="s">
        <v>839</v>
      </c>
      <c r="B1159" s="2">
        <v>10.69</v>
      </c>
      <c r="C1159" t="s">
        <v>3101</v>
      </c>
      <c r="D1159" t="s">
        <v>253</v>
      </c>
      <c r="E1159" t="s">
        <v>76</v>
      </c>
      <c r="F1159" s="1">
        <v>45435</v>
      </c>
      <c r="G1159" t="s">
        <v>3102</v>
      </c>
      <c r="H1159">
        <v>54</v>
      </c>
      <c r="I1159">
        <f>_xll.ciqfunctions.udf.CIQ(A1159, "IQ_MARKETCAP", F1159)</f>
        <v>317.97116999999997</v>
      </c>
      <c r="J1159">
        <f>_xll.ciqfunctions.udf.CIQ(A1159, "IQ_PRICE_VOL_HIST_6MTH", F1159)</f>
        <v>225.1874</v>
      </c>
      <c r="K1159">
        <f>_xll.ciqfunctions.udf.CIQ(A1159, "IQ_LASTSALEPRICE", WORKDAY(F1159,-1))</f>
        <v>10.58</v>
      </c>
      <c r="L1159">
        <f>_xll.ciqfunctions.udf.CIQ(A1159, "IQ_LASTSALEPRICE", F1159)</f>
        <v>10.69</v>
      </c>
      <c r="M1159">
        <f>_xll.ciqfunctions.udf.CIQ(A1159, "IQ_LASTSALEPRICE", WORKDAY(F1159,5))</f>
        <v>8.6199999999999992</v>
      </c>
      <c r="N1159">
        <f t="shared" si="36"/>
        <v>1.0343298606800522E-2</v>
      </c>
      <c r="O1159">
        <f t="shared" si="37"/>
        <v>-0.20488034175455172</v>
      </c>
      <c r="P1159">
        <f>LN(_xll.ciqfunctions.udf.CIQ("XBI", "IQ_LASTSALEPRICE", WORKDAY(F1159,-1))/_xll.ciqfunctions.udf.CIQ("XBI", "IQ_LASTSALEPRICE", WORKDAY(F1159,1)))</f>
        <v>3.6910267223963261E-2</v>
      </c>
      <c r="Q1159">
        <f>LN(_xll.ciqfunctions.udf.CIQ("XBI", "IQ_LASTSALEPRICE", WORKDAY(F1159,-1))/_xll.ciqfunctions.udf.CIQ("XBI", "IQ_LASTSALEPRICE", WORKDAY(F1159,5)))</f>
        <v>3.5447867503300687E-2</v>
      </c>
      <c r="R1159">
        <f>_xll.ciqfunctions.udf.CIQ(A1159, "IQ_SHORT_INTEREST_PERCENT", F1159)</f>
        <v>3.5459499999999999</v>
      </c>
      <c r="S1159">
        <f>_xll.ciqfunctions.udf.CIQ(A1159, "IQ_BETA_1YR_RSQ", F1159)</f>
        <v>4.8300000000000001E-3</v>
      </c>
      <c r="T1159">
        <f>_xll.ciqfunctions.udf.CIQ(A1159, "IQ_VALUE_TRADED", F1159)</f>
        <v>10.79297</v>
      </c>
    </row>
    <row r="1160" spans="1:20" x14ac:dyDescent="0.3">
      <c r="A1160" t="s">
        <v>275</v>
      </c>
      <c r="B1160" s="2">
        <v>8.85</v>
      </c>
      <c r="C1160" t="s">
        <v>3103</v>
      </c>
      <c r="D1160" t="s">
        <v>3104</v>
      </c>
      <c r="E1160" t="s">
        <v>76</v>
      </c>
      <c r="F1160" s="1">
        <v>45435</v>
      </c>
      <c r="G1160" t="s">
        <v>3105</v>
      </c>
      <c r="H1160">
        <v>16</v>
      </c>
      <c r="I1160">
        <f>_xll.ciqfunctions.udf.CIQ(A1160, "IQ_MARKETCAP", F1160)</f>
        <v>90.764099999999999</v>
      </c>
      <c r="J1160">
        <f>_xll.ciqfunctions.udf.CIQ(A1160, "IQ_PRICE_VOL_HIST_6MTH", F1160)</f>
        <v>129.23599999999999</v>
      </c>
      <c r="K1160">
        <f>_xll.ciqfunctions.udf.CIQ(A1160, "IQ_LASTSALEPRICE", WORKDAY(F1160,-1))</f>
        <v>8.86</v>
      </c>
      <c r="L1160">
        <f>_xll.ciqfunctions.udf.CIQ(A1160, "IQ_LASTSALEPRICE", F1160)</f>
        <v>8.85</v>
      </c>
      <c r="M1160">
        <f>_xll.ciqfunctions.udf.CIQ(A1160, "IQ_LASTSALEPRICE", WORKDAY(F1160,5))</f>
        <v>7.51</v>
      </c>
      <c r="N1160">
        <f t="shared" si="36"/>
        <v>-1.129305597151414E-3</v>
      </c>
      <c r="O1160">
        <f t="shared" si="37"/>
        <v>-0.16531129884094614</v>
      </c>
      <c r="P1160">
        <f>LN(_xll.ciqfunctions.udf.CIQ("XBI", "IQ_LASTSALEPRICE", WORKDAY(F1160,-1))/_xll.ciqfunctions.udf.CIQ("XBI", "IQ_LASTSALEPRICE", WORKDAY(F1160,1)))</f>
        <v>3.6910267223963261E-2</v>
      </c>
      <c r="Q1160">
        <f>LN(_xll.ciqfunctions.udf.CIQ("XBI", "IQ_LASTSALEPRICE", WORKDAY(F1160,-1))/_xll.ciqfunctions.udf.CIQ("XBI", "IQ_LASTSALEPRICE", WORKDAY(F1160,5)))</f>
        <v>3.5447867503300687E-2</v>
      </c>
      <c r="R1160">
        <f>_xll.ciqfunctions.udf.CIQ(A1160, "IQ_SHORT_INTEREST_PERCENT", F1160)</f>
        <v>0.83233000000000001</v>
      </c>
      <c r="S1160">
        <f>_xll.ciqfunctions.udf.CIQ(A1160, "IQ_BETA_1YR_RSQ", F1160)</f>
        <v>2.2300000000000002E-3</v>
      </c>
      <c r="T1160">
        <f>_xll.ciqfunctions.udf.CIQ(A1160, "IQ_VALUE_TRADED", F1160)</f>
        <v>0.15995999999999999</v>
      </c>
    </row>
    <row r="1161" spans="1:20" x14ac:dyDescent="0.3">
      <c r="A1161" t="s">
        <v>863</v>
      </c>
      <c r="B1161" s="2">
        <v>3.99</v>
      </c>
      <c r="C1161" t="s">
        <v>864</v>
      </c>
      <c r="D1161" t="s">
        <v>865</v>
      </c>
      <c r="E1161" t="s">
        <v>46</v>
      </c>
      <c r="F1161" s="1">
        <v>45435</v>
      </c>
      <c r="G1161" t="s">
        <v>3106</v>
      </c>
      <c r="H1161">
        <v>50</v>
      </c>
      <c r="I1161">
        <f>_xll.ciqfunctions.udf.CIQ(A1161, "IQ_MARKETCAP", F1161)</f>
        <v>192.47300999999999</v>
      </c>
      <c r="J1161">
        <f>_xll.ciqfunctions.udf.CIQ(A1161, "IQ_PRICE_VOL_HIST_6MTH", F1161)</f>
        <v>77.961200000000005</v>
      </c>
      <c r="K1161">
        <f>_xll.ciqfunctions.udf.CIQ(A1161, "IQ_LASTSALEPRICE", WORKDAY(F1161,-1))</f>
        <v>4.2300000000000004</v>
      </c>
      <c r="L1161">
        <f>_xll.ciqfunctions.udf.CIQ(A1161, "IQ_LASTSALEPRICE", F1161)</f>
        <v>3.99</v>
      </c>
      <c r="M1161">
        <f>_xll.ciqfunctions.udf.CIQ(A1161, "IQ_LASTSALEPRICE", WORKDAY(F1161,5))</f>
        <v>3.81</v>
      </c>
      <c r="N1161">
        <f t="shared" si="36"/>
        <v>-5.8410762156414602E-2</v>
      </c>
      <c r="O1161">
        <f t="shared" si="37"/>
        <v>-0.10457280391957705</v>
      </c>
      <c r="P1161">
        <f>LN(_xll.ciqfunctions.udf.CIQ("XBI", "IQ_LASTSALEPRICE", WORKDAY(F1161,-1))/_xll.ciqfunctions.udf.CIQ("XBI", "IQ_LASTSALEPRICE", WORKDAY(F1161,1)))</f>
        <v>3.6910267223963261E-2</v>
      </c>
      <c r="Q1161">
        <f>LN(_xll.ciqfunctions.udf.CIQ("XBI", "IQ_LASTSALEPRICE", WORKDAY(F1161,-1))/_xll.ciqfunctions.udf.CIQ("XBI", "IQ_LASTSALEPRICE", WORKDAY(F1161,5)))</f>
        <v>3.5447867503300687E-2</v>
      </c>
      <c r="R1161">
        <f>_xll.ciqfunctions.udf.CIQ(A1161, "IQ_SHORT_INTEREST_PERCENT", F1161)</f>
        <v>6.4529500000000004</v>
      </c>
      <c r="S1161">
        <f>_xll.ciqfunctions.udf.CIQ(A1161, "IQ_BETA_1YR_RSQ", F1161)</f>
        <v>7.7240000000000003E-2</v>
      </c>
      <c r="T1161">
        <f>_xll.ciqfunctions.udf.CIQ(A1161, "IQ_VALUE_TRADED", F1161)</f>
        <v>1.62452</v>
      </c>
    </row>
    <row r="1162" spans="1:20" x14ac:dyDescent="0.3">
      <c r="A1162" t="s">
        <v>2162</v>
      </c>
      <c r="B1162" s="2">
        <v>2.96</v>
      </c>
      <c r="C1162" t="s">
        <v>3107</v>
      </c>
      <c r="D1162" t="s">
        <v>3108</v>
      </c>
      <c r="E1162" t="s">
        <v>89</v>
      </c>
      <c r="F1162" s="1">
        <v>45435</v>
      </c>
      <c r="G1162" t="s">
        <v>3109</v>
      </c>
      <c r="H1162">
        <v>92</v>
      </c>
      <c r="I1162">
        <f>_xll.ciqfunctions.udf.CIQ(A1162, "IQ_MARKETCAP", F1162)</f>
        <v>215.84810999999999</v>
      </c>
      <c r="J1162">
        <f>_xll.ciqfunctions.udf.CIQ(A1162, "IQ_PRICE_VOL_HIST_6MTH", F1162)</f>
        <v>71.633499999999998</v>
      </c>
      <c r="K1162">
        <f>_xll.ciqfunctions.udf.CIQ(A1162, "IQ_LASTSALEPRICE", WORKDAY(F1162,-1))</f>
        <v>2.9998</v>
      </c>
      <c r="L1162">
        <f>_xll.ciqfunctions.udf.CIQ(A1162, "IQ_LASTSALEPRICE", F1162)</f>
        <v>2.96</v>
      </c>
      <c r="M1162">
        <f>_xll.ciqfunctions.udf.CIQ(A1162, "IQ_LASTSALEPRICE", WORKDAY(F1162,5))</f>
        <v>2.75</v>
      </c>
      <c r="N1162">
        <f t="shared" si="36"/>
        <v>-1.3356351443153074E-2</v>
      </c>
      <c r="O1162">
        <f t="shared" si="37"/>
        <v>-8.6944708100642143E-2</v>
      </c>
      <c r="P1162">
        <f>LN(_xll.ciqfunctions.udf.CIQ("XBI", "IQ_LASTSALEPRICE", WORKDAY(F1162,-1))/_xll.ciqfunctions.udf.CIQ("XBI", "IQ_LASTSALEPRICE", WORKDAY(F1162,1)))</f>
        <v>3.6910267223963261E-2</v>
      </c>
      <c r="Q1162">
        <f>LN(_xll.ciqfunctions.udf.CIQ("XBI", "IQ_LASTSALEPRICE", WORKDAY(F1162,-1))/_xll.ciqfunctions.udf.CIQ("XBI", "IQ_LASTSALEPRICE", WORKDAY(F1162,5)))</f>
        <v>3.5447867503300687E-2</v>
      </c>
      <c r="R1162">
        <f>_xll.ciqfunctions.udf.CIQ(A1162, "IQ_SHORT_INTEREST_PERCENT", F1162)</f>
        <v>0</v>
      </c>
      <c r="S1162">
        <f>_xll.ciqfunctions.udf.CIQ(A1162, "IQ_BETA_1YR_RSQ", F1162)</f>
        <v>0</v>
      </c>
      <c r="T1162">
        <f>_xll.ciqfunctions.udf.CIQ(A1162, "IQ_VALUE_TRADED", F1162)</f>
        <v>6.9769999999999999E-2</v>
      </c>
    </row>
    <row r="1163" spans="1:20" x14ac:dyDescent="0.3">
      <c r="A1163" t="s">
        <v>2047</v>
      </c>
      <c r="B1163" s="2">
        <v>14.69</v>
      </c>
      <c r="C1163" t="s">
        <v>3110</v>
      </c>
      <c r="D1163" t="s">
        <v>363</v>
      </c>
      <c r="E1163" t="s">
        <v>76</v>
      </c>
      <c r="F1163" s="1">
        <v>45435</v>
      </c>
      <c r="G1163" t="s">
        <v>3111</v>
      </c>
      <c r="H1163">
        <v>53</v>
      </c>
      <c r="I1163">
        <f>_xll.ciqfunctions.udf.CIQ(A1163, "IQ_MARKETCAP", F1163)</f>
        <v>765.35056999999995</v>
      </c>
      <c r="J1163">
        <f>_xll.ciqfunctions.udf.CIQ(A1163, "IQ_PRICE_VOL_HIST_6MTH", F1163)</f>
        <v>90.273499999999999</v>
      </c>
      <c r="K1163">
        <f>_xll.ciqfunctions.udf.CIQ(A1163, "IQ_LASTSALEPRICE", WORKDAY(F1163,-1))</f>
        <v>15</v>
      </c>
      <c r="L1163">
        <f>_xll.ciqfunctions.udf.CIQ(A1163, "IQ_LASTSALEPRICE", F1163)</f>
        <v>14.69</v>
      </c>
      <c r="M1163">
        <f>_xll.ciqfunctions.udf.CIQ(A1163, "IQ_LASTSALEPRICE", WORKDAY(F1163,5))</f>
        <v>10.65</v>
      </c>
      <c r="N1163">
        <f t="shared" si="36"/>
        <v>-2.0883210916424186E-2</v>
      </c>
      <c r="O1163">
        <f t="shared" si="37"/>
        <v>-0.34249030894677585</v>
      </c>
      <c r="P1163">
        <f>LN(_xll.ciqfunctions.udf.CIQ("XBI", "IQ_LASTSALEPRICE", WORKDAY(F1163,-1))/_xll.ciqfunctions.udf.CIQ("XBI", "IQ_LASTSALEPRICE", WORKDAY(F1163,1)))</f>
        <v>3.6910267223963261E-2</v>
      </c>
      <c r="Q1163">
        <f>LN(_xll.ciqfunctions.udf.CIQ("XBI", "IQ_LASTSALEPRICE", WORKDAY(F1163,-1))/_xll.ciqfunctions.udf.CIQ("XBI", "IQ_LASTSALEPRICE", WORKDAY(F1163,5)))</f>
        <v>3.5447867503300687E-2</v>
      </c>
      <c r="R1163">
        <f>_xll.ciqfunctions.udf.CIQ(A1163, "IQ_SHORT_INTEREST_PERCENT", F1163)</f>
        <v>6.0700900000000004</v>
      </c>
      <c r="S1163">
        <f>_xll.ciqfunctions.udf.CIQ(A1163, "IQ_BETA_1YR_RSQ", F1163)</f>
        <v>7.51E-2</v>
      </c>
      <c r="T1163">
        <f>_xll.ciqfunctions.udf.CIQ(A1163, "IQ_VALUE_TRADED", F1163)</f>
        <v>20.00262</v>
      </c>
    </row>
    <row r="1164" spans="1:20" x14ac:dyDescent="0.3">
      <c r="A1164" t="s">
        <v>1997</v>
      </c>
      <c r="B1164" s="2">
        <v>99</v>
      </c>
      <c r="C1164" t="s">
        <v>3112</v>
      </c>
      <c r="D1164" t="s">
        <v>253</v>
      </c>
      <c r="E1164" t="s">
        <v>17</v>
      </c>
      <c r="F1164" s="1">
        <v>45435</v>
      </c>
      <c r="G1164" t="s">
        <v>3113</v>
      </c>
      <c r="H1164">
        <v>239</v>
      </c>
      <c r="I1164">
        <f>_xll.ciqfunctions.udf.CIQ(A1164, "IQ_MARKETCAP", F1164)</f>
        <v>23890.544569999998</v>
      </c>
      <c r="J1164">
        <f>_xll.ciqfunctions.udf.CIQ(A1164, "IQ_PRICE_VOL_HIST_6MTH", F1164)</f>
        <v>33.324100000000001</v>
      </c>
      <c r="K1164">
        <f>_xll.ciqfunctions.udf.CIQ(A1164, "IQ_LASTSALEPRICE", WORKDAY(F1164,-1))</f>
        <v>102.3</v>
      </c>
      <c r="L1164">
        <f>_xll.ciqfunctions.udf.CIQ(A1164, "IQ_LASTSALEPRICE", F1164)</f>
        <v>99</v>
      </c>
      <c r="M1164">
        <f>_xll.ciqfunctions.udf.CIQ(A1164, "IQ_LASTSALEPRICE", WORKDAY(F1164,5))</f>
        <v>98.75</v>
      </c>
      <c r="N1164">
        <f t="shared" si="36"/>
        <v>-3.2789822822990838E-2</v>
      </c>
      <c r="O1164">
        <f t="shared" si="37"/>
        <v>-3.5318269176349518E-2</v>
      </c>
      <c r="P1164">
        <f>LN(_xll.ciqfunctions.udf.CIQ("XBI", "IQ_LASTSALEPRICE", WORKDAY(F1164,-1))/_xll.ciqfunctions.udf.CIQ("XBI", "IQ_LASTSALEPRICE", WORKDAY(F1164,1)))</f>
        <v>3.6910267223963261E-2</v>
      </c>
      <c r="Q1164">
        <f>LN(_xll.ciqfunctions.udf.CIQ("XBI", "IQ_LASTSALEPRICE", WORKDAY(F1164,-1))/_xll.ciqfunctions.udf.CIQ("XBI", "IQ_LASTSALEPRICE", WORKDAY(F1164,5)))</f>
        <v>3.5447867503300687E-2</v>
      </c>
      <c r="R1164">
        <f>_xll.ciqfunctions.udf.CIQ(A1164, "IQ_SHORT_INTEREST_PERCENT", F1164)</f>
        <v>1.5296000000000001</v>
      </c>
      <c r="S1164">
        <f>_xll.ciqfunctions.udf.CIQ(A1164, "IQ_BETA_1YR_RSQ", F1164)</f>
        <v>8.6569999999999994E-2</v>
      </c>
      <c r="T1164">
        <f>_xll.ciqfunctions.udf.CIQ(A1164, "IQ_VALUE_TRADED", F1164)</f>
        <v>153.81729000000001</v>
      </c>
    </row>
    <row r="1165" spans="1:20" x14ac:dyDescent="0.3">
      <c r="A1165" t="s">
        <v>1149</v>
      </c>
      <c r="B1165" s="2">
        <v>1.74</v>
      </c>
      <c r="C1165" t="s">
        <v>3114</v>
      </c>
      <c r="D1165" t="s">
        <v>3115</v>
      </c>
      <c r="E1165" t="s">
        <v>22</v>
      </c>
      <c r="F1165" s="1">
        <v>45435</v>
      </c>
      <c r="G1165" t="s">
        <v>3116</v>
      </c>
      <c r="H1165">
        <v>76</v>
      </c>
      <c r="I1165">
        <f>_xll.ciqfunctions.udf.CIQ(A1165, "IQ_MARKETCAP", F1165)</f>
        <v>84.63937</v>
      </c>
      <c r="J1165">
        <f>_xll.ciqfunctions.udf.CIQ(A1165, "IQ_PRICE_VOL_HIST_6MTH", F1165)</f>
        <v>95.900800000000004</v>
      </c>
      <c r="K1165">
        <f>_xll.ciqfunctions.udf.CIQ(A1165, "IQ_LASTSALEPRICE", WORKDAY(F1165,-1))</f>
        <v>1.91</v>
      </c>
      <c r="L1165">
        <f>_xll.ciqfunctions.udf.CIQ(A1165, "IQ_LASTSALEPRICE", F1165)</f>
        <v>1.74</v>
      </c>
      <c r="M1165">
        <f>_xll.ciqfunctions.udf.CIQ(A1165, "IQ_LASTSALEPRICE", WORKDAY(F1165,5))</f>
        <v>1.59</v>
      </c>
      <c r="N1165">
        <f t="shared" si="36"/>
        <v>-9.3218128832100761E-2</v>
      </c>
      <c r="O1165">
        <f t="shared" si="37"/>
        <v>-0.18336922582639828</v>
      </c>
      <c r="P1165">
        <f>LN(_xll.ciqfunctions.udf.CIQ("XBI", "IQ_LASTSALEPRICE", WORKDAY(F1165,-1))/_xll.ciqfunctions.udf.CIQ("XBI", "IQ_LASTSALEPRICE", WORKDAY(F1165,1)))</f>
        <v>3.6910267223963261E-2</v>
      </c>
      <c r="Q1165">
        <f>LN(_xll.ciqfunctions.udf.CIQ("XBI", "IQ_LASTSALEPRICE", WORKDAY(F1165,-1))/_xll.ciqfunctions.udf.CIQ("XBI", "IQ_LASTSALEPRICE", WORKDAY(F1165,5)))</f>
        <v>3.5447867503300687E-2</v>
      </c>
      <c r="R1165">
        <f>_xll.ciqfunctions.udf.CIQ(A1165, "IQ_SHORT_INTEREST_PERCENT", F1165)</f>
        <v>10.194140000000001</v>
      </c>
      <c r="S1165">
        <f>_xll.ciqfunctions.udf.CIQ(A1165, "IQ_BETA_1YR_RSQ", F1165)</f>
        <v>6.7000000000000004E-2</v>
      </c>
      <c r="T1165">
        <f>_xll.ciqfunctions.udf.CIQ(A1165, "IQ_VALUE_TRADED", F1165)</f>
        <v>0.27900000000000003</v>
      </c>
    </row>
    <row r="1166" spans="1:20" x14ac:dyDescent="0.3">
      <c r="A1166" t="s">
        <v>1149</v>
      </c>
      <c r="B1166" s="2">
        <v>1.74</v>
      </c>
      <c r="C1166" t="s">
        <v>1150</v>
      </c>
      <c r="D1166" t="s">
        <v>1151</v>
      </c>
      <c r="E1166" t="s">
        <v>22</v>
      </c>
      <c r="F1166" s="1">
        <v>45435</v>
      </c>
      <c r="G1166" t="s">
        <v>3117</v>
      </c>
      <c r="H1166">
        <v>76</v>
      </c>
      <c r="I1166">
        <f>_xll.ciqfunctions.udf.CIQ(A1166, "IQ_MARKETCAP", F1166)</f>
        <v>84.63937</v>
      </c>
      <c r="J1166">
        <f>_xll.ciqfunctions.udf.CIQ(A1166, "IQ_PRICE_VOL_HIST_6MTH", F1166)</f>
        <v>95.900800000000004</v>
      </c>
      <c r="K1166">
        <f>_xll.ciqfunctions.udf.CIQ(A1166, "IQ_LASTSALEPRICE", WORKDAY(F1166,-1))</f>
        <v>1.91</v>
      </c>
      <c r="L1166">
        <f>_xll.ciqfunctions.udf.CIQ(A1166, "IQ_LASTSALEPRICE", F1166)</f>
        <v>1.74</v>
      </c>
      <c r="M1166">
        <f>_xll.ciqfunctions.udf.CIQ(A1166, "IQ_LASTSALEPRICE", WORKDAY(F1166,5))</f>
        <v>1.59</v>
      </c>
      <c r="N1166">
        <f t="shared" si="36"/>
        <v>-9.3218128832100761E-2</v>
      </c>
      <c r="O1166">
        <f t="shared" si="37"/>
        <v>-0.18336922582639828</v>
      </c>
      <c r="P1166">
        <f>LN(_xll.ciqfunctions.udf.CIQ("XBI", "IQ_LASTSALEPRICE", WORKDAY(F1166,-1))/_xll.ciqfunctions.udf.CIQ("XBI", "IQ_LASTSALEPRICE", WORKDAY(F1166,1)))</f>
        <v>3.6910267223963261E-2</v>
      </c>
      <c r="Q1166">
        <f>LN(_xll.ciqfunctions.udf.CIQ("XBI", "IQ_LASTSALEPRICE", WORKDAY(F1166,-1))/_xll.ciqfunctions.udf.CIQ("XBI", "IQ_LASTSALEPRICE", WORKDAY(F1166,5)))</f>
        <v>3.5447867503300687E-2</v>
      </c>
      <c r="R1166">
        <f>_xll.ciqfunctions.udf.CIQ(A1166, "IQ_SHORT_INTEREST_PERCENT", F1166)</f>
        <v>10.194140000000001</v>
      </c>
      <c r="S1166">
        <f>_xll.ciqfunctions.udf.CIQ(A1166, "IQ_BETA_1YR_RSQ", F1166)</f>
        <v>6.7000000000000004E-2</v>
      </c>
      <c r="T1166">
        <f>_xll.ciqfunctions.udf.CIQ(A1166, "IQ_VALUE_TRADED", F1166)</f>
        <v>0.27900000000000003</v>
      </c>
    </row>
    <row r="1167" spans="1:20" x14ac:dyDescent="0.3">
      <c r="A1167" t="s">
        <v>130</v>
      </c>
      <c r="B1167" s="2">
        <v>129.46</v>
      </c>
      <c r="C1167" t="s">
        <v>3118</v>
      </c>
      <c r="D1167" t="s">
        <v>3119</v>
      </c>
      <c r="E1167" t="s">
        <v>36</v>
      </c>
      <c r="F1167" s="1">
        <v>45435</v>
      </c>
      <c r="G1167" t="s">
        <v>3120</v>
      </c>
      <c r="I1167">
        <f>_xll.ciqfunctions.udf.CIQ(A1167, "IQ_MARKETCAP", F1167)</f>
        <v>332025.57879</v>
      </c>
      <c r="J1167">
        <f>_xll.ciqfunctions.udf.CIQ(A1167, "IQ_PRICE_VOL_HIST_6MTH", F1167)</f>
        <v>16.771100000000001</v>
      </c>
      <c r="K1167">
        <f>_xll.ciqfunctions.udf.CIQ(A1167, "IQ_LASTSALEPRICE", WORKDAY(F1167,-1))</f>
        <v>131.1</v>
      </c>
      <c r="L1167">
        <f>_xll.ciqfunctions.udf.CIQ(A1167, "IQ_LASTSALEPRICE", F1167)</f>
        <v>131.09</v>
      </c>
      <c r="M1167">
        <f>_xll.ciqfunctions.udf.CIQ(A1167, "IQ_LASTSALEPRICE", WORKDAY(F1167,5))</f>
        <v>124.53</v>
      </c>
      <c r="N1167">
        <f t="shared" si="36"/>
        <v>-7.6280559936264071E-5</v>
      </c>
      <c r="O1167">
        <f t="shared" si="37"/>
        <v>-5.141374003659701E-2</v>
      </c>
      <c r="P1167">
        <f>LN(_xll.ciqfunctions.udf.CIQ("XBI", "IQ_LASTSALEPRICE", WORKDAY(F1167,-1))/_xll.ciqfunctions.udf.CIQ("XBI", "IQ_LASTSALEPRICE", WORKDAY(F1167,1)))</f>
        <v>3.6910267223963261E-2</v>
      </c>
      <c r="Q1167">
        <f>LN(_xll.ciqfunctions.udf.CIQ("XBI", "IQ_LASTSALEPRICE", WORKDAY(F1167,-1))/_xll.ciqfunctions.udf.CIQ("XBI", "IQ_LASTSALEPRICE", WORKDAY(F1167,5)))</f>
        <v>3.5447867503300687E-2</v>
      </c>
      <c r="R1167">
        <f>_xll.ciqfunctions.udf.CIQ(A1167, "IQ_SHORT_INTEREST_PERCENT", F1167)</f>
        <v>0.74043999999999999</v>
      </c>
      <c r="S1167">
        <f>_xll.ciqfunctions.udf.CIQ(A1167, "IQ_BETA_1YR_RSQ", F1167)</f>
        <v>1.7229999999999999E-2</v>
      </c>
      <c r="T1167">
        <f>_xll.ciqfunctions.udf.CIQ(A1167, "IQ_VALUE_TRADED", F1167)</f>
        <v>895.47409000000005</v>
      </c>
    </row>
    <row r="1168" spans="1:20" x14ac:dyDescent="0.3">
      <c r="A1168" t="s">
        <v>401</v>
      </c>
      <c r="B1168" s="2">
        <v>28.3</v>
      </c>
      <c r="C1168" t="s">
        <v>3121</v>
      </c>
      <c r="D1168" t="s">
        <v>3122</v>
      </c>
      <c r="E1168" t="s">
        <v>22</v>
      </c>
      <c r="F1168" s="1">
        <v>45435</v>
      </c>
      <c r="G1168" t="s">
        <v>3123</v>
      </c>
      <c r="I1168">
        <f>_xll.ciqfunctions.udf.CIQ(A1168, "IQ_MARKETCAP", F1168)</f>
        <v>162574.55024000001</v>
      </c>
      <c r="J1168">
        <f>_xll.ciqfunctions.udf.CIQ(A1168, "IQ_PRICE_VOL_HIST_6MTH", F1168)</f>
        <v>27.096</v>
      </c>
      <c r="K1168">
        <f>_xll.ciqfunctions.udf.CIQ(A1168, "IQ_LASTSALEPRICE", WORKDAY(F1168,-1))</f>
        <v>29.6</v>
      </c>
      <c r="L1168">
        <f>_xll.ciqfunctions.udf.CIQ(A1168, "IQ_LASTSALEPRICE", F1168)</f>
        <v>28.69</v>
      </c>
      <c r="M1168">
        <f>_xll.ciqfunctions.udf.CIQ(A1168, "IQ_LASTSALEPRICE", WORKDAY(F1168,5))</f>
        <v>28.2</v>
      </c>
      <c r="N1168">
        <f t="shared" si="36"/>
        <v>-3.1225731336741315E-2</v>
      </c>
      <c r="O1168">
        <f t="shared" si="37"/>
        <v>-4.8452383385946859E-2</v>
      </c>
      <c r="P1168">
        <f>LN(_xll.ciqfunctions.udf.CIQ("XBI", "IQ_LASTSALEPRICE", WORKDAY(F1168,-1))/_xll.ciqfunctions.udf.CIQ("XBI", "IQ_LASTSALEPRICE", WORKDAY(F1168,1)))</f>
        <v>3.6910267223963261E-2</v>
      </c>
      <c r="Q1168">
        <f>LN(_xll.ciqfunctions.udf.CIQ("XBI", "IQ_LASTSALEPRICE", WORKDAY(F1168,-1))/_xll.ciqfunctions.udf.CIQ("XBI", "IQ_LASTSALEPRICE", WORKDAY(F1168,5)))</f>
        <v>3.5447867503300687E-2</v>
      </c>
      <c r="R1168">
        <f>_xll.ciqfunctions.udf.CIQ(A1168, "IQ_SHORT_INTEREST_PERCENT", F1168)</f>
        <v>1.1031200000000001</v>
      </c>
      <c r="S1168">
        <f>_xll.ciqfunctions.udf.CIQ(A1168, "IQ_BETA_1YR_RSQ", F1168)</f>
        <v>2.5399999999999999E-2</v>
      </c>
      <c r="T1168">
        <f>_xll.ciqfunctions.udf.CIQ(A1168, "IQ_VALUE_TRADED", F1168)</f>
        <v>1205.87871</v>
      </c>
    </row>
    <row r="1169" spans="1:20" x14ac:dyDescent="0.3">
      <c r="A1169" t="s">
        <v>401</v>
      </c>
      <c r="B1169" s="2">
        <v>28.3</v>
      </c>
      <c r="C1169" t="s">
        <v>3124</v>
      </c>
      <c r="D1169" t="s">
        <v>3125</v>
      </c>
      <c r="E1169" t="s">
        <v>22</v>
      </c>
      <c r="F1169" s="1">
        <v>45435</v>
      </c>
      <c r="G1169" t="s">
        <v>3126</v>
      </c>
      <c r="I1169">
        <f>_xll.ciqfunctions.udf.CIQ(A1169, "IQ_MARKETCAP", F1169)</f>
        <v>162574.55024000001</v>
      </c>
      <c r="J1169">
        <f>_xll.ciqfunctions.udf.CIQ(A1169, "IQ_PRICE_VOL_HIST_6MTH", F1169)</f>
        <v>27.096</v>
      </c>
      <c r="K1169">
        <f>_xll.ciqfunctions.udf.CIQ(A1169, "IQ_LASTSALEPRICE", WORKDAY(F1169,-1))</f>
        <v>29.6</v>
      </c>
      <c r="L1169">
        <f>_xll.ciqfunctions.udf.CIQ(A1169, "IQ_LASTSALEPRICE", F1169)</f>
        <v>28.69</v>
      </c>
      <c r="M1169">
        <f>_xll.ciqfunctions.udf.CIQ(A1169, "IQ_LASTSALEPRICE", WORKDAY(F1169,5))</f>
        <v>28.2</v>
      </c>
      <c r="N1169">
        <f t="shared" si="36"/>
        <v>-3.1225731336741315E-2</v>
      </c>
      <c r="O1169">
        <f t="shared" si="37"/>
        <v>-4.8452383385946859E-2</v>
      </c>
      <c r="P1169">
        <f>LN(_xll.ciqfunctions.udf.CIQ("XBI", "IQ_LASTSALEPRICE", WORKDAY(F1169,-1))/_xll.ciqfunctions.udf.CIQ("XBI", "IQ_LASTSALEPRICE", WORKDAY(F1169,1)))</f>
        <v>3.6910267223963261E-2</v>
      </c>
      <c r="Q1169">
        <f>LN(_xll.ciqfunctions.udf.CIQ("XBI", "IQ_LASTSALEPRICE", WORKDAY(F1169,-1))/_xll.ciqfunctions.udf.CIQ("XBI", "IQ_LASTSALEPRICE", WORKDAY(F1169,5)))</f>
        <v>3.5447867503300687E-2</v>
      </c>
      <c r="R1169">
        <f>_xll.ciqfunctions.udf.CIQ(A1169, "IQ_SHORT_INTEREST_PERCENT", F1169)</f>
        <v>1.1031200000000001</v>
      </c>
      <c r="S1169">
        <f>_xll.ciqfunctions.udf.CIQ(A1169, "IQ_BETA_1YR_RSQ", F1169)</f>
        <v>2.5399999999999999E-2</v>
      </c>
      <c r="T1169">
        <f>_xll.ciqfunctions.udf.CIQ(A1169, "IQ_VALUE_TRADED", F1169)</f>
        <v>1205.87871</v>
      </c>
    </row>
    <row r="1170" spans="1:20" x14ac:dyDescent="0.3">
      <c r="A1170" t="s">
        <v>401</v>
      </c>
      <c r="B1170" s="2">
        <v>28.3</v>
      </c>
      <c r="C1170" t="s">
        <v>3127</v>
      </c>
      <c r="D1170" t="s">
        <v>1331</v>
      </c>
      <c r="E1170" t="s">
        <v>17</v>
      </c>
      <c r="F1170" s="1">
        <v>45435</v>
      </c>
      <c r="G1170" t="s">
        <v>3128</v>
      </c>
      <c r="I1170">
        <f>_xll.ciqfunctions.udf.CIQ(A1170, "IQ_MARKETCAP", F1170)</f>
        <v>162574.55024000001</v>
      </c>
      <c r="J1170">
        <f>_xll.ciqfunctions.udf.CIQ(A1170, "IQ_PRICE_VOL_HIST_6MTH", F1170)</f>
        <v>27.096</v>
      </c>
      <c r="K1170">
        <f>_xll.ciqfunctions.udf.CIQ(A1170, "IQ_LASTSALEPRICE", WORKDAY(F1170,-1))</f>
        <v>29.6</v>
      </c>
      <c r="L1170">
        <f>_xll.ciqfunctions.udf.CIQ(A1170, "IQ_LASTSALEPRICE", F1170)</f>
        <v>28.69</v>
      </c>
      <c r="M1170">
        <f>_xll.ciqfunctions.udf.CIQ(A1170, "IQ_LASTSALEPRICE", WORKDAY(F1170,5))</f>
        <v>28.2</v>
      </c>
      <c r="N1170">
        <f t="shared" si="36"/>
        <v>-3.1225731336741315E-2</v>
      </c>
      <c r="O1170">
        <f t="shared" si="37"/>
        <v>-4.8452383385946859E-2</v>
      </c>
      <c r="P1170">
        <f>LN(_xll.ciqfunctions.udf.CIQ("XBI", "IQ_LASTSALEPRICE", WORKDAY(F1170,-1))/_xll.ciqfunctions.udf.CIQ("XBI", "IQ_LASTSALEPRICE", WORKDAY(F1170,1)))</f>
        <v>3.6910267223963261E-2</v>
      </c>
      <c r="Q1170">
        <f>LN(_xll.ciqfunctions.udf.CIQ("XBI", "IQ_LASTSALEPRICE", WORKDAY(F1170,-1))/_xll.ciqfunctions.udf.CIQ("XBI", "IQ_LASTSALEPRICE", WORKDAY(F1170,5)))</f>
        <v>3.5447867503300687E-2</v>
      </c>
      <c r="R1170">
        <f>_xll.ciqfunctions.udf.CIQ(A1170, "IQ_SHORT_INTEREST_PERCENT", F1170)</f>
        <v>1.1031200000000001</v>
      </c>
      <c r="S1170">
        <f>_xll.ciqfunctions.udf.CIQ(A1170, "IQ_BETA_1YR_RSQ", F1170)</f>
        <v>2.5399999999999999E-2</v>
      </c>
      <c r="T1170">
        <f>_xll.ciqfunctions.udf.CIQ(A1170, "IQ_VALUE_TRADED", F1170)</f>
        <v>1205.87871</v>
      </c>
    </row>
    <row r="1171" spans="1:20" x14ac:dyDescent="0.3">
      <c r="A1171" t="s">
        <v>401</v>
      </c>
      <c r="B1171" s="2">
        <v>28.3</v>
      </c>
      <c r="C1171" t="s">
        <v>3129</v>
      </c>
      <c r="D1171" t="s">
        <v>253</v>
      </c>
      <c r="E1171" t="s">
        <v>22</v>
      </c>
      <c r="F1171" s="1">
        <v>45435</v>
      </c>
      <c r="G1171" t="s">
        <v>3130</v>
      </c>
      <c r="I1171">
        <f>_xll.ciqfunctions.udf.CIQ(A1171, "IQ_MARKETCAP", F1171)</f>
        <v>162574.55024000001</v>
      </c>
      <c r="J1171">
        <f>_xll.ciqfunctions.udf.CIQ(A1171, "IQ_PRICE_VOL_HIST_6MTH", F1171)</f>
        <v>27.096</v>
      </c>
      <c r="K1171">
        <f>_xll.ciqfunctions.udf.CIQ(A1171, "IQ_LASTSALEPRICE", WORKDAY(F1171,-1))</f>
        <v>29.6</v>
      </c>
      <c r="L1171">
        <f>_xll.ciqfunctions.udf.CIQ(A1171, "IQ_LASTSALEPRICE", F1171)</f>
        <v>28.69</v>
      </c>
      <c r="M1171">
        <f>_xll.ciqfunctions.udf.CIQ(A1171, "IQ_LASTSALEPRICE", WORKDAY(F1171,5))</f>
        <v>28.2</v>
      </c>
      <c r="N1171">
        <f t="shared" si="36"/>
        <v>-3.1225731336741315E-2</v>
      </c>
      <c r="O1171">
        <f t="shared" si="37"/>
        <v>-4.8452383385946859E-2</v>
      </c>
      <c r="P1171">
        <f>LN(_xll.ciqfunctions.udf.CIQ("XBI", "IQ_LASTSALEPRICE", WORKDAY(F1171,-1))/_xll.ciqfunctions.udf.CIQ("XBI", "IQ_LASTSALEPRICE", WORKDAY(F1171,1)))</f>
        <v>3.6910267223963261E-2</v>
      </c>
      <c r="Q1171">
        <f>LN(_xll.ciqfunctions.udf.CIQ("XBI", "IQ_LASTSALEPRICE", WORKDAY(F1171,-1))/_xll.ciqfunctions.udf.CIQ("XBI", "IQ_LASTSALEPRICE", WORKDAY(F1171,5)))</f>
        <v>3.5447867503300687E-2</v>
      </c>
      <c r="R1171">
        <f>_xll.ciqfunctions.udf.CIQ(A1171, "IQ_SHORT_INTEREST_PERCENT", F1171)</f>
        <v>1.1031200000000001</v>
      </c>
      <c r="S1171">
        <f>_xll.ciqfunctions.udf.CIQ(A1171, "IQ_BETA_1YR_RSQ", F1171)</f>
        <v>2.5399999999999999E-2</v>
      </c>
      <c r="T1171">
        <f>_xll.ciqfunctions.udf.CIQ(A1171, "IQ_VALUE_TRADED", F1171)</f>
        <v>1205.87871</v>
      </c>
    </row>
    <row r="1172" spans="1:20" x14ac:dyDescent="0.3">
      <c r="A1172" t="s">
        <v>2536</v>
      </c>
      <c r="B1172" s="2">
        <v>3.81</v>
      </c>
      <c r="C1172" t="s">
        <v>3131</v>
      </c>
      <c r="D1172" t="s">
        <v>243</v>
      </c>
      <c r="E1172" t="s">
        <v>22</v>
      </c>
      <c r="F1172" s="1">
        <v>45435</v>
      </c>
      <c r="G1172" t="s">
        <v>3132</v>
      </c>
      <c r="H1172">
        <v>40</v>
      </c>
      <c r="I1172">
        <f>_xll.ciqfunctions.udf.CIQ(A1172, "IQ_MARKETCAP", F1172)</f>
        <v>112.32136</v>
      </c>
      <c r="J1172">
        <f>_xll.ciqfunctions.udf.CIQ(A1172, "IQ_PRICE_VOL_HIST_6MTH", F1172)</f>
        <v>51.888199999999998</v>
      </c>
      <c r="K1172">
        <f>_xll.ciqfunctions.udf.CIQ(A1172, "IQ_LASTSALEPRICE", WORKDAY(F1172,-1))</f>
        <v>3.3650000000000002</v>
      </c>
      <c r="L1172">
        <f>_xll.ciqfunctions.udf.CIQ(A1172, "IQ_LASTSALEPRICE", F1172)</f>
        <v>3.3849999999999998</v>
      </c>
      <c r="M1172">
        <f>_xll.ciqfunctions.udf.CIQ(A1172, "IQ_LASTSALEPRICE", WORKDAY(F1172,5))</f>
        <v>3.5</v>
      </c>
      <c r="N1172">
        <f t="shared" si="36"/>
        <v>5.9259432675471679E-3</v>
      </c>
      <c r="O1172">
        <f t="shared" si="37"/>
        <v>3.933500539867673E-2</v>
      </c>
      <c r="P1172">
        <f>LN(_xll.ciqfunctions.udf.CIQ("XBI", "IQ_LASTSALEPRICE", WORKDAY(F1172,-1))/_xll.ciqfunctions.udf.CIQ("XBI", "IQ_LASTSALEPRICE", WORKDAY(F1172,1)))</f>
        <v>3.6910267223963261E-2</v>
      </c>
      <c r="Q1172">
        <f>LN(_xll.ciqfunctions.udf.CIQ("XBI", "IQ_LASTSALEPRICE", WORKDAY(F1172,-1))/_xll.ciqfunctions.udf.CIQ("XBI", "IQ_LASTSALEPRICE", WORKDAY(F1172,5)))</f>
        <v>3.5447867503300687E-2</v>
      </c>
      <c r="R1172">
        <f>_xll.ciqfunctions.udf.CIQ(A1172, "IQ_SHORT_INTEREST_PERCENT", F1172)</f>
        <v>0</v>
      </c>
      <c r="S1172">
        <f>_xll.ciqfunctions.udf.CIQ(A1172, "IQ_BETA_1YR_RSQ", F1172)</f>
        <v>5.9740000000000001E-2</v>
      </c>
      <c r="T1172">
        <f>_xll.ciqfunctions.udf.CIQ(A1172, "IQ_VALUE_TRADED", F1172)</f>
        <v>5.8380000000000001E-2</v>
      </c>
    </row>
    <row r="1173" spans="1:20" x14ac:dyDescent="0.3">
      <c r="A1173" t="s">
        <v>1802</v>
      </c>
      <c r="B1173" s="2">
        <v>1.07</v>
      </c>
      <c r="C1173" t="s">
        <v>3133</v>
      </c>
      <c r="D1173" t="s">
        <v>243</v>
      </c>
      <c r="E1173" t="s">
        <v>17</v>
      </c>
      <c r="F1173" s="1">
        <v>45435</v>
      </c>
      <c r="G1173" t="s">
        <v>3134</v>
      </c>
      <c r="H1173">
        <v>51</v>
      </c>
      <c r="I1173">
        <f>_xll.ciqfunctions.udf.CIQ(A1173, "IQ_MARKETCAP", F1173)</f>
        <v>39.495339999999999</v>
      </c>
      <c r="J1173">
        <f>_xll.ciqfunctions.udf.CIQ(A1173, "IQ_PRICE_VOL_HIST_6MTH", F1173)</f>
        <v>142.32939999999999</v>
      </c>
      <c r="K1173">
        <f>_xll.ciqfunctions.udf.CIQ(A1173, "IQ_LASTSALEPRICE", WORKDAY(F1173,-1))</f>
        <v>1.1499999999999999</v>
      </c>
      <c r="L1173">
        <f>_xll.ciqfunctions.udf.CIQ(A1173, "IQ_LASTSALEPRICE", F1173)</f>
        <v>1.07</v>
      </c>
      <c r="M1173">
        <f>_xll.ciqfunctions.udf.CIQ(A1173, "IQ_LASTSALEPRICE", WORKDAY(F1173,5))</f>
        <v>0.93010000000000004</v>
      </c>
      <c r="N1173">
        <f t="shared" si="36"/>
        <v>-7.2103293901343693E-2</v>
      </c>
      <c r="O1173">
        <f t="shared" si="37"/>
        <v>-0.2122251141088744</v>
      </c>
      <c r="P1173">
        <f>LN(_xll.ciqfunctions.udf.CIQ("XBI", "IQ_LASTSALEPRICE", WORKDAY(F1173,-1))/_xll.ciqfunctions.udf.CIQ("XBI", "IQ_LASTSALEPRICE", WORKDAY(F1173,1)))</f>
        <v>3.6910267223963261E-2</v>
      </c>
      <c r="Q1173">
        <f>LN(_xll.ciqfunctions.udf.CIQ("XBI", "IQ_LASTSALEPRICE", WORKDAY(F1173,-1))/_xll.ciqfunctions.udf.CIQ("XBI", "IQ_LASTSALEPRICE", WORKDAY(F1173,5)))</f>
        <v>3.5447867503300687E-2</v>
      </c>
      <c r="R1173">
        <f>_xll.ciqfunctions.udf.CIQ(A1173, "IQ_SHORT_INTEREST_PERCENT", F1173)</f>
        <v>1.2367600000000001</v>
      </c>
      <c r="S1173">
        <f>_xll.ciqfunctions.udf.CIQ(A1173, "IQ_BETA_1YR_RSQ", F1173)</f>
        <v>8.9899999999999997E-3</v>
      </c>
      <c r="T1173">
        <f>_xll.ciqfunctions.udf.CIQ(A1173, "IQ_VALUE_TRADED", F1173)</f>
        <v>5.6649999999999999E-2</v>
      </c>
    </row>
    <row r="1174" spans="1:20" x14ac:dyDescent="0.3">
      <c r="A1174" t="s">
        <v>2205</v>
      </c>
      <c r="B1174" s="2">
        <v>4.12</v>
      </c>
      <c r="C1174" t="s">
        <v>3135</v>
      </c>
      <c r="D1174" t="s">
        <v>3136</v>
      </c>
      <c r="E1174" t="s">
        <v>154</v>
      </c>
      <c r="F1174" s="1">
        <v>45436</v>
      </c>
      <c r="G1174" t="s">
        <v>3137</v>
      </c>
      <c r="H1174">
        <v>61</v>
      </c>
      <c r="I1174">
        <f>_xll.ciqfunctions.udf.CIQ(A1174, "IQ_MARKETCAP", F1174)</f>
        <v>104.34126999999999</v>
      </c>
      <c r="J1174">
        <f>_xll.ciqfunctions.udf.CIQ(A1174, "IQ_PRICE_VOL_HIST_6MTH", F1174)</f>
        <v>166.79750000000001</v>
      </c>
      <c r="K1174">
        <f>_xll.ciqfunctions.udf.CIQ(A1174, "IQ_LASTSALEPRICE", WORKDAY(F1174,-1))</f>
        <v>12.18</v>
      </c>
      <c r="L1174">
        <f>_xll.ciqfunctions.udf.CIQ(A1174, "IQ_LASTSALEPRICE", F1174)</f>
        <v>4.12</v>
      </c>
      <c r="M1174">
        <f>_xll.ciqfunctions.udf.CIQ(A1174, "IQ_LASTSALEPRICE", WORKDAY(F1174,5))</f>
        <v>3.96</v>
      </c>
      <c r="N1174">
        <f t="shared" si="36"/>
        <v>-1.0839420989203159</v>
      </c>
      <c r="O1174">
        <f t="shared" si="37"/>
        <v>-1.1235512370153617</v>
      </c>
      <c r="P1174">
        <f>LN(_xll.ciqfunctions.udf.CIQ("XBI", "IQ_LASTSALEPRICE", WORKDAY(F1174,-1))/_xll.ciqfunctions.udf.CIQ("XBI", "IQ_LASTSALEPRICE", WORKDAY(F1174,1)))</f>
        <v>5.5009961903474264E-3</v>
      </c>
      <c r="Q1174">
        <f>LN(_xll.ciqfunctions.udf.CIQ("XBI", "IQ_LASTSALEPRICE", WORKDAY(F1174,-1))/_xll.ciqfunctions.udf.CIQ("XBI", "IQ_LASTSALEPRICE", WORKDAY(F1174,5)))</f>
        <v>2.129448829331079E-3</v>
      </c>
      <c r="R1174">
        <f>_xll.ciqfunctions.udf.CIQ(A1174, "IQ_SHORT_INTEREST_PERCENT", F1174)</f>
        <v>3.1970800000000001</v>
      </c>
      <c r="S1174">
        <f>_xll.ciqfunctions.udf.CIQ(A1174, "IQ_BETA_1YR_RSQ", F1174)</f>
        <v>7.2559999999999999E-2</v>
      </c>
      <c r="T1174">
        <f>_xll.ciqfunctions.udf.CIQ(A1174, "IQ_VALUE_TRADED", F1174)</f>
        <v>81.225369999999998</v>
      </c>
    </row>
    <row r="1175" spans="1:20" x14ac:dyDescent="0.3">
      <c r="A1175" t="s">
        <v>3138</v>
      </c>
      <c r="B1175" s="2">
        <v>37.71</v>
      </c>
      <c r="C1175" t="s">
        <v>3139</v>
      </c>
      <c r="D1175" t="s">
        <v>3140</v>
      </c>
      <c r="E1175" t="s">
        <v>76</v>
      </c>
      <c r="F1175" s="1">
        <v>45436</v>
      </c>
      <c r="G1175" t="s">
        <v>3141</v>
      </c>
      <c r="H1175">
        <v>87</v>
      </c>
      <c r="I1175">
        <f>_xll.ciqfunctions.udf.CIQ(A1175, "IQ_MARKETCAP", F1175)</f>
        <v>2854.1427399999998</v>
      </c>
      <c r="J1175">
        <f>_xll.ciqfunctions.udf.CIQ(A1175, "IQ_PRICE_VOL_HIST_6MTH", F1175)</f>
        <v>39.896900000000002</v>
      </c>
      <c r="K1175">
        <f>_xll.ciqfunctions.udf.CIQ(A1175, "IQ_LASTSALEPRICE", WORKDAY(F1175,-1))</f>
        <v>38.450000000000003</v>
      </c>
      <c r="L1175">
        <f>_xll.ciqfunctions.udf.CIQ(A1175, "IQ_LASTSALEPRICE", F1175)</f>
        <v>37.71</v>
      </c>
      <c r="M1175">
        <f>_xll.ciqfunctions.udf.CIQ(A1175, "IQ_LASTSALEPRICE", WORKDAY(F1175,5))</f>
        <v>36.549999999999997</v>
      </c>
      <c r="N1175">
        <f t="shared" si="36"/>
        <v>-1.9433384681387264E-2</v>
      </c>
      <c r="O1175">
        <f t="shared" si="37"/>
        <v>-5.0677509755865636E-2</v>
      </c>
      <c r="P1175">
        <f>LN(_xll.ciqfunctions.udf.CIQ("XBI", "IQ_LASTSALEPRICE", WORKDAY(F1175,-1))/_xll.ciqfunctions.udf.CIQ("XBI", "IQ_LASTSALEPRICE", WORKDAY(F1175,1)))</f>
        <v>5.5009961903474264E-3</v>
      </c>
      <c r="Q1175">
        <f>LN(_xll.ciqfunctions.udf.CIQ("XBI", "IQ_LASTSALEPRICE", WORKDAY(F1175,-1))/_xll.ciqfunctions.udf.CIQ("XBI", "IQ_LASTSALEPRICE", WORKDAY(F1175,5)))</f>
        <v>2.129448829331079E-3</v>
      </c>
      <c r="R1175">
        <f>_xll.ciqfunctions.udf.CIQ(A1175, "IQ_SHORT_INTEREST_PERCENT", F1175)</f>
        <v>14.64747</v>
      </c>
      <c r="S1175">
        <f>_xll.ciqfunctions.udf.CIQ(A1175, "IQ_BETA_1YR_RSQ", F1175)</f>
        <v>0.17227000000000001</v>
      </c>
      <c r="T1175">
        <f>_xll.ciqfunctions.udf.CIQ(A1175, "IQ_VALUE_TRADED", F1175)</f>
        <v>80.204340000000002</v>
      </c>
    </row>
    <row r="1176" spans="1:20" x14ac:dyDescent="0.3">
      <c r="A1176" t="s">
        <v>1129</v>
      </c>
      <c r="B1176" s="2">
        <v>0.69</v>
      </c>
      <c r="C1176" t="s">
        <v>1130</v>
      </c>
      <c r="D1176" t="s">
        <v>1131</v>
      </c>
      <c r="E1176" t="s">
        <v>76</v>
      </c>
      <c r="F1176" s="1">
        <v>45436</v>
      </c>
      <c r="G1176" t="s">
        <v>3142</v>
      </c>
      <c r="H1176">
        <v>3</v>
      </c>
      <c r="I1176">
        <f>_xll.ciqfunctions.udf.CIQ(A1176, "IQ_MARKETCAP", F1176)</f>
        <v>193.05336</v>
      </c>
      <c r="J1176">
        <f>_xll.ciqfunctions.udf.CIQ(A1176, "IQ_PRICE_VOL_HIST_6MTH", F1176)</f>
        <v>62.036000000000001</v>
      </c>
      <c r="K1176">
        <f>_xll.ciqfunctions.udf.CIQ(A1176, "IQ_LASTSALEPRICE", WORKDAY(F1176,-1))</f>
        <v>0.161</v>
      </c>
      <c r="L1176">
        <f>_xll.ciqfunctions.udf.CIQ(A1176, "IQ_LASTSALEPRICE", F1176)</f>
        <v>0.161</v>
      </c>
      <c r="M1176">
        <f>_xll.ciqfunctions.udf.CIQ(A1176, "IQ_LASTSALEPRICE", WORKDAY(F1176,5))</f>
        <v>0.18</v>
      </c>
      <c r="N1176">
        <f t="shared" si="36"/>
        <v>0</v>
      </c>
      <c r="O1176">
        <f t="shared" si="37"/>
        <v>0.11155248590574728</v>
      </c>
      <c r="P1176">
        <f>LN(_xll.ciqfunctions.udf.CIQ("XBI", "IQ_LASTSALEPRICE", WORKDAY(F1176,-1))/_xll.ciqfunctions.udf.CIQ("XBI", "IQ_LASTSALEPRICE", WORKDAY(F1176,1)))</f>
        <v>5.5009961903474264E-3</v>
      </c>
      <c r="Q1176">
        <f>LN(_xll.ciqfunctions.udf.CIQ("XBI", "IQ_LASTSALEPRICE", WORKDAY(F1176,-1))/_xll.ciqfunctions.udf.CIQ("XBI", "IQ_LASTSALEPRICE", WORKDAY(F1176,5)))</f>
        <v>2.129448829331079E-3</v>
      </c>
      <c r="R1176">
        <f>_xll.ciqfunctions.udf.CIQ(A1176, "IQ_SHORT_INTEREST_PERCENT", F1176)</f>
        <v>0</v>
      </c>
      <c r="S1176">
        <f>_xll.ciqfunctions.udf.CIQ(A1176, "IQ_BETA_1YR_RSQ", F1176)</f>
        <v>4.64E-3</v>
      </c>
      <c r="T1176">
        <f>_xll.ciqfunctions.udf.CIQ(A1176, "IQ_VALUE_TRADED", F1176)</f>
        <v>0</v>
      </c>
    </row>
    <row r="1177" spans="1:20" x14ac:dyDescent="0.3">
      <c r="A1177" t="s">
        <v>422</v>
      </c>
      <c r="B1177" s="2">
        <v>1.91</v>
      </c>
      <c r="C1177" t="s">
        <v>3143</v>
      </c>
      <c r="D1177" t="s">
        <v>104</v>
      </c>
      <c r="E1177" t="s">
        <v>22</v>
      </c>
      <c r="F1177" s="1">
        <v>45436</v>
      </c>
      <c r="G1177" t="s">
        <v>3144</v>
      </c>
      <c r="H1177">
        <v>116</v>
      </c>
      <c r="I1177">
        <f>_xll.ciqfunctions.udf.CIQ(A1177, "IQ_MARKETCAP", F1177)</f>
        <v>219.12616</v>
      </c>
      <c r="J1177">
        <f>_xll.ciqfunctions.udf.CIQ(A1177, "IQ_PRICE_VOL_HIST_6MTH", F1177)</f>
        <v>88.343000000000004</v>
      </c>
      <c r="K1177">
        <f>_xll.ciqfunctions.udf.CIQ(A1177, "IQ_LASTSALEPRICE", WORKDAY(F1177,-1))</f>
        <v>2.0099999999999998</v>
      </c>
      <c r="L1177">
        <f>_xll.ciqfunctions.udf.CIQ(A1177, "IQ_LASTSALEPRICE", F1177)</f>
        <v>1.91</v>
      </c>
      <c r="M1177">
        <f>_xll.ciqfunctions.udf.CIQ(A1177, "IQ_LASTSALEPRICE", WORKDAY(F1177,5))</f>
        <v>1.82</v>
      </c>
      <c r="N1177">
        <f t="shared" si="36"/>
        <v>-5.1031480012445757E-2</v>
      </c>
      <c r="O1177">
        <f t="shared" si="37"/>
        <v>-9.9298220982280291E-2</v>
      </c>
      <c r="P1177">
        <f>LN(_xll.ciqfunctions.udf.CIQ("XBI", "IQ_LASTSALEPRICE", WORKDAY(F1177,-1))/_xll.ciqfunctions.udf.CIQ("XBI", "IQ_LASTSALEPRICE", WORKDAY(F1177,1)))</f>
        <v>5.5009961903474264E-3</v>
      </c>
      <c r="Q1177">
        <f>LN(_xll.ciqfunctions.udf.CIQ("XBI", "IQ_LASTSALEPRICE", WORKDAY(F1177,-1))/_xll.ciqfunctions.udf.CIQ("XBI", "IQ_LASTSALEPRICE", WORKDAY(F1177,5)))</f>
        <v>2.129448829331079E-3</v>
      </c>
      <c r="R1177">
        <f>_xll.ciqfunctions.udf.CIQ(A1177, "IQ_SHORT_INTEREST_PERCENT", F1177)</f>
        <v>18.988620000000001</v>
      </c>
      <c r="S1177">
        <f>_xll.ciqfunctions.udf.CIQ(A1177, "IQ_BETA_1YR_RSQ", F1177)</f>
        <v>5.9220000000000002E-2</v>
      </c>
      <c r="T1177">
        <f>_xll.ciqfunctions.udf.CIQ(A1177, "IQ_VALUE_TRADED", F1177)</f>
        <v>2.7592599999999998</v>
      </c>
    </row>
    <row r="1178" spans="1:20" x14ac:dyDescent="0.3">
      <c r="A1178" t="s">
        <v>719</v>
      </c>
      <c r="B1178" s="2">
        <v>1.44</v>
      </c>
      <c r="C1178" t="s">
        <v>720</v>
      </c>
      <c r="D1178" t="s">
        <v>721</v>
      </c>
      <c r="E1178" t="s">
        <v>76</v>
      </c>
      <c r="F1178" s="1">
        <v>45436</v>
      </c>
      <c r="G1178" t="s">
        <v>3145</v>
      </c>
      <c r="H1178">
        <v>1</v>
      </c>
      <c r="I1178">
        <f>_xll.ciqfunctions.udf.CIQ(A1178, "IQ_MARKETCAP", F1178)</f>
        <v>36.02055</v>
      </c>
      <c r="J1178">
        <f>_xll.ciqfunctions.udf.CIQ(A1178, "IQ_PRICE_VOL_HIST_6MTH", F1178)</f>
        <v>89.977900000000005</v>
      </c>
      <c r="K1178">
        <f>_xll.ciqfunctions.udf.CIQ(A1178, "IQ_LASTSALEPRICE", WORKDAY(F1178,-1))</f>
        <v>214.49988999999999</v>
      </c>
      <c r="L1178">
        <f>_xll.ciqfunctions.udf.CIQ(A1178, "IQ_LASTSALEPRICE", F1178)</f>
        <v>215.99988999999999</v>
      </c>
      <c r="M1178">
        <f>_xll.ciqfunctions.udf.CIQ(A1178, "IQ_LASTSALEPRICE", WORKDAY(F1178,5))</f>
        <v>253.49986999999999</v>
      </c>
      <c r="N1178">
        <f t="shared" si="36"/>
        <v>6.9686728773486941E-3</v>
      </c>
      <c r="O1178">
        <f t="shared" si="37"/>
        <v>0.16705408466316624</v>
      </c>
      <c r="P1178">
        <f>LN(_xll.ciqfunctions.udf.CIQ("XBI", "IQ_LASTSALEPRICE", WORKDAY(F1178,-1))/_xll.ciqfunctions.udf.CIQ("XBI", "IQ_LASTSALEPRICE", WORKDAY(F1178,1)))</f>
        <v>5.5009961903474264E-3</v>
      </c>
      <c r="Q1178">
        <f>LN(_xll.ciqfunctions.udf.CIQ("XBI", "IQ_LASTSALEPRICE", WORKDAY(F1178,-1))/_xll.ciqfunctions.udf.CIQ("XBI", "IQ_LASTSALEPRICE", WORKDAY(F1178,5)))</f>
        <v>2.129448829331079E-3</v>
      </c>
      <c r="R1178">
        <f>_xll.ciqfunctions.udf.CIQ(A1178, "IQ_SHORT_INTEREST_PERCENT", F1178)</f>
        <v>0</v>
      </c>
      <c r="S1178">
        <f>_xll.ciqfunctions.udf.CIQ(A1178, "IQ_BETA_1YR_RSQ", F1178)</f>
        <v>0</v>
      </c>
      <c r="T1178">
        <f>_xll.ciqfunctions.udf.CIQ(A1178, "IQ_VALUE_TRADED", F1178)</f>
        <v>2.85012</v>
      </c>
    </row>
    <row r="1179" spans="1:20" x14ac:dyDescent="0.3">
      <c r="A1179" t="s">
        <v>1095</v>
      </c>
      <c r="B1179" s="2">
        <v>32.71</v>
      </c>
      <c r="C1179" t="s">
        <v>3146</v>
      </c>
      <c r="D1179" t="s">
        <v>3147</v>
      </c>
      <c r="E1179" t="s">
        <v>76</v>
      </c>
      <c r="F1179" s="1">
        <v>45436</v>
      </c>
      <c r="G1179" t="s">
        <v>3148</v>
      </c>
      <c r="H1179">
        <v>76</v>
      </c>
      <c r="I1179">
        <f>_xll.ciqfunctions.udf.CIQ(A1179, "IQ_MARKETCAP", F1179)</f>
        <v>2179.7993099999999</v>
      </c>
      <c r="J1179">
        <f>_xll.ciqfunctions.udf.CIQ(A1179, "IQ_PRICE_VOL_HIST_6MTH", F1179)</f>
        <v>0</v>
      </c>
      <c r="K1179">
        <f>_xll.ciqfunctions.udf.CIQ(A1179, "IQ_LASTSALEPRICE", WORKDAY(F1179,-1))</f>
        <v>29.99</v>
      </c>
      <c r="L1179">
        <f>_xll.ciqfunctions.udf.CIQ(A1179, "IQ_LASTSALEPRICE", F1179)</f>
        <v>32.71</v>
      </c>
      <c r="M1179">
        <f>_xll.ciqfunctions.udf.CIQ(A1179, "IQ_LASTSALEPRICE", WORKDAY(F1179,5))</f>
        <v>32.58</v>
      </c>
      <c r="N1179">
        <f t="shared" si="36"/>
        <v>8.6816848789374873E-2</v>
      </c>
      <c r="O1179">
        <f t="shared" si="37"/>
        <v>8.2834610412981347E-2</v>
      </c>
      <c r="P1179">
        <f>LN(_xll.ciqfunctions.udf.CIQ("XBI", "IQ_LASTSALEPRICE", WORKDAY(F1179,-1))/_xll.ciqfunctions.udf.CIQ("XBI", "IQ_LASTSALEPRICE", WORKDAY(F1179,1)))</f>
        <v>5.5009961903474264E-3</v>
      </c>
      <c r="Q1179">
        <f>LN(_xll.ciqfunctions.udf.CIQ("XBI", "IQ_LASTSALEPRICE", WORKDAY(F1179,-1))/_xll.ciqfunctions.udf.CIQ("XBI", "IQ_LASTSALEPRICE", WORKDAY(F1179,5)))</f>
        <v>2.129448829331079E-3</v>
      </c>
      <c r="R1179">
        <f>_xll.ciqfunctions.udf.CIQ(A1179, "IQ_SHORT_INTEREST_PERCENT", F1179)</f>
        <v>4.2294999999999998</v>
      </c>
      <c r="S1179">
        <f>_xll.ciqfunctions.udf.CIQ(A1179, "IQ_BETA_1YR_RSQ", F1179)</f>
        <v>5.3359999999999998E-2</v>
      </c>
      <c r="T1179">
        <f>_xll.ciqfunctions.udf.CIQ(A1179, "IQ_VALUE_TRADED", F1179)</f>
        <v>29.075099999999999</v>
      </c>
    </row>
    <row r="1180" spans="1:20" x14ac:dyDescent="0.3">
      <c r="A1180" t="s">
        <v>130</v>
      </c>
      <c r="B1180" s="2">
        <v>127.88</v>
      </c>
      <c r="C1180" t="s">
        <v>3146</v>
      </c>
      <c r="D1180" t="s">
        <v>3147</v>
      </c>
      <c r="E1180" t="s">
        <v>76</v>
      </c>
      <c r="F1180" s="1">
        <v>45436</v>
      </c>
      <c r="G1180" t="s">
        <v>3148</v>
      </c>
      <c r="I1180">
        <f>_xll.ciqfunctions.udf.CIQ(A1180, "IQ_MARKETCAP", F1180)</f>
        <v>327973.08869</v>
      </c>
      <c r="J1180">
        <f>_xll.ciqfunctions.udf.CIQ(A1180, "IQ_PRICE_VOL_HIST_6MTH", F1180)</f>
        <v>16.892900000000001</v>
      </c>
      <c r="K1180">
        <f>_xll.ciqfunctions.udf.CIQ(A1180, "IQ_LASTSALEPRICE", WORKDAY(F1180,-1))</f>
        <v>131.09</v>
      </c>
      <c r="L1180">
        <f>_xll.ciqfunctions.udf.CIQ(A1180, "IQ_LASTSALEPRICE", F1180)</f>
        <v>129.49</v>
      </c>
      <c r="M1180">
        <f>_xll.ciqfunctions.udf.CIQ(A1180, "IQ_LASTSALEPRICE", WORKDAY(F1180,5))</f>
        <v>125.54</v>
      </c>
      <c r="N1180">
        <f t="shared" si="36"/>
        <v>-1.2280452128969124E-2</v>
      </c>
      <c r="O1180">
        <f t="shared" si="37"/>
        <v>-4.3259677320332153E-2</v>
      </c>
      <c r="P1180">
        <f>LN(_xll.ciqfunctions.udf.CIQ("XBI", "IQ_LASTSALEPRICE", WORKDAY(F1180,-1))/_xll.ciqfunctions.udf.CIQ("XBI", "IQ_LASTSALEPRICE", WORKDAY(F1180,1)))</f>
        <v>5.5009961903474264E-3</v>
      </c>
      <c r="Q1180">
        <f>LN(_xll.ciqfunctions.udf.CIQ("XBI", "IQ_LASTSALEPRICE", WORKDAY(F1180,-1))/_xll.ciqfunctions.udf.CIQ("XBI", "IQ_LASTSALEPRICE", WORKDAY(F1180,5)))</f>
        <v>2.129448829331079E-3</v>
      </c>
      <c r="R1180">
        <f>_xll.ciqfunctions.udf.CIQ(A1180, "IQ_SHORT_INTEREST_PERCENT", F1180)</f>
        <v>0.80013000000000001</v>
      </c>
      <c r="S1180">
        <f>_xll.ciqfunctions.udf.CIQ(A1180, "IQ_BETA_1YR_RSQ", F1180)</f>
        <v>1.813E-2</v>
      </c>
      <c r="T1180">
        <f>_xll.ciqfunctions.udf.CIQ(A1180, "IQ_VALUE_TRADED", F1180)</f>
        <v>774.84821999999997</v>
      </c>
    </row>
    <row r="1181" spans="1:20" x14ac:dyDescent="0.3">
      <c r="A1181" t="s">
        <v>2162</v>
      </c>
      <c r="B1181" s="2">
        <v>2.9</v>
      </c>
      <c r="C1181" t="s">
        <v>3149</v>
      </c>
      <c r="D1181" t="s">
        <v>3150</v>
      </c>
      <c r="E1181" t="s">
        <v>76</v>
      </c>
      <c r="F1181" s="1">
        <v>45436</v>
      </c>
      <c r="G1181" t="s">
        <v>3151</v>
      </c>
      <c r="H1181">
        <v>92</v>
      </c>
      <c r="I1181">
        <f>_xll.ciqfunctions.udf.CIQ(A1181, "IQ_MARKETCAP", F1181)</f>
        <v>215.84810999999999</v>
      </c>
      <c r="J1181">
        <f>_xll.ciqfunctions.udf.CIQ(A1181, "IQ_PRICE_VOL_HIST_6MTH", F1181)</f>
        <v>71.666700000000006</v>
      </c>
      <c r="K1181">
        <f>_xll.ciqfunctions.udf.CIQ(A1181, "IQ_LASTSALEPRICE", WORKDAY(F1181,-1))</f>
        <v>2.96</v>
      </c>
      <c r="L1181">
        <f>_xll.ciqfunctions.udf.CIQ(A1181, "IQ_LASTSALEPRICE", F1181)</f>
        <v>2.9013</v>
      </c>
      <c r="M1181">
        <f>_xll.ciqfunctions.udf.CIQ(A1181, "IQ_LASTSALEPRICE", WORKDAY(F1181,5))</f>
        <v>2.74</v>
      </c>
      <c r="N1181">
        <f t="shared" si="36"/>
        <v>-2.0030355927078882E-2</v>
      </c>
      <c r="O1181">
        <f t="shared" si="37"/>
        <v>-7.7231347935990041E-2</v>
      </c>
      <c r="P1181">
        <f>LN(_xll.ciqfunctions.udf.CIQ("XBI", "IQ_LASTSALEPRICE", WORKDAY(F1181,-1))/_xll.ciqfunctions.udf.CIQ("XBI", "IQ_LASTSALEPRICE", WORKDAY(F1181,1)))</f>
        <v>5.5009961903474264E-3</v>
      </c>
      <c r="Q1181">
        <f>LN(_xll.ciqfunctions.udf.CIQ("XBI", "IQ_LASTSALEPRICE", WORKDAY(F1181,-1))/_xll.ciqfunctions.udf.CIQ("XBI", "IQ_LASTSALEPRICE", WORKDAY(F1181,5)))</f>
        <v>2.129448829331079E-3</v>
      </c>
      <c r="R1181">
        <f>_xll.ciqfunctions.udf.CIQ(A1181, "IQ_SHORT_INTEREST_PERCENT", F1181)</f>
        <v>0</v>
      </c>
      <c r="S1181">
        <f>_xll.ciqfunctions.udf.CIQ(A1181, "IQ_BETA_1YR_RSQ", F1181)</f>
        <v>0</v>
      </c>
      <c r="T1181">
        <f>_xll.ciqfunctions.udf.CIQ(A1181, "IQ_VALUE_TRADED", F1181)</f>
        <v>5.0259999999999999E-2</v>
      </c>
    </row>
    <row r="1182" spans="1:20" x14ac:dyDescent="0.3">
      <c r="A1182" t="s">
        <v>433</v>
      </c>
      <c r="B1182" s="2">
        <v>78.06</v>
      </c>
      <c r="C1182" t="s">
        <v>3152</v>
      </c>
      <c r="D1182" t="s">
        <v>253</v>
      </c>
      <c r="E1182" t="s">
        <v>76</v>
      </c>
      <c r="F1182" s="1">
        <v>45436</v>
      </c>
      <c r="G1182" t="s">
        <v>3153</v>
      </c>
      <c r="I1182">
        <f>_xll.ciqfunctions.udf.CIQ(A1182, "IQ_MARKETCAP", F1182)</f>
        <v>190616.89867</v>
      </c>
      <c r="J1182">
        <f>_xll.ciqfunctions.udf.CIQ(A1182, "IQ_PRICE_VOL_HIST_6MTH", F1182)</f>
        <v>21.557200000000002</v>
      </c>
      <c r="K1182">
        <f>_xll.ciqfunctions.udf.CIQ(A1182, "IQ_LASTSALEPRICE", WORKDAY(F1182,-1))</f>
        <v>124.04</v>
      </c>
      <c r="L1182">
        <f>_xll.ciqfunctions.udf.CIQ(A1182, "IQ_LASTSALEPRICE", F1182)</f>
        <v>122.96</v>
      </c>
      <c r="M1182">
        <f>_xll.ciqfunctions.udf.CIQ(A1182, "IQ_LASTSALEPRICE", WORKDAY(F1182,5))</f>
        <v>121.9</v>
      </c>
      <c r="N1182">
        <f t="shared" si="36"/>
        <v>-8.7449950019078335E-3</v>
      </c>
      <c r="O1182">
        <f t="shared" si="37"/>
        <v>-1.7403057745022349E-2</v>
      </c>
      <c r="P1182">
        <f>LN(_xll.ciqfunctions.udf.CIQ("XBI", "IQ_LASTSALEPRICE", WORKDAY(F1182,-1))/_xll.ciqfunctions.udf.CIQ("XBI", "IQ_LASTSALEPRICE", WORKDAY(F1182,1)))</f>
        <v>5.5009961903474264E-3</v>
      </c>
      <c r="Q1182">
        <f>LN(_xll.ciqfunctions.udf.CIQ("XBI", "IQ_LASTSALEPRICE", WORKDAY(F1182,-1))/_xll.ciqfunctions.udf.CIQ("XBI", "IQ_LASTSALEPRICE", WORKDAY(F1182,5)))</f>
        <v>2.129448829331079E-3</v>
      </c>
      <c r="R1182">
        <f>_xll.ciqfunctions.udf.CIQ(A1182, "IQ_SHORT_INTEREST_PERCENT", F1182)</f>
        <v>0</v>
      </c>
      <c r="S1182">
        <f>_xll.ciqfunctions.udf.CIQ(A1182, "IQ_BETA_1YR_RSQ", F1182)</f>
        <v>0.18043999999999999</v>
      </c>
      <c r="T1182">
        <f>_xll.ciqfunctions.udf.CIQ(A1182, "IQ_VALUE_TRADED", F1182)</f>
        <v>113.05779</v>
      </c>
    </row>
    <row r="1183" spans="1:20" x14ac:dyDescent="0.3">
      <c r="A1183" t="s">
        <v>2162</v>
      </c>
      <c r="B1183" s="2">
        <v>2.9</v>
      </c>
      <c r="C1183" t="s">
        <v>3152</v>
      </c>
      <c r="D1183" t="s">
        <v>253</v>
      </c>
      <c r="E1183" t="s">
        <v>76</v>
      </c>
      <c r="F1183" s="1">
        <v>45436</v>
      </c>
      <c r="G1183" t="s">
        <v>3153</v>
      </c>
      <c r="H1183">
        <v>92</v>
      </c>
      <c r="I1183">
        <f>_xll.ciqfunctions.udf.CIQ(A1183, "IQ_MARKETCAP", F1183)</f>
        <v>215.84810999999999</v>
      </c>
      <c r="J1183">
        <f>_xll.ciqfunctions.udf.CIQ(A1183, "IQ_PRICE_VOL_HIST_6MTH", F1183)</f>
        <v>71.666700000000006</v>
      </c>
      <c r="K1183">
        <f>_xll.ciqfunctions.udf.CIQ(A1183, "IQ_LASTSALEPRICE", WORKDAY(F1183,-1))</f>
        <v>2.96</v>
      </c>
      <c r="L1183">
        <f>_xll.ciqfunctions.udf.CIQ(A1183, "IQ_LASTSALEPRICE", F1183)</f>
        <v>2.9013</v>
      </c>
      <c r="M1183">
        <f>_xll.ciqfunctions.udf.CIQ(A1183, "IQ_LASTSALEPRICE", WORKDAY(F1183,5))</f>
        <v>2.74</v>
      </c>
      <c r="N1183">
        <f t="shared" si="36"/>
        <v>-2.0030355927078882E-2</v>
      </c>
      <c r="O1183">
        <f t="shared" si="37"/>
        <v>-7.7231347935990041E-2</v>
      </c>
      <c r="P1183">
        <f>LN(_xll.ciqfunctions.udf.CIQ("XBI", "IQ_LASTSALEPRICE", WORKDAY(F1183,-1))/_xll.ciqfunctions.udf.CIQ("XBI", "IQ_LASTSALEPRICE", WORKDAY(F1183,1)))</f>
        <v>5.5009961903474264E-3</v>
      </c>
      <c r="Q1183">
        <f>LN(_xll.ciqfunctions.udf.CIQ("XBI", "IQ_LASTSALEPRICE", WORKDAY(F1183,-1))/_xll.ciqfunctions.udf.CIQ("XBI", "IQ_LASTSALEPRICE", WORKDAY(F1183,5)))</f>
        <v>2.129448829331079E-3</v>
      </c>
      <c r="R1183">
        <f>_xll.ciqfunctions.udf.CIQ(A1183, "IQ_SHORT_INTEREST_PERCENT", F1183)</f>
        <v>0</v>
      </c>
      <c r="S1183">
        <f>_xll.ciqfunctions.udf.CIQ(A1183, "IQ_BETA_1YR_RSQ", F1183)</f>
        <v>0</v>
      </c>
      <c r="T1183">
        <f>_xll.ciqfunctions.udf.CIQ(A1183, "IQ_VALUE_TRADED", F1183)</f>
        <v>5.0259999999999999E-2</v>
      </c>
    </row>
    <row r="1184" spans="1:20" x14ac:dyDescent="0.3">
      <c r="A1184" t="s">
        <v>3026</v>
      </c>
      <c r="B1184" s="2">
        <v>10.5</v>
      </c>
      <c r="C1184" t="s">
        <v>3154</v>
      </c>
      <c r="D1184" t="s">
        <v>104</v>
      </c>
      <c r="E1184" t="s">
        <v>46</v>
      </c>
      <c r="F1184" s="1">
        <v>45436</v>
      </c>
      <c r="G1184" t="s">
        <v>3155</v>
      </c>
      <c r="H1184">
        <v>36</v>
      </c>
      <c r="I1184">
        <f>_xll.ciqfunctions.udf.CIQ(A1184, "IQ_MARKETCAP", F1184)</f>
        <v>387.45281</v>
      </c>
      <c r="J1184">
        <f>_xll.ciqfunctions.udf.CIQ(A1184, "IQ_PRICE_VOL_HIST_6MTH", F1184)</f>
        <v>106.3347</v>
      </c>
      <c r="K1184">
        <f>_xll.ciqfunctions.udf.CIQ(A1184, "IQ_LASTSALEPRICE", WORKDAY(F1184,-1))</f>
        <v>12.03</v>
      </c>
      <c r="L1184">
        <f>_xll.ciqfunctions.udf.CIQ(A1184, "IQ_LASTSALEPRICE", F1184)</f>
        <v>10.5</v>
      </c>
      <c r="M1184">
        <f>_xll.ciqfunctions.udf.CIQ(A1184, "IQ_LASTSALEPRICE", WORKDAY(F1184,5))</f>
        <v>7.26</v>
      </c>
      <c r="N1184">
        <f t="shared" si="36"/>
        <v>-0.13602827282310978</v>
      </c>
      <c r="O1184">
        <f t="shared" si="37"/>
        <v>-0.50502370114988271</v>
      </c>
      <c r="P1184">
        <f>LN(_xll.ciqfunctions.udf.CIQ("XBI", "IQ_LASTSALEPRICE", WORKDAY(F1184,-1))/_xll.ciqfunctions.udf.CIQ("XBI", "IQ_LASTSALEPRICE", WORKDAY(F1184,1)))</f>
        <v>5.5009961903474264E-3</v>
      </c>
      <c r="Q1184">
        <f>LN(_xll.ciqfunctions.udf.CIQ("XBI", "IQ_LASTSALEPRICE", WORKDAY(F1184,-1))/_xll.ciqfunctions.udf.CIQ("XBI", "IQ_LASTSALEPRICE", WORKDAY(F1184,5)))</f>
        <v>2.129448829331079E-3</v>
      </c>
      <c r="R1184">
        <f>_xll.ciqfunctions.udf.CIQ(A1184, "IQ_SHORT_INTEREST_PERCENT", F1184)</f>
        <v>3.261E-2</v>
      </c>
      <c r="S1184">
        <f>_xll.ciqfunctions.udf.CIQ(A1184, "IQ_BETA_1YR_RSQ", F1184)</f>
        <v>0</v>
      </c>
      <c r="T1184">
        <f>_xll.ciqfunctions.udf.CIQ(A1184, "IQ_VALUE_TRADED", F1184)</f>
        <v>0.18587999999999999</v>
      </c>
    </row>
    <row r="1185" spans="1:20" x14ac:dyDescent="0.3">
      <c r="A1185" t="s">
        <v>707</v>
      </c>
      <c r="B1185" s="2">
        <v>18.73</v>
      </c>
      <c r="C1185" t="s">
        <v>3156</v>
      </c>
      <c r="D1185" t="s">
        <v>3157</v>
      </c>
      <c r="E1185" t="s">
        <v>36</v>
      </c>
      <c r="F1185" s="1">
        <v>45436</v>
      </c>
      <c r="G1185" t="s">
        <v>3158</v>
      </c>
      <c r="H1185">
        <v>174</v>
      </c>
      <c r="I1185">
        <f>_xll.ciqfunctions.udf.CIQ(A1185, "IQ_MARKETCAP", F1185)</f>
        <v>2526.81032</v>
      </c>
      <c r="J1185">
        <f>_xll.ciqfunctions.udf.CIQ(A1185, "IQ_PRICE_VOL_HIST_6MTH", F1185)</f>
        <v>57.711599999999997</v>
      </c>
      <c r="K1185">
        <f>_xll.ciqfunctions.udf.CIQ(A1185, "IQ_LASTSALEPRICE", WORKDAY(F1185,-1))</f>
        <v>3.04</v>
      </c>
      <c r="L1185">
        <f>_xll.ciqfunctions.udf.CIQ(A1185, "IQ_LASTSALEPRICE", F1185)</f>
        <v>2.96</v>
      </c>
      <c r="M1185">
        <f>_xll.ciqfunctions.udf.CIQ(A1185, "IQ_LASTSALEPRICE", WORKDAY(F1185,5))</f>
        <v>2.95</v>
      </c>
      <c r="N1185">
        <f t="shared" si="36"/>
        <v>-2.6668247082161294E-2</v>
      </c>
      <c r="O1185">
        <f t="shared" si="37"/>
        <v>-3.0052345066401823E-2</v>
      </c>
      <c r="P1185">
        <f>LN(_xll.ciqfunctions.udf.CIQ("XBI", "IQ_LASTSALEPRICE", WORKDAY(F1185,-1))/_xll.ciqfunctions.udf.CIQ("XBI", "IQ_LASTSALEPRICE", WORKDAY(F1185,1)))</f>
        <v>5.5009961903474264E-3</v>
      </c>
      <c r="Q1185">
        <f>LN(_xll.ciqfunctions.udf.CIQ("XBI", "IQ_LASTSALEPRICE", WORKDAY(F1185,-1))/_xll.ciqfunctions.udf.CIQ("XBI", "IQ_LASTSALEPRICE", WORKDAY(F1185,5)))</f>
        <v>2.129448829331079E-3</v>
      </c>
      <c r="R1185">
        <f>_xll.ciqfunctions.udf.CIQ(A1185, "IQ_SHORT_INTEREST_PERCENT", F1185)</f>
        <v>0</v>
      </c>
      <c r="S1185">
        <f>_xll.ciqfunctions.udf.CIQ(A1185, "IQ_BETA_1YR_RSQ", F1185)</f>
        <v>7.9890000000000003E-2</v>
      </c>
      <c r="T1185">
        <f>_xll.ciqfunctions.udf.CIQ(A1185, "IQ_VALUE_TRADED", F1185)</f>
        <v>4.0930000000000001E-2</v>
      </c>
    </row>
    <row r="1186" spans="1:20" x14ac:dyDescent="0.3">
      <c r="A1186" t="s">
        <v>707</v>
      </c>
      <c r="B1186" s="2">
        <v>18.73</v>
      </c>
      <c r="C1186" t="s">
        <v>3159</v>
      </c>
      <c r="D1186" t="s">
        <v>3160</v>
      </c>
      <c r="E1186" t="s">
        <v>36</v>
      </c>
      <c r="F1186" s="1">
        <v>45436</v>
      </c>
      <c r="G1186" t="s">
        <v>3161</v>
      </c>
      <c r="H1186">
        <v>174</v>
      </c>
      <c r="I1186">
        <f>_xll.ciqfunctions.udf.CIQ(A1186, "IQ_MARKETCAP", F1186)</f>
        <v>2526.81032</v>
      </c>
      <c r="J1186">
        <f>_xll.ciqfunctions.udf.CIQ(A1186, "IQ_PRICE_VOL_HIST_6MTH", F1186)</f>
        <v>57.711599999999997</v>
      </c>
      <c r="K1186">
        <f>_xll.ciqfunctions.udf.CIQ(A1186, "IQ_LASTSALEPRICE", WORKDAY(F1186,-1))</f>
        <v>3.04</v>
      </c>
      <c r="L1186">
        <f>_xll.ciqfunctions.udf.CIQ(A1186, "IQ_LASTSALEPRICE", F1186)</f>
        <v>2.96</v>
      </c>
      <c r="M1186">
        <f>_xll.ciqfunctions.udf.CIQ(A1186, "IQ_LASTSALEPRICE", WORKDAY(F1186,5))</f>
        <v>2.95</v>
      </c>
      <c r="N1186">
        <f t="shared" si="36"/>
        <v>-2.6668247082161294E-2</v>
      </c>
      <c r="O1186">
        <f t="shared" si="37"/>
        <v>-3.0052345066401823E-2</v>
      </c>
      <c r="P1186">
        <f>LN(_xll.ciqfunctions.udf.CIQ("XBI", "IQ_LASTSALEPRICE", WORKDAY(F1186,-1))/_xll.ciqfunctions.udf.CIQ("XBI", "IQ_LASTSALEPRICE", WORKDAY(F1186,1)))</f>
        <v>5.5009961903474264E-3</v>
      </c>
      <c r="Q1186">
        <f>LN(_xll.ciqfunctions.udf.CIQ("XBI", "IQ_LASTSALEPRICE", WORKDAY(F1186,-1))/_xll.ciqfunctions.udf.CIQ("XBI", "IQ_LASTSALEPRICE", WORKDAY(F1186,5)))</f>
        <v>2.129448829331079E-3</v>
      </c>
      <c r="R1186">
        <f>_xll.ciqfunctions.udf.CIQ(A1186, "IQ_SHORT_INTEREST_PERCENT", F1186)</f>
        <v>0</v>
      </c>
      <c r="S1186">
        <f>_xll.ciqfunctions.udf.CIQ(A1186, "IQ_BETA_1YR_RSQ", F1186)</f>
        <v>7.9890000000000003E-2</v>
      </c>
      <c r="T1186">
        <f>_xll.ciqfunctions.udf.CIQ(A1186, "IQ_VALUE_TRADED", F1186)</f>
        <v>4.0930000000000001E-2</v>
      </c>
    </row>
    <row r="1187" spans="1:20" x14ac:dyDescent="0.3">
      <c r="A1187" t="s">
        <v>707</v>
      </c>
      <c r="B1187" s="2">
        <v>18.73</v>
      </c>
      <c r="C1187" t="s">
        <v>1948</v>
      </c>
      <c r="D1187" t="s">
        <v>104</v>
      </c>
      <c r="E1187" t="s">
        <v>89</v>
      </c>
      <c r="F1187" s="1">
        <v>45436</v>
      </c>
      <c r="G1187" t="s">
        <v>3162</v>
      </c>
      <c r="H1187">
        <v>174</v>
      </c>
      <c r="I1187">
        <f>_xll.ciqfunctions.udf.CIQ(A1187, "IQ_MARKETCAP", F1187)</f>
        <v>2526.81032</v>
      </c>
      <c r="J1187">
        <f>_xll.ciqfunctions.udf.CIQ(A1187, "IQ_PRICE_VOL_HIST_6MTH", F1187)</f>
        <v>57.711599999999997</v>
      </c>
      <c r="K1187">
        <f>_xll.ciqfunctions.udf.CIQ(A1187, "IQ_LASTSALEPRICE", WORKDAY(F1187,-1))</f>
        <v>3.04</v>
      </c>
      <c r="L1187">
        <f>_xll.ciqfunctions.udf.CIQ(A1187, "IQ_LASTSALEPRICE", F1187)</f>
        <v>2.96</v>
      </c>
      <c r="M1187">
        <f>_xll.ciqfunctions.udf.CIQ(A1187, "IQ_LASTSALEPRICE", WORKDAY(F1187,5))</f>
        <v>2.95</v>
      </c>
      <c r="N1187">
        <f t="shared" si="36"/>
        <v>-2.6668247082161294E-2</v>
      </c>
      <c r="O1187">
        <f t="shared" si="37"/>
        <v>-3.0052345066401823E-2</v>
      </c>
      <c r="P1187">
        <f>LN(_xll.ciqfunctions.udf.CIQ("XBI", "IQ_LASTSALEPRICE", WORKDAY(F1187,-1))/_xll.ciqfunctions.udf.CIQ("XBI", "IQ_LASTSALEPRICE", WORKDAY(F1187,1)))</f>
        <v>5.5009961903474264E-3</v>
      </c>
      <c r="Q1187">
        <f>LN(_xll.ciqfunctions.udf.CIQ("XBI", "IQ_LASTSALEPRICE", WORKDAY(F1187,-1))/_xll.ciqfunctions.udf.CIQ("XBI", "IQ_LASTSALEPRICE", WORKDAY(F1187,5)))</f>
        <v>2.129448829331079E-3</v>
      </c>
      <c r="R1187">
        <f>_xll.ciqfunctions.udf.CIQ(A1187, "IQ_SHORT_INTEREST_PERCENT", F1187)</f>
        <v>0</v>
      </c>
      <c r="S1187">
        <f>_xll.ciqfunctions.udf.CIQ(A1187, "IQ_BETA_1YR_RSQ", F1187)</f>
        <v>7.9890000000000003E-2</v>
      </c>
      <c r="T1187">
        <f>_xll.ciqfunctions.udf.CIQ(A1187, "IQ_VALUE_TRADED", F1187)</f>
        <v>4.0930000000000001E-2</v>
      </c>
    </row>
    <row r="1188" spans="1:20" x14ac:dyDescent="0.3">
      <c r="A1188" t="s">
        <v>707</v>
      </c>
      <c r="B1188" s="2">
        <v>18.73</v>
      </c>
      <c r="C1188" t="s">
        <v>3163</v>
      </c>
      <c r="D1188" t="s">
        <v>3164</v>
      </c>
      <c r="E1188" t="s">
        <v>76</v>
      </c>
      <c r="F1188" s="1">
        <v>45436</v>
      </c>
      <c r="G1188" t="s">
        <v>3165</v>
      </c>
      <c r="H1188">
        <v>174</v>
      </c>
      <c r="I1188">
        <f>_xll.ciqfunctions.udf.CIQ(A1188, "IQ_MARKETCAP", F1188)</f>
        <v>2526.81032</v>
      </c>
      <c r="J1188">
        <f>_xll.ciqfunctions.udf.CIQ(A1188, "IQ_PRICE_VOL_HIST_6MTH", F1188)</f>
        <v>57.711599999999997</v>
      </c>
      <c r="K1188">
        <f>_xll.ciqfunctions.udf.CIQ(A1188, "IQ_LASTSALEPRICE", WORKDAY(F1188,-1))</f>
        <v>3.04</v>
      </c>
      <c r="L1188">
        <f>_xll.ciqfunctions.udf.CIQ(A1188, "IQ_LASTSALEPRICE", F1188)</f>
        <v>2.96</v>
      </c>
      <c r="M1188">
        <f>_xll.ciqfunctions.udf.CIQ(A1188, "IQ_LASTSALEPRICE", WORKDAY(F1188,5))</f>
        <v>2.95</v>
      </c>
      <c r="N1188">
        <f t="shared" si="36"/>
        <v>-2.6668247082161294E-2</v>
      </c>
      <c r="O1188">
        <f t="shared" si="37"/>
        <v>-3.0052345066401823E-2</v>
      </c>
      <c r="P1188">
        <f>LN(_xll.ciqfunctions.udf.CIQ("XBI", "IQ_LASTSALEPRICE", WORKDAY(F1188,-1))/_xll.ciqfunctions.udf.CIQ("XBI", "IQ_LASTSALEPRICE", WORKDAY(F1188,1)))</f>
        <v>5.5009961903474264E-3</v>
      </c>
      <c r="Q1188">
        <f>LN(_xll.ciqfunctions.udf.CIQ("XBI", "IQ_LASTSALEPRICE", WORKDAY(F1188,-1))/_xll.ciqfunctions.udf.CIQ("XBI", "IQ_LASTSALEPRICE", WORKDAY(F1188,5)))</f>
        <v>2.129448829331079E-3</v>
      </c>
      <c r="R1188">
        <f>_xll.ciqfunctions.udf.CIQ(A1188, "IQ_SHORT_INTEREST_PERCENT", F1188)</f>
        <v>0</v>
      </c>
      <c r="S1188">
        <f>_xll.ciqfunctions.udf.CIQ(A1188, "IQ_BETA_1YR_RSQ", F1188)</f>
        <v>7.9890000000000003E-2</v>
      </c>
      <c r="T1188">
        <f>_xll.ciqfunctions.udf.CIQ(A1188, "IQ_VALUE_TRADED", F1188)</f>
        <v>4.0930000000000001E-2</v>
      </c>
    </row>
    <row r="1189" spans="1:20" x14ac:dyDescent="0.3">
      <c r="A1189" t="s">
        <v>13</v>
      </c>
      <c r="B1189" s="2">
        <v>57.31</v>
      </c>
      <c r="C1189" t="s">
        <v>3166</v>
      </c>
      <c r="D1189" t="s">
        <v>243</v>
      </c>
      <c r="E1189" t="s">
        <v>22</v>
      </c>
      <c r="F1189" s="1">
        <v>45436</v>
      </c>
      <c r="G1189" t="s">
        <v>3167</v>
      </c>
      <c r="H1189">
        <v>195</v>
      </c>
      <c r="I1189">
        <f>_xll.ciqfunctions.udf.CIQ(A1189, "IQ_MARKETCAP", F1189)</f>
        <v>12886.414430000001</v>
      </c>
      <c r="J1189">
        <f>_xll.ciqfunctions.udf.CIQ(A1189, "IQ_PRICE_VOL_HIST_6MTH", F1189)</f>
        <v>27.576599999999999</v>
      </c>
      <c r="K1189">
        <f>_xll.ciqfunctions.udf.CIQ(A1189, "IQ_LASTSALEPRICE", WORKDAY(F1189,-1))</f>
        <v>57.45</v>
      </c>
      <c r="L1189">
        <f>_xll.ciqfunctions.udf.CIQ(A1189, "IQ_LASTSALEPRICE", F1189)</f>
        <v>57.31</v>
      </c>
      <c r="M1189">
        <f>_xll.ciqfunctions.udf.CIQ(A1189, "IQ_LASTSALEPRICE", WORKDAY(F1189,5))</f>
        <v>57.79</v>
      </c>
      <c r="N1189">
        <f t="shared" si="36"/>
        <v>-2.4398757311186359E-3</v>
      </c>
      <c r="O1189">
        <f t="shared" si="37"/>
        <v>5.9007460349218303E-3</v>
      </c>
      <c r="P1189">
        <f>LN(_xll.ciqfunctions.udf.CIQ("XBI", "IQ_LASTSALEPRICE", WORKDAY(F1189,-1))/_xll.ciqfunctions.udf.CIQ("XBI", "IQ_LASTSALEPRICE", WORKDAY(F1189,1)))</f>
        <v>5.5009961903474264E-3</v>
      </c>
      <c r="Q1189">
        <f>LN(_xll.ciqfunctions.udf.CIQ("XBI", "IQ_LASTSALEPRICE", WORKDAY(F1189,-1))/_xll.ciqfunctions.udf.CIQ("XBI", "IQ_LASTSALEPRICE", WORKDAY(F1189,5)))</f>
        <v>2.129448829331079E-3</v>
      </c>
      <c r="R1189">
        <f>_xll.ciqfunctions.udf.CIQ(A1189, "IQ_SHORT_INTEREST_PERCENT", F1189)</f>
        <v>3.35364</v>
      </c>
      <c r="S1189">
        <f>_xll.ciqfunctions.udf.CIQ(A1189, "IQ_BETA_1YR_RSQ", F1189)</f>
        <v>0.17016999999999999</v>
      </c>
      <c r="T1189">
        <f>_xll.ciqfunctions.udf.CIQ(A1189, "IQ_VALUE_TRADED", F1189)</f>
        <v>112.72051999999999</v>
      </c>
    </row>
    <row r="1190" spans="1:20" x14ac:dyDescent="0.3">
      <c r="A1190" t="s">
        <v>13</v>
      </c>
      <c r="B1190" s="2">
        <v>57.31</v>
      </c>
      <c r="C1190" t="s">
        <v>3168</v>
      </c>
      <c r="D1190" t="s">
        <v>3169</v>
      </c>
      <c r="E1190" t="s">
        <v>22</v>
      </c>
      <c r="F1190" s="1">
        <v>45436</v>
      </c>
      <c r="G1190" t="s">
        <v>3170</v>
      </c>
      <c r="H1190">
        <v>195</v>
      </c>
      <c r="I1190">
        <f>_xll.ciqfunctions.udf.CIQ(A1190, "IQ_MARKETCAP", F1190)</f>
        <v>12886.414430000001</v>
      </c>
      <c r="J1190">
        <f>_xll.ciqfunctions.udf.CIQ(A1190, "IQ_PRICE_VOL_HIST_6MTH", F1190)</f>
        <v>27.576599999999999</v>
      </c>
      <c r="K1190">
        <f>_xll.ciqfunctions.udf.CIQ(A1190, "IQ_LASTSALEPRICE", WORKDAY(F1190,-1))</f>
        <v>57.45</v>
      </c>
      <c r="L1190">
        <f>_xll.ciqfunctions.udf.CIQ(A1190, "IQ_LASTSALEPRICE", F1190)</f>
        <v>57.31</v>
      </c>
      <c r="M1190">
        <f>_xll.ciqfunctions.udf.CIQ(A1190, "IQ_LASTSALEPRICE", WORKDAY(F1190,5))</f>
        <v>57.79</v>
      </c>
      <c r="N1190">
        <f t="shared" si="36"/>
        <v>-2.4398757311186359E-3</v>
      </c>
      <c r="O1190">
        <f t="shared" si="37"/>
        <v>5.9007460349218303E-3</v>
      </c>
      <c r="P1190">
        <f>LN(_xll.ciqfunctions.udf.CIQ("XBI", "IQ_LASTSALEPRICE", WORKDAY(F1190,-1))/_xll.ciqfunctions.udf.CIQ("XBI", "IQ_LASTSALEPRICE", WORKDAY(F1190,1)))</f>
        <v>5.5009961903474264E-3</v>
      </c>
      <c r="Q1190">
        <f>LN(_xll.ciqfunctions.udf.CIQ("XBI", "IQ_LASTSALEPRICE", WORKDAY(F1190,-1))/_xll.ciqfunctions.udf.CIQ("XBI", "IQ_LASTSALEPRICE", WORKDAY(F1190,5)))</f>
        <v>2.129448829331079E-3</v>
      </c>
      <c r="R1190">
        <f>_xll.ciqfunctions.udf.CIQ(A1190, "IQ_SHORT_INTEREST_PERCENT", F1190)</f>
        <v>3.35364</v>
      </c>
      <c r="S1190">
        <f>_xll.ciqfunctions.udf.CIQ(A1190, "IQ_BETA_1YR_RSQ", F1190)</f>
        <v>0.17016999999999999</v>
      </c>
      <c r="T1190">
        <f>_xll.ciqfunctions.udf.CIQ(A1190, "IQ_VALUE_TRADED", F1190)</f>
        <v>112.72051999999999</v>
      </c>
    </row>
    <row r="1191" spans="1:20" x14ac:dyDescent="0.3">
      <c r="A1191" t="s">
        <v>2047</v>
      </c>
      <c r="B1191" s="2">
        <v>13.17</v>
      </c>
      <c r="C1191" t="s">
        <v>3171</v>
      </c>
      <c r="D1191" t="s">
        <v>3172</v>
      </c>
      <c r="E1191" t="s">
        <v>97</v>
      </c>
      <c r="F1191" s="1">
        <v>45436</v>
      </c>
      <c r="G1191" t="s">
        <v>3173</v>
      </c>
      <c r="H1191">
        <v>53</v>
      </c>
      <c r="I1191">
        <f>_xll.ciqfunctions.udf.CIQ(A1191, "IQ_MARKETCAP", F1191)</f>
        <v>686.15841</v>
      </c>
      <c r="J1191">
        <f>_xll.ciqfunctions.udf.CIQ(A1191, "IQ_PRICE_VOL_HIST_6MTH", F1191)</f>
        <v>91.464100000000002</v>
      </c>
      <c r="K1191">
        <f>_xll.ciqfunctions.udf.CIQ(A1191, "IQ_LASTSALEPRICE", WORKDAY(F1191,-1))</f>
        <v>14.69</v>
      </c>
      <c r="L1191">
        <f>_xll.ciqfunctions.udf.CIQ(A1191, "IQ_LASTSALEPRICE", F1191)</f>
        <v>13.17</v>
      </c>
      <c r="M1191">
        <f>_xll.ciqfunctions.udf.CIQ(A1191, "IQ_LASTSALEPRICE", WORKDAY(F1191,5))</f>
        <v>10.63</v>
      </c>
      <c r="N1191">
        <f t="shared" si="36"/>
        <v>-0.10922547443059626</v>
      </c>
      <c r="O1191">
        <f t="shared" si="37"/>
        <v>-0.32348679783192924</v>
      </c>
      <c r="P1191">
        <f>LN(_xll.ciqfunctions.udf.CIQ("XBI", "IQ_LASTSALEPRICE", WORKDAY(F1191,-1))/_xll.ciqfunctions.udf.CIQ("XBI", "IQ_LASTSALEPRICE", WORKDAY(F1191,1)))</f>
        <v>5.5009961903474264E-3</v>
      </c>
      <c r="Q1191">
        <f>LN(_xll.ciqfunctions.udf.CIQ("XBI", "IQ_LASTSALEPRICE", WORKDAY(F1191,-1))/_xll.ciqfunctions.udf.CIQ("XBI", "IQ_LASTSALEPRICE", WORKDAY(F1191,5)))</f>
        <v>2.129448829331079E-3</v>
      </c>
      <c r="R1191">
        <f>_xll.ciqfunctions.udf.CIQ(A1191, "IQ_SHORT_INTEREST_PERCENT", F1191)</f>
        <v>6.44991</v>
      </c>
      <c r="S1191">
        <f>_xll.ciqfunctions.udf.CIQ(A1191, "IQ_BETA_1YR_RSQ", F1191)</f>
        <v>7.6399999999999996E-2</v>
      </c>
      <c r="T1191">
        <f>_xll.ciqfunctions.udf.CIQ(A1191, "IQ_VALUE_TRADED", F1191)</f>
        <v>6.93825</v>
      </c>
    </row>
    <row r="1192" spans="1:20" x14ac:dyDescent="0.3">
      <c r="A1192" t="s">
        <v>1997</v>
      </c>
      <c r="B1192" s="2">
        <v>96.95</v>
      </c>
      <c r="C1192" t="s">
        <v>3174</v>
      </c>
      <c r="D1192" t="s">
        <v>3175</v>
      </c>
      <c r="E1192" t="s">
        <v>22</v>
      </c>
      <c r="F1192" s="1">
        <v>45436</v>
      </c>
      <c r="G1192" t="s">
        <v>3176</v>
      </c>
      <c r="H1192">
        <v>239</v>
      </c>
      <c r="I1192">
        <f>_xll.ciqfunctions.udf.CIQ(A1192, "IQ_MARKETCAP", F1192)</f>
        <v>23395.841369999998</v>
      </c>
      <c r="J1192">
        <f>_xll.ciqfunctions.udf.CIQ(A1192, "IQ_PRICE_VOL_HIST_6MTH", F1192)</f>
        <v>33.431600000000003</v>
      </c>
      <c r="K1192">
        <f>_xll.ciqfunctions.udf.CIQ(A1192, "IQ_LASTSALEPRICE", WORKDAY(F1192,-1))</f>
        <v>99</v>
      </c>
      <c r="L1192">
        <f>_xll.ciqfunctions.udf.CIQ(A1192, "IQ_LASTSALEPRICE", F1192)</f>
        <v>96.95</v>
      </c>
      <c r="M1192">
        <f>_xll.ciqfunctions.udf.CIQ(A1192, "IQ_LASTSALEPRICE", WORKDAY(F1192,5))</f>
        <v>100.6</v>
      </c>
      <c r="N1192">
        <f t="shared" si="36"/>
        <v>-2.092446844592908E-2</v>
      </c>
      <c r="O1192">
        <f t="shared" si="37"/>
        <v>1.603240753104879E-2</v>
      </c>
      <c r="P1192">
        <f>LN(_xll.ciqfunctions.udf.CIQ("XBI", "IQ_LASTSALEPRICE", WORKDAY(F1192,-1))/_xll.ciqfunctions.udf.CIQ("XBI", "IQ_LASTSALEPRICE", WORKDAY(F1192,1)))</f>
        <v>5.5009961903474264E-3</v>
      </c>
      <c r="Q1192">
        <f>LN(_xll.ciqfunctions.udf.CIQ("XBI", "IQ_LASTSALEPRICE", WORKDAY(F1192,-1))/_xll.ciqfunctions.udf.CIQ("XBI", "IQ_LASTSALEPRICE", WORKDAY(F1192,5)))</f>
        <v>2.129448829331079E-3</v>
      </c>
      <c r="R1192">
        <f>_xll.ciqfunctions.udf.CIQ(A1192, "IQ_SHORT_INTEREST_PERCENT", F1192)</f>
        <v>1.4189700000000001</v>
      </c>
      <c r="S1192">
        <f>_xll.ciqfunctions.udf.CIQ(A1192, "IQ_BETA_1YR_RSQ", F1192)</f>
        <v>7.5329999999999994E-2</v>
      </c>
      <c r="T1192">
        <f>_xll.ciqfunctions.udf.CIQ(A1192, "IQ_VALUE_TRADED", F1192)</f>
        <v>120.72718</v>
      </c>
    </row>
    <row r="1193" spans="1:20" x14ac:dyDescent="0.3">
      <c r="A1193" t="s">
        <v>2036</v>
      </c>
      <c r="B1193" s="2">
        <v>28</v>
      </c>
      <c r="C1193" t="s">
        <v>3177</v>
      </c>
      <c r="D1193" t="s">
        <v>253</v>
      </c>
      <c r="E1193" t="s">
        <v>76</v>
      </c>
      <c r="F1193" s="1">
        <v>45436</v>
      </c>
      <c r="G1193" t="s">
        <v>3178</v>
      </c>
      <c r="H1193">
        <v>661</v>
      </c>
      <c r="I1193">
        <f>_xll.ciqfunctions.udf.CIQ(A1193, "IQ_MARKETCAP", F1193)</f>
        <v>124368.65016</v>
      </c>
      <c r="J1193">
        <f>_xll.ciqfunctions.udf.CIQ(A1193, "IQ_PRICE_VOL_HIST_6MTH", F1193)</f>
        <v>31.9785</v>
      </c>
      <c r="K1193">
        <f>_xll.ciqfunctions.udf.CIQ(A1193, "IQ_LASTSALEPRICE", WORKDAY(F1193,-1))</f>
        <v>2025</v>
      </c>
      <c r="L1193">
        <f>_xll.ciqfunctions.udf.CIQ(A1193, "IQ_LASTSALEPRICE", F1193)</f>
        <v>1926.5</v>
      </c>
      <c r="M1193">
        <f>_xll.ciqfunctions.udf.CIQ(A1193, "IQ_LASTSALEPRICE", WORKDAY(F1193,5))</f>
        <v>1937</v>
      </c>
      <c r="N1193">
        <f t="shared" si="36"/>
        <v>-4.9864815474427268E-2</v>
      </c>
      <c r="O1193">
        <f t="shared" si="37"/>
        <v>-4.4429316133643669E-2</v>
      </c>
      <c r="P1193">
        <f>LN(_xll.ciqfunctions.udf.CIQ("XBI", "IQ_LASTSALEPRICE", WORKDAY(F1193,-1))/_xll.ciqfunctions.udf.CIQ("XBI", "IQ_LASTSALEPRICE", WORKDAY(F1193,1)))</f>
        <v>5.5009961903474264E-3</v>
      </c>
      <c r="Q1193">
        <f>LN(_xll.ciqfunctions.udf.CIQ("XBI", "IQ_LASTSALEPRICE", WORKDAY(F1193,-1))/_xll.ciqfunctions.udf.CIQ("XBI", "IQ_LASTSALEPRICE", WORKDAY(F1193,5)))</f>
        <v>2.129448829331079E-3</v>
      </c>
      <c r="R1193">
        <f>_xll.ciqfunctions.udf.CIQ(A1193, "IQ_SHORT_INTEREST_PERCENT", F1193)</f>
        <v>0</v>
      </c>
      <c r="S1193">
        <f>_xll.ciqfunctions.udf.CIQ(A1193, "IQ_BETA_1YR_RSQ", F1193)</f>
        <v>0.10611</v>
      </c>
      <c r="T1193">
        <f>_xll.ciqfunctions.udf.CIQ(A1193, "IQ_VALUE_TRADED", F1193)</f>
        <v>827.37009999999998</v>
      </c>
    </row>
    <row r="1194" spans="1:20" x14ac:dyDescent="0.3">
      <c r="A1194" t="s">
        <v>2171</v>
      </c>
      <c r="B1194" s="2">
        <v>2.44</v>
      </c>
      <c r="C1194" t="s">
        <v>3179</v>
      </c>
      <c r="D1194" t="s">
        <v>3180</v>
      </c>
      <c r="E1194" t="s">
        <v>22</v>
      </c>
      <c r="F1194" s="1">
        <v>45436</v>
      </c>
      <c r="G1194" t="s">
        <v>3181</v>
      </c>
      <c r="H1194">
        <v>93</v>
      </c>
      <c r="I1194">
        <f>_xll.ciqfunctions.udf.CIQ(A1194, "IQ_MARKETCAP", F1194)</f>
        <v>218.45366999999999</v>
      </c>
      <c r="J1194">
        <f>_xll.ciqfunctions.udf.CIQ(A1194, "IQ_PRICE_VOL_HIST_6MTH", F1194)</f>
        <v>165.2338</v>
      </c>
      <c r="K1194">
        <f>_xll.ciqfunctions.udf.CIQ(A1194, "IQ_LASTSALEPRICE", WORKDAY(F1194,-1))</f>
        <v>2.27</v>
      </c>
      <c r="L1194">
        <f>_xll.ciqfunctions.udf.CIQ(A1194, "IQ_LASTSALEPRICE", F1194)</f>
        <v>2.44</v>
      </c>
      <c r="M1194">
        <f>_xll.ciqfunctions.udf.CIQ(A1194, "IQ_LASTSALEPRICE", WORKDAY(F1194,5))</f>
        <v>2.17</v>
      </c>
      <c r="N1194">
        <f t="shared" si="36"/>
        <v>7.2218207811799121E-2</v>
      </c>
      <c r="O1194">
        <f t="shared" si="37"/>
        <v>-4.5052663940943136E-2</v>
      </c>
      <c r="P1194">
        <f>LN(_xll.ciqfunctions.udf.CIQ("XBI", "IQ_LASTSALEPRICE", WORKDAY(F1194,-1))/_xll.ciqfunctions.udf.CIQ("XBI", "IQ_LASTSALEPRICE", WORKDAY(F1194,1)))</f>
        <v>5.5009961903474264E-3</v>
      </c>
      <c r="Q1194">
        <f>LN(_xll.ciqfunctions.udf.CIQ("XBI", "IQ_LASTSALEPRICE", WORKDAY(F1194,-1))/_xll.ciqfunctions.udf.CIQ("XBI", "IQ_LASTSALEPRICE", WORKDAY(F1194,5)))</f>
        <v>2.129448829331079E-3</v>
      </c>
      <c r="R1194">
        <f>_xll.ciqfunctions.udf.CIQ(A1194, "IQ_SHORT_INTEREST_PERCENT", F1194)</f>
        <v>1.9306700000000001</v>
      </c>
      <c r="S1194">
        <f>_xll.ciqfunctions.udf.CIQ(A1194, "IQ_BETA_1YR_RSQ", F1194)</f>
        <v>4.2520000000000002E-2</v>
      </c>
      <c r="T1194">
        <f>_xll.ciqfunctions.udf.CIQ(A1194, "IQ_VALUE_TRADED", F1194)</f>
        <v>1.6432</v>
      </c>
    </row>
    <row r="1195" spans="1:20" x14ac:dyDescent="0.3">
      <c r="A1195" t="s">
        <v>263</v>
      </c>
      <c r="B1195" s="2">
        <v>3.08</v>
      </c>
      <c r="C1195" t="s">
        <v>3182</v>
      </c>
      <c r="D1195" t="s">
        <v>3183</v>
      </c>
      <c r="E1195" t="s">
        <v>76</v>
      </c>
      <c r="F1195" s="1">
        <v>45436</v>
      </c>
      <c r="G1195" t="s">
        <v>3184</v>
      </c>
      <c r="H1195">
        <v>342</v>
      </c>
      <c r="I1195">
        <f>_xll.ciqfunctions.udf.CIQ(A1195, "IQ_MARKETCAP", F1195)</f>
        <v>761.28560000000004</v>
      </c>
      <c r="J1195">
        <f>_xll.ciqfunctions.udf.CIQ(A1195, "IQ_PRICE_VOL_HIST_6MTH", F1195)</f>
        <v>89.9542</v>
      </c>
      <c r="K1195">
        <f>_xll.ciqfunctions.udf.CIQ(A1195, "IQ_LASTSALEPRICE", WORKDAY(F1195,-1))</f>
        <v>3.08</v>
      </c>
      <c r="L1195">
        <f>_xll.ciqfunctions.udf.CIQ(A1195, "IQ_LASTSALEPRICE", F1195)</f>
        <v>3.08</v>
      </c>
      <c r="M1195">
        <f>_xll.ciqfunctions.udf.CIQ(A1195, "IQ_LASTSALEPRICE", WORKDAY(F1195,5))</f>
        <v>3.1</v>
      </c>
      <c r="N1195">
        <f t="shared" si="36"/>
        <v>0</v>
      </c>
      <c r="O1195">
        <f t="shared" si="37"/>
        <v>6.4725145056175196E-3</v>
      </c>
      <c r="P1195">
        <f>LN(_xll.ciqfunctions.udf.CIQ("XBI", "IQ_LASTSALEPRICE", WORKDAY(F1195,-1))/_xll.ciqfunctions.udf.CIQ("XBI", "IQ_LASTSALEPRICE", WORKDAY(F1195,1)))</f>
        <v>5.5009961903474264E-3</v>
      </c>
      <c r="Q1195">
        <f>LN(_xll.ciqfunctions.udf.CIQ("XBI", "IQ_LASTSALEPRICE", WORKDAY(F1195,-1))/_xll.ciqfunctions.udf.CIQ("XBI", "IQ_LASTSALEPRICE", WORKDAY(F1195,5)))</f>
        <v>2.129448829331079E-3</v>
      </c>
      <c r="R1195">
        <f>_xll.ciqfunctions.udf.CIQ(A1195, "IQ_SHORT_INTEREST_PERCENT", F1195)</f>
        <v>1.3409599999999999</v>
      </c>
      <c r="S1195">
        <f>_xll.ciqfunctions.udf.CIQ(A1195, "IQ_BETA_1YR_RSQ", F1195)</f>
        <v>0.14163000000000001</v>
      </c>
      <c r="T1195">
        <f>_xll.ciqfunctions.udf.CIQ(A1195, "IQ_VALUE_TRADED", F1195)</f>
        <v>2.4061499999999998</v>
      </c>
    </row>
    <row r="1196" spans="1:20" x14ac:dyDescent="0.3">
      <c r="A1196" t="s">
        <v>3185</v>
      </c>
      <c r="B1196" s="2">
        <v>40.61</v>
      </c>
      <c r="C1196" t="s">
        <v>3186</v>
      </c>
      <c r="D1196" t="s">
        <v>3187</v>
      </c>
      <c r="E1196" t="s">
        <v>76</v>
      </c>
      <c r="F1196" s="1">
        <v>45436</v>
      </c>
      <c r="G1196" t="s">
        <v>3188</v>
      </c>
      <c r="H1196">
        <v>126</v>
      </c>
      <c r="I1196">
        <f>_xll.ciqfunctions.udf.CIQ(A1196, "IQ_MARKETCAP", F1196)</f>
        <v>4928.6551900000004</v>
      </c>
      <c r="J1196">
        <f>_xll.ciqfunctions.udf.CIQ(A1196, "IQ_PRICE_VOL_HIST_6MTH", F1196)</f>
        <v>67.034000000000006</v>
      </c>
      <c r="K1196">
        <f>_xll.ciqfunctions.udf.CIQ(A1196, "IQ_LASTSALEPRICE", WORKDAY(F1196,-1))</f>
        <v>39.68</v>
      </c>
      <c r="L1196">
        <f>_xll.ciqfunctions.udf.CIQ(A1196, "IQ_LASTSALEPRICE", F1196)</f>
        <v>40.61</v>
      </c>
      <c r="M1196">
        <f>_xll.ciqfunctions.udf.CIQ(A1196, "IQ_LASTSALEPRICE", WORKDAY(F1196,5))</f>
        <v>39.25</v>
      </c>
      <c r="N1196">
        <f t="shared" si="36"/>
        <v>2.3167059281534379E-2</v>
      </c>
      <c r="O1196">
        <f t="shared" si="37"/>
        <v>-1.089583818825463E-2</v>
      </c>
      <c r="P1196">
        <f>LN(_xll.ciqfunctions.udf.CIQ("XBI", "IQ_LASTSALEPRICE", WORKDAY(F1196,-1))/_xll.ciqfunctions.udf.CIQ("XBI", "IQ_LASTSALEPRICE", WORKDAY(F1196,1)))</f>
        <v>5.5009961903474264E-3</v>
      </c>
      <c r="Q1196">
        <f>LN(_xll.ciqfunctions.udf.CIQ("XBI", "IQ_LASTSALEPRICE", WORKDAY(F1196,-1))/_xll.ciqfunctions.udf.CIQ("XBI", "IQ_LASTSALEPRICE", WORKDAY(F1196,5)))</f>
        <v>2.129448829331079E-3</v>
      </c>
      <c r="R1196">
        <f>_xll.ciqfunctions.udf.CIQ(A1196, "IQ_SHORT_INTEREST_PERCENT", F1196)</f>
        <v>10.37072</v>
      </c>
      <c r="S1196">
        <f>_xll.ciqfunctions.udf.CIQ(A1196, "IQ_BETA_1YR_RSQ", F1196)</f>
        <v>1.8720000000000001E-2</v>
      </c>
      <c r="T1196">
        <f>_xll.ciqfunctions.udf.CIQ(A1196, "IQ_VALUE_TRADED", F1196)</f>
        <v>52.035870000000003</v>
      </c>
    </row>
    <row r="1197" spans="1:20" x14ac:dyDescent="0.3">
      <c r="A1197" t="s">
        <v>130</v>
      </c>
      <c r="B1197" s="2">
        <v>124.52</v>
      </c>
      <c r="C1197" t="s">
        <v>3189</v>
      </c>
      <c r="D1197" t="s">
        <v>3190</v>
      </c>
      <c r="E1197" t="s">
        <v>36</v>
      </c>
      <c r="F1197" s="1">
        <v>45440</v>
      </c>
      <c r="G1197" t="s">
        <v>3191</v>
      </c>
      <c r="I1197">
        <f>_xll.ciqfunctions.udf.CIQ(A1197, "IQ_MARKETCAP", F1197)</f>
        <v>319361.54725</v>
      </c>
      <c r="J1197">
        <f>_xll.ciqfunctions.udf.CIQ(A1197, "IQ_PRICE_VOL_HIST_6MTH", F1197)</f>
        <v>17.299199999999999</v>
      </c>
      <c r="K1197">
        <f>_xll.ciqfunctions.udf.CIQ(A1197, "IQ_LASTSALEPRICE", WORKDAY(F1197,-1))</f>
        <v>129.49</v>
      </c>
      <c r="L1197">
        <f>_xll.ciqfunctions.udf.CIQ(A1197, "IQ_LASTSALEPRICE", F1197)</f>
        <v>126.09</v>
      </c>
      <c r="M1197">
        <f>_xll.ciqfunctions.udf.CIQ(A1197, "IQ_LASTSALEPRICE", WORKDAY(F1197,5))</f>
        <v>128.71</v>
      </c>
      <c r="N1197">
        <f t="shared" si="36"/>
        <v>-2.6607720395613679E-2</v>
      </c>
      <c r="O1197">
        <f t="shared" si="37"/>
        <v>-6.0418464194622991E-3</v>
      </c>
      <c r="P1197">
        <f>LN(_xll.ciqfunctions.udf.CIQ("XBI", "IQ_LASTSALEPRICE", WORKDAY(F1197,-1))/_xll.ciqfunctions.udf.CIQ("XBI", "IQ_LASTSALEPRICE", WORKDAY(F1197,1)))</f>
        <v>1.5314234973042356E-2</v>
      </c>
      <c r="Q1197">
        <f>LN(_xll.ciqfunctions.udf.CIQ("XBI", "IQ_LASTSALEPRICE", WORKDAY(F1197,-1))/_xll.ciqfunctions.udf.CIQ("XBI", "IQ_LASTSALEPRICE", WORKDAY(F1197,5)))</f>
        <v>-2.6001464815201828E-2</v>
      </c>
      <c r="R1197">
        <f>_xll.ciqfunctions.udf.CIQ(A1197, "IQ_SHORT_INTEREST_PERCENT", F1197)</f>
        <v>0.80013000000000001</v>
      </c>
      <c r="S1197">
        <f>_xll.ciqfunctions.udf.CIQ(A1197, "IQ_BETA_1YR_RSQ", F1197)</f>
        <v>1.813E-2</v>
      </c>
      <c r="T1197">
        <f>_xll.ciqfunctions.udf.CIQ(A1197, "IQ_VALUE_TRADED", F1197)</f>
        <v>1294.10996</v>
      </c>
    </row>
    <row r="1198" spans="1:20" x14ac:dyDescent="0.3">
      <c r="A1198" t="s">
        <v>2761</v>
      </c>
      <c r="B1198" s="2">
        <v>48.06</v>
      </c>
      <c r="C1198" t="s">
        <v>3192</v>
      </c>
      <c r="D1198" t="s">
        <v>3193</v>
      </c>
      <c r="E1198" t="s">
        <v>36</v>
      </c>
      <c r="F1198" s="1">
        <v>45440</v>
      </c>
      <c r="G1198" t="s">
        <v>3194</v>
      </c>
      <c r="H1198">
        <v>211</v>
      </c>
      <c r="I1198">
        <f>_xll.ciqfunctions.udf.CIQ(A1198, "IQ_MARKETCAP", F1198)</f>
        <v>7141.9345800000001</v>
      </c>
      <c r="J1198">
        <f>_xll.ciqfunctions.udf.CIQ(A1198, "IQ_PRICE_VOL_HIST_6MTH", F1198)</f>
        <v>117.8407</v>
      </c>
      <c r="K1198">
        <f>_xll.ciqfunctions.udf.CIQ(A1198, "IQ_LASTSALEPRICE", WORKDAY(F1198,-1))</f>
        <v>22</v>
      </c>
      <c r="L1198">
        <f>_xll.ciqfunctions.udf.CIQ(A1198, "IQ_LASTSALEPRICE", F1198)</f>
        <v>48.06</v>
      </c>
      <c r="M1198">
        <f>_xll.ciqfunctions.udf.CIQ(A1198, "IQ_LASTSALEPRICE", WORKDAY(F1198,5))</f>
        <v>57</v>
      </c>
      <c r="N1198">
        <f t="shared" si="36"/>
        <v>0.78140777695000696</v>
      </c>
      <c r="O1198">
        <f t="shared" si="37"/>
        <v>0.95200881447623431</v>
      </c>
      <c r="P1198">
        <f>LN(_xll.ciqfunctions.udf.CIQ("XBI", "IQ_LASTSALEPRICE", WORKDAY(F1198,-1))/_xll.ciqfunctions.udf.CIQ("XBI", "IQ_LASTSALEPRICE", WORKDAY(F1198,1)))</f>
        <v>1.5314234973042356E-2</v>
      </c>
      <c r="Q1198">
        <f>LN(_xll.ciqfunctions.udf.CIQ("XBI", "IQ_LASTSALEPRICE", WORKDAY(F1198,-1))/_xll.ciqfunctions.udf.CIQ("XBI", "IQ_LASTSALEPRICE", WORKDAY(F1198,5)))</f>
        <v>-2.6001464815201828E-2</v>
      </c>
      <c r="R1198">
        <f>_xll.ciqfunctions.udf.CIQ(A1198, "IQ_SHORT_INTEREST_PERCENT", F1198)</f>
        <v>6.6818400000000002</v>
      </c>
      <c r="S1198">
        <f>_xll.ciqfunctions.udf.CIQ(A1198, "IQ_BETA_1YR_RSQ", F1198)</f>
        <v>7.3150000000000007E-2</v>
      </c>
      <c r="T1198">
        <f>_xll.ciqfunctions.udf.CIQ(A1198, "IQ_VALUE_TRADED", F1198)</f>
        <v>1605.69075</v>
      </c>
    </row>
    <row r="1199" spans="1:20" x14ac:dyDescent="0.3">
      <c r="A1199" t="s">
        <v>666</v>
      </c>
      <c r="B1199" s="2">
        <v>38.409999999999997</v>
      </c>
      <c r="C1199" t="s">
        <v>3195</v>
      </c>
      <c r="D1199" t="s">
        <v>676</v>
      </c>
      <c r="E1199" t="s">
        <v>46</v>
      </c>
      <c r="F1199" s="1">
        <v>45440</v>
      </c>
      <c r="G1199" t="s">
        <v>3196</v>
      </c>
      <c r="H1199">
        <v>27</v>
      </c>
      <c r="I1199">
        <f>_xll.ciqfunctions.udf.CIQ(A1199, "IQ_MARKETCAP", F1199)</f>
        <v>1034.45144</v>
      </c>
      <c r="J1199">
        <f>_xll.ciqfunctions.udf.CIQ(A1199, "IQ_PRICE_VOL_HIST_6MTH", F1199)</f>
        <v>72.356099999999998</v>
      </c>
      <c r="K1199">
        <f>_xll.ciqfunctions.udf.CIQ(A1199, "IQ_LASTSALEPRICE", WORKDAY(F1199,-1))</f>
        <v>30.41</v>
      </c>
      <c r="L1199">
        <f>_xll.ciqfunctions.udf.CIQ(A1199, "IQ_LASTSALEPRICE", F1199)</f>
        <v>38.409999999999997</v>
      </c>
      <c r="M1199">
        <f>_xll.ciqfunctions.udf.CIQ(A1199, "IQ_LASTSALEPRICE", WORKDAY(F1199,5))</f>
        <v>41.42</v>
      </c>
      <c r="N1199">
        <f t="shared" si="36"/>
        <v>0.23354634066854008</v>
      </c>
      <c r="O1199">
        <f t="shared" si="37"/>
        <v>0.30899235427816479</v>
      </c>
      <c r="P1199">
        <f>LN(_xll.ciqfunctions.udf.CIQ("XBI", "IQ_LASTSALEPRICE", WORKDAY(F1199,-1))/_xll.ciqfunctions.udf.CIQ("XBI", "IQ_LASTSALEPRICE", WORKDAY(F1199,1)))</f>
        <v>1.5314234973042356E-2</v>
      </c>
      <c r="Q1199">
        <f>LN(_xll.ciqfunctions.udf.CIQ("XBI", "IQ_LASTSALEPRICE", WORKDAY(F1199,-1))/_xll.ciqfunctions.udf.CIQ("XBI", "IQ_LASTSALEPRICE", WORKDAY(F1199,5)))</f>
        <v>-2.6001464815201828E-2</v>
      </c>
      <c r="R1199">
        <f>_xll.ciqfunctions.udf.CIQ(A1199, "IQ_SHORT_INTEREST_PERCENT", F1199)</f>
        <v>15.33095</v>
      </c>
      <c r="S1199">
        <f>_xll.ciqfunctions.udf.CIQ(A1199, "IQ_BETA_1YR_RSQ", F1199)</f>
        <v>0.29737000000000002</v>
      </c>
      <c r="T1199">
        <f>_xll.ciqfunctions.udf.CIQ(A1199, "IQ_VALUE_TRADED", F1199)</f>
        <v>41.19415</v>
      </c>
    </row>
    <row r="1200" spans="1:20" x14ac:dyDescent="0.3">
      <c r="A1200" t="s">
        <v>3197</v>
      </c>
      <c r="B1200" s="2">
        <v>0.84</v>
      </c>
      <c r="C1200" t="s">
        <v>3198</v>
      </c>
      <c r="D1200" t="s">
        <v>3199</v>
      </c>
      <c r="E1200" t="s">
        <v>89</v>
      </c>
      <c r="F1200" s="1">
        <v>45440</v>
      </c>
      <c r="G1200" t="s">
        <v>3200</v>
      </c>
      <c r="H1200">
        <v>17</v>
      </c>
      <c r="I1200">
        <f>_xll.ciqfunctions.udf.CIQ(A1200, "IQ_MARKETCAP", F1200)</f>
        <v>31.427820000000001</v>
      </c>
      <c r="J1200">
        <f>_xll.ciqfunctions.udf.CIQ(A1200, "IQ_PRICE_VOL_HIST_6MTH", F1200)</f>
        <v>95.609899999999996</v>
      </c>
      <c r="K1200">
        <f>_xll.ciqfunctions.udf.CIQ(A1200, "IQ_LASTSALEPRICE", WORKDAY(F1200,-1))</f>
        <v>9.4589999999999996</v>
      </c>
      <c r="L1200">
        <f>_xll.ciqfunctions.udf.CIQ(A1200, "IQ_LASTSALEPRICE", F1200)</f>
        <v>8.3569899999999997</v>
      </c>
      <c r="M1200">
        <f>_xll.ciqfunctions.udf.CIQ(A1200, "IQ_LASTSALEPRICE", WORKDAY(F1200,5))</f>
        <v>8.0559999999999992</v>
      </c>
      <c r="N1200">
        <f t="shared" si="36"/>
        <v>-0.12386835481410163</v>
      </c>
      <c r="O1200">
        <f t="shared" si="37"/>
        <v>-0.16054951381477234</v>
      </c>
      <c r="P1200">
        <f>LN(_xll.ciqfunctions.udf.CIQ("XBI", "IQ_LASTSALEPRICE", WORKDAY(F1200,-1))/_xll.ciqfunctions.udf.CIQ("XBI", "IQ_LASTSALEPRICE", WORKDAY(F1200,1)))</f>
        <v>1.5314234973042356E-2</v>
      </c>
      <c r="Q1200">
        <f>LN(_xll.ciqfunctions.udf.CIQ("XBI", "IQ_LASTSALEPRICE", WORKDAY(F1200,-1))/_xll.ciqfunctions.udf.CIQ("XBI", "IQ_LASTSALEPRICE", WORKDAY(F1200,5)))</f>
        <v>-2.6001464815201828E-2</v>
      </c>
      <c r="R1200">
        <f>_xll.ciqfunctions.udf.CIQ(A1200, "IQ_SHORT_INTEREST_PERCENT", F1200)</f>
        <v>2.2862200000000001</v>
      </c>
      <c r="S1200">
        <f>_xll.ciqfunctions.udf.CIQ(A1200, "IQ_BETA_1YR_RSQ", F1200)</f>
        <v>4.3899999999999998E-3</v>
      </c>
      <c r="T1200">
        <f>_xll.ciqfunctions.udf.CIQ(A1200, "IQ_VALUE_TRADED", F1200)</f>
        <v>1.07219</v>
      </c>
    </row>
    <row r="1201" spans="1:20" x14ac:dyDescent="0.3">
      <c r="A1201" t="s">
        <v>341</v>
      </c>
      <c r="B1201" s="2">
        <v>1.39</v>
      </c>
      <c r="C1201" t="s">
        <v>3201</v>
      </c>
      <c r="D1201" t="s">
        <v>1050</v>
      </c>
      <c r="E1201" t="s">
        <v>22</v>
      </c>
      <c r="F1201" s="1">
        <v>45440</v>
      </c>
      <c r="G1201" t="s">
        <v>3202</v>
      </c>
      <c r="H1201">
        <v>90</v>
      </c>
      <c r="I1201">
        <f>_xll.ciqfunctions.udf.CIQ(A1201, "IQ_MARKETCAP", F1201)</f>
        <v>123.07682</v>
      </c>
      <c r="J1201">
        <f>_xll.ciqfunctions.udf.CIQ(A1201, "IQ_PRICE_VOL_HIST_6MTH", F1201)</f>
        <v>0</v>
      </c>
      <c r="K1201">
        <f>_xll.ciqfunctions.udf.CIQ(A1201, "IQ_LASTSALEPRICE", WORKDAY(F1201,-1))</f>
        <v>0</v>
      </c>
      <c r="L1201">
        <f>_xll.ciqfunctions.udf.CIQ(A1201, "IQ_LASTSALEPRICE", F1201)</f>
        <v>0</v>
      </c>
      <c r="M1201">
        <f>_xll.ciqfunctions.udf.CIQ(A1201, "IQ_LASTSALEPRICE", WORKDAY(F1201,5))</f>
        <v>0</v>
      </c>
      <c r="N1201" t="e">
        <f t="shared" si="36"/>
        <v>#DIV/0!</v>
      </c>
      <c r="O1201" t="e">
        <f t="shared" si="37"/>
        <v>#DIV/0!</v>
      </c>
      <c r="P1201">
        <f>LN(_xll.ciqfunctions.udf.CIQ("XBI", "IQ_LASTSALEPRICE", WORKDAY(F1201,-1))/_xll.ciqfunctions.udf.CIQ("XBI", "IQ_LASTSALEPRICE", WORKDAY(F1201,1)))</f>
        <v>1.5314234973042356E-2</v>
      </c>
      <c r="Q1201">
        <f>LN(_xll.ciqfunctions.udf.CIQ("XBI", "IQ_LASTSALEPRICE", WORKDAY(F1201,-1))/_xll.ciqfunctions.udf.CIQ("XBI", "IQ_LASTSALEPRICE", WORKDAY(F1201,5)))</f>
        <v>-2.6001464815201828E-2</v>
      </c>
      <c r="R1201">
        <f>_xll.ciqfunctions.udf.CIQ(A1201, "IQ_SHORT_INTEREST_PERCENT", F1201)</f>
        <v>0</v>
      </c>
      <c r="S1201">
        <f>_xll.ciqfunctions.udf.CIQ(A1201, "IQ_BETA_1YR_RSQ", F1201)</f>
        <v>0</v>
      </c>
      <c r="T1201">
        <f>_xll.ciqfunctions.udf.CIQ(A1201, "IQ_VALUE_TRADED", F1201)</f>
        <v>0</v>
      </c>
    </row>
    <row r="1202" spans="1:20" x14ac:dyDescent="0.3">
      <c r="A1202" t="s">
        <v>2032</v>
      </c>
      <c r="B1202" s="2">
        <v>54.87</v>
      </c>
      <c r="C1202" t="s">
        <v>2801</v>
      </c>
      <c r="D1202" t="s">
        <v>2802</v>
      </c>
      <c r="E1202" t="s">
        <v>17</v>
      </c>
      <c r="F1202" s="1">
        <v>45440</v>
      </c>
      <c r="G1202" t="s">
        <v>3203</v>
      </c>
      <c r="H1202">
        <v>75</v>
      </c>
      <c r="I1202">
        <f>_xll.ciqfunctions.udf.CIQ(A1202, "IQ_MARKETCAP", F1202)</f>
        <v>3220.1859199999999</v>
      </c>
      <c r="J1202">
        <f>_xll.ciqfunctions.udf.CIQ(A1202, "IQ_PRICE_VOL_HIST_6MTH", F1202)</f>
        <v>66.954899999999995</v>
      </c>
      <c r="K1202">
        <f>_xll.ciqfunctions.udf.CIQ(A1202, "IQ_LASTSALEPRICE", WORKDAY(F1202,-1))</f>
        <v>59.99</v>
      </c>
      <c r="L1202">
        <f>_xll.ciqfunctions.udf.CIQ(A1202, "IQ_LASTSALEPRICE", F1202)</f>
        <v>54.87</v>
      </c>
      <c r="M1202">
        <f>_xll.ciqfunctions.udf.CIQ(A1202, "IQ_LASTSALEPRICE", WORKDAY(F1202,5))</f>
        <v>50.36</v>
      </c>
      <c r="N1202">
        <f t="shared" si="36"/>
        <v>-8.9211130594117755E-2</v>
      </c>
      <c r="O1202">
        <f t="shared" si="37"/>
        <v>-0.1749806724888554</v>
      </c>
      <c r="P1202">
        <f>LN(_xll.ciqfunctions.udf.CIQ("XBI", "IQ_LASTSALEPRICE", WORKDAY(F1202,-1))/_xll.ciqfunctions.udf.CIQ("XBI", "IQ_LASTSALEPRICE", WORKDAY(F1202,1)))</f>
        <v>1.5314234973042356E-2</v>
      </c>
      <c r="Q1202">
        <f>LN(_xll.ciqfunctions.udf.CIQ("XBI", "IQ_LASTSALEPRICE", WORKDAY(F1202,-1))/_xll.ciqfunctions.udf.CIQ("XBI", "IQ_LASTSALEPRICE", WORKDAY(F1202,5)))</f>
        <v>-2.6001464815201828E-2</v>
      </c>
      <c r="R1202">
        <f>_xll.ciqfunctions.udf.CIQ(A1202, "IQ_SHORT_INTEREST_PERCENT", F1202)</f>
        <v>5.9346899999999998</v>
      </c>
      <c r="S1202">
        <f>_xll.ciqfunctions.udf.CIQ(A1202, "IQ_BETA_1YR_RSQ", F1202)</f>
        <v>0.18762000000000001</v>
      </c>
      <c r="T1202">
        <f>_xll.ciqfunctions.udf.CIQ(A1202, "IQ_VALUE_TRADED", F1202)</f>
        <v>211.72049999999999</v>
      </c>
    </row>
    <row r="1203" spans="1:20" x14ac:dyDescent="0.3">
      <c r="A1203" t="s">
        <v>2036</v>
      </c>
      <c r="B1203" t="s">
        <v>43</v>
      </c>
      <c r="C1203" t="s">
        <v>2801</v>
      </c>
      <c r="D1203" t="s">
        <v>2802</v>
      </c>
      <c r="E1203" t="s">
        <v>17</v>
      </c>
      <c r="F1203" s="1">
        <v>45440</v>
      </c>
      <c r="G1203" t="s">
        <v>3203</v>
      </c>
      <c r="H1203">
        <v>661</v>
      </c>
      <c r="I1203">
        <f>_xll.ciqfunctions.udf.CIQ(A1203, "IQ_MARKETCAP", F1203)</f>
        <v>124739.82157</v>
      </c>
      <c r="J1203">
        <f>_xll.ciqfunctions.udf.CIQ(A1203, "IQ_PRICE_VOL_HIST_6MTH", F1203)</f>
        <v>31.714500000000001</v>
      </c>
      <c r="K1203">
        <f>_xll.ciqfunctions.udf.CIQ(A1203, "IQ_LASTSALEPRICE", WORKDAY(F1203,-1))</f>
        <v>1955</v>
      </c>
      <c r="L1203">
        <f>_xll.ciqfunctions.udf.CIQ(A1203, "IQ_LASTSALEPRICE", F1203)</f>
        <v>1934.5</v>
      </c>
      <c r="M1203">
        <f>_xll.ciqfunctions.udf.CIQ(A1203, "IQ_LASTSALEPRICE", WORKDAY(F1203,5))</f>
        <v>1937.5</v>
      </c>
      <c r="N1203">
        <f t="shared" si="36"/>
        <v>-1.0541298278898483E-2</v>
      </c>
      <c r="O1203">
        <f t="shared" si="37"/>
        <v>-8.9917111919640726E-3</v>
      </c>
      <c r="P1203">
        <f>LN(_xll.ciqfunctions.udf.CIQ("XBI", "IQ_LASTSALEPRICE", WORKDAY(F1203,-1))/_xll.ciqfunctions.udf.CIQ("XBI", "IQ_LASTSALEPRICE", WORKDAY(F1203,1)))</f>
        <v>1.5314234973042356E-2</v>
      </c>
      <c r="Q1203">
        <f>LN(_xll.ciqfunctions.udf.CIQ("XBI", "IQ_LASTSALEPRICE", WORKDAY(F1203,-1))/_xll.ciqfunctions.udf.CIQ("XBI", "IQ_LASTSALEPRICE", WORKDAY(F1203,5)))</f>
        <v>-2.6001464815201828E-2</v>
      </c>
      <c r="R1203">
        <f>_xll.ciqfunctions.udf.CIQ(A1203, "IQ_SHORT_INTEREST_PERCENT", F1203)</f>
        <v>0</v>
      </c>
      <c r="S1203">
        <f>_xll.ciqfunctions.udf.CIQ(A1203, "IQ_BETA_1YR_RSQ", F1203)</f>
        <v>0.10611</v>
      </c>
      <c r="T1203">
        <f>_xll.ciqfunctions.udf.CIQ(A1203, "IQ_VALUE_TRADED", F1203)</f>
        <v>229.69479000000001</v>
      </c>
    </row>
    <row r="1204" spans="1:20" x14ac:dyDescent="0.3">
      <c r="A1204" t="s">
        <v>515</v>
      </c>
      <c r="B1204" s="2">
        <v>37.130000000000003</v>
      </c>
      <c r="C1204" t="s">
        <v>516</v>
      </c>
      <c r="D1204" t="s">
        <v>517</v>
      </c>
      <c r="E1204" t="s">
        <v>197</v>
      </c>
      <c r="F1204" s="1">
        <v>45440</v>
      </c>
      <c r="G1204" t="s">
        <v>3204</v>
      </c>
      <c r="H1204">
        <v>63</v>
      </c>
      <c r="I1204">
        <f>_xll.ciqfunctions.udf.CIQ(A1204, "IQ_MARKETCAP", F1204)</f>
        <v>2031.05619</v>
      </c>
      <c r="J1204">
        <f>_xll.ciqfunctions.udf.CIQ(A1204, "IQ_PRICE_VOL_HIST_6MTH", F1204)</f>
        <v>93.718800000000002</v>
      </c>
      <c r="K1204">
        <f>_xll.ciqfunctions.udf.CIQ(A1204, "IQ_LASTSALEPRICE", WORKDAY(F1204,-1))</f>
        <v>37.11</v>
      </c>
      <c r="L1204">
        <f>_xll.ciqfunctions.udf.CIQ(A1204, "IQ_LASTSALEPRICE", F1204)</f>
        <v>37.130000000000003</v>
      </c>
      <c r="M1204">
        <f>_xll.ciqfunctions.udf.CIQ(A1204, "IQ_LASTSALEPRICE", WORKDAY(F1204,5))</f>
        <v>39.47</v>
      </c>
      <c r="N1204">
        <f t="shared" si="36"/>
        <v>5.387931164825792E-4</v>
      </c>
      <c r="O1204">
        <f t="shared" si="37"/>
        <v>6.1654414602249595E-2</v>
      </c>
      <c r="P1204">
        <f>LN(_xll.ciqfunctions.udf.CIQ("XBI", "IQ_LASTSALEPRICE", WORKDAY(F1204,-1))/_xll.ciqfunctions.udf.CIQ("XBI", "IQ_LASTSALEPRICE", WORKDAY(F1204,1)))</f>
        <v>1.5314234973042356E-2</v>
      </c>
      <c r="Q1204">
        <f>LN(_xll.ciqfunctions.udf.CIQ("XBI", "IQ_LASTSALEPRICE", WORKDAY(F1204,-1))/_xll.ciqfunctions.udf.CIQ("XBI", "IQ_LASTSALEPRICE", WORKDAY(F1204,5)))</f>
        <v>-2.6001464815201828E-2</v>
      </c>
      <c r="R1204">
        <f>_xll.ciqfunctions.udf.CIQ(A1204, "IQ_SHORT_INTEREST_PERCENT", F1204)</f>
        <v>11.811249999999999</v>
      </c>
      <c r="S1204">
        <f>_xll.ciqfunctions.udf.CIQ(A1204, "IQ_BETA_1YR_RSQ", F1204)</f>
        <v>6.4070000000000002E-2</v>
      </c>
      <c r="T1204">
        <f>_xll.ciqfunctions.udf.CIQ(A1204, "IQ_VALUE_TRADED", F1204)</f>
        <v>39.321120000000001</v>
      </c>
    </row>
    <row r="1205" spans="1:20" x14ac:dyDescent="0.3">
      <c r="A1205" t="s">
        <v>1864</v>
      </c>
      <c r="B1205" s="2">
        <v>31.61</v>
      </c>
      <c r="C1205" t="s">
        <v>2394</v>
      </c>
      <c r="D1205" t="s">
        <v>2395</v>
      </c>
      <c r="E1205" t="s">
        <v>36</v>
      </c>
      <c r="F1205" s="1">
        <v>45440</v>
      </c>
      <c r="G1205" t="s">
        <v>3205</v>
      </c>
      <c r="H1205">
        <v>105</v>
      </c>
      <c r="I1205">
        <f>_xll.ciqfunctions.udf.CIQ(A1205, "IQ_MARKETCAP", F1205)</f>
        <v>3290.9830999999999</v>
      </c>
      <c r="J1205">
        <f>_xll.ciqfunctions.udf.CIQ(A1205, "IQ_PRICE_VOL_HIST_6MTH", F1205)</f>
        <v>66.165899999999993</v>
      </c>
      <c r="K1205">
        <f>_xll.ciqfunctions.udf.CIQ(A1205, "IQ_LASTSALEPRICE", WORKDAY(F1205,-1))</f>
        <v>27.52</v>
      </c>
      <c r="L1205">
        <f>_xll.ciqfunctions.udf.CIQ(A1205, "IQ_LASTSALEPRICE", F1205)</f>
        <v>31.61</v>
      </c>
      <c r="M1205">
        <f>_xll.ciqfunctions.udf.CIQ(A1205, "IQ_LASTSALEPRICE", WORKDAY(F1205,5))</f>
        <v>32.869999999999997</v>
      </c>
      <c r="N1205">
        <f t="shared" si="36"/>
        <v>0.13856051316238341</v>
      </c>
      <c r="O1205">
        <f t="shared" si="37"/>
        <v>0.17764737461098512</v>
      </c>
      <c r="P1205">
        <f>LN(_xll.ciqfunctions.udf.CIQ("XBI", "IQ_LASTSALEPRICE", WORKDAY(F1205,-1))/_xll.ciqfunctions.udf.CIQ("XBI", "IQ_LASTSALEPRICE", WORKDAY(F1205,1)))</f>
        <v>1.5314234973042356E-2</v>
      </c>
      <c r="Q1205">
        <f>LN(_xll.ciqfunctions.udf.CIQ("XBI", "IQ_LASTSALEPRICE", WORKDAY(F1205,-1))/_xll.ciqfunctions.udf.CIQ("XBI", "IQ_LASTSALEPRICE", WORKDAY(F1205,5)))</f>
        <v>-2.6001464815201828E-2</v>
      </c>
      <c r="R1205">
        <f>_xll.ciqfunctions.udf.CIQ(A1205, "IQ_SHORT_INTEREST_PERCENT", F1205)</f>
        <v>19.018609999999999</v>
      </c>
      <c r="S1205">
        <f>_xll.ciqfunctions.udf.CIQ(A1205, "IQ_BETA_1YR_RSQ", F1205)</f>
        <v>2.9729999999999999E-2</v>
      </c>
      <c r="T1205">
        <f>_xll.ciqfunctions.udf.CIQ(A1205, "IQ_VALUE_TRADED", F1205)</f>
        <v>113.93268</v>
      </c>
    </row>
    <row r="1206" spans="1:20" x14ac:dyDescent="0.3">
      <c r="A1206" t="s">
        <v>208</v>
      </c>
      <c r="B1206" s="2">
        <v>152.69</v>
      </c>
      <c r="C1206" t="s">
        <v>3206</v>
      </c>
      <c r="D1206" t="s">
        <v>3207</v>
      </c>
      <c r="E1206" t="s">
        <v>22</v>
      </c>
      <c r="F1206" s="1">
        <v>45440</v>
      </c>
      <c r="G1206" t="s">
        <v>3208</v>
      </c>
      <c r="I1206">
        <f>_xll.ciqfunctions.udf.CIQ(A1206, "IQ_MARKETCAP", F1206)</f>
        <v>274309.90110000002</v>
      </c>
      <c r="J1206">
        <f>_xll.ciqfunctions.udf.CIQ(A1206, "IQ_PRICE_VOL_HIST_6MTH", F1206)</f>
        <v>18.719100000000001</v>
      </c>
      <c r="K1206">
        <f>_xll.ciqfunctions.udf.CIQ(A1206, "IQ_LASTSALEPRICE", WORKDAY(F1206,-1))</f>
        <v>157.06</v>
      </c>
      <c r="L1206">
        <f>_xll.ciqfunctions.udf.CIQ(A1206, "IQ_LASTSALEPRICE", F1206)</f>
        <v>155.34</v>
      </c>
      <c r="M1206">
        <f>_xll.ciqfunctions.udf.CIQ(A1206, "IQ_LASTSALEPRICE", WORKDAY(F1206,5))</f>
        <v>162.13999999999999</v>
      </c>
      <c r="N1206">
        <f t="shared" si="36"/>
        <v>-1.1011634955227351E-2</v>
      </c>
      <c r="O1206">
        <f t="shared" si="37"/>
        <v>3.1832261612832487E-2</v>
      </c>
      <c r="P1206">
        <f>LN(_xll.ciqfunctions.udf.CIQ("XBI", "IQ_LASTSALEPRICE", WORKDAY(F1206,-1))/_xll.ciqfunctions.udf.CIQ("XBI", "IQ_LASTSALEPRICE", WORKDAY(F1206,1)))</f>
        <v>1.5314234973042356E-2</v>
      </c>
      <c r="Q1206">
        <f>LN(_xll.ciqfunctions.udf.CIQ("XBI", "IQ_LASTSALEPRICE", WORKDAY(F1206,-1))/_xll.ciqfunctions.udf.CIQ("XBI", "IQ_LASTSALEPRICE", WORKDAY(F1206,5)))</f>
        <v>-2.6001464815201828E-2</v>
      </c>
      <c r="R1206">
        <f>_xll.ciqfunctions.udf.CIQ(A1206, "IQ_SHORT_INTEREST_PERCENT", F1206)</f>
        <v>0.90198</v>
      </c>
      <c r="S1206">
        <f>_xll.ciqfunctions.udf.CIQ(A1206, "IQ_BETA_1YR_RSQ", F1206)</f>
        <v>4.1209999999999997E-2</v>
      </c>
      <c r="T1206">
        <f>_xll.ciqfunctions.udf.CIQ(A1206, "IQ_VALUE_TRADED", F1206)</f>
        <v>859.56876</v>
      </c>
    </row>
    <row r="1207" spans="1:20" x14ac:dyDescent="0.3">
      <c r="A1207" t="s">
        <v>208</v>
      </c>
      <c r="B1207" s="2">
        <v>152.69</v>
      </c>
      <c r="C1207" t="s">
        <v>3209</v>
      </c>
      <c r="D1207" t="s">
        <v>243</v>
      </c>
      <c r="E1207" t="s">
        <v>22</v>
      </c>
      <c r="F1207" s="1">
        <v>45440</v>
      </c>
      <c r="G1207" t="s">
        <v>3210</v>
      </c>
      <c r="I1207">
        <f>_xll.ciqfunctions.udf.CIQ(A1207, "IQ_MARKETCAP", F1207)</f>
        <v>274309.90110000002</v>
      </c>
      <c r="J1207">
        <f>_xll.ciqfunctions.udf.CIQ(A1207, "IQ_PRICE_VOL_HIST_6MTH", F1207)</f>
        <v>18.719100000000001</v>
      </c>
      <c r="K1207">
        <f>_xll.ciqfunctions.udf.CIQ(A1207, "IQ_LASTSALEPRICE", WORKDAY(F1207,-1))</f>
        <v>157.06</v>
      </c>
      <c r="L1207">
        <f>_xll.ciqfunctions.udf.CIQ(A1207, "IQ_LASTSALEPRICE", F1207)</f>
        <v>155.34</v>
      </c>
      <c r="M1207">
        <f>_xll.ciqfunctions.udf.CIQ(A1207, "IQ_LASTSALEPRICE", WORKDAY(F1207,5))</f>
        <v>162.13999999999999</v>
      </c>
      <c r="N1207">
        <f t="shared" si="36"/>
        <v>-1.1011634955227351E-2</v>
      </c>
      <c r="O1207">
        <f t="shared" si="37"/>
        <v>3.1832261612832487E-2</v>
      </c>
      <c r="P1207">
        <f>LN(_xll.ciqfunctions.udf.CIQ("XBI", "IQ_LASTSALEPRICE", WORKDAY(F1207,-1))/_xll.ciqfunctions.udf.CIQ("XBI", "IQ_LASTSALEPRICE", WORKDAY(F1207,1)))</f>
        <v>1.5314234973042356E-2</v>
      </c>
      <c r="Q1207">
        <f>LN(_xll.ciqfunctions.udf.CIQ("XBI", "IQ_LASTSALEPRICE", WORKDAY(F1207,-1))/_xll.ciqfunctions.udf.CIQ("XBI", "IQ_LASTSALEPRICE", WORKDAY(F1207,5)))</f>
        <v>-2.6001464815201828E-2</v>
      </c>
      <c r="R1207">
        <f>_xll.ciqfunctions.udf.CIQ(A1207, "IQ_SHORT_INTEREST_PERCENT", F1207)</f>
        <v>0.90198</v>
      </c>
      <c r="S1207">
        <f>_xll.ciqfunctions.udf.CIQ(A1207, "IQ_BETA_1YR_RSQ", F1207)</f>
        <v>4.1209999999999997E-2</v>
      </c>
      <c r="T1207">
        <f>_xll.ciqfunctions.udf.CIQ(A1207, "IQ_VALUE_TRADED", F1207)</f>
        <v>859.56876</v>
      </c>
    </row>
    <row r="1208" spans="1:20" x14ac:dyDescent="0.3">
      <c r="A1208" t="s">
        <v>433</v>
      </c>
      <c r="B1208" s="2">
        <v>76.150000000000006</v>
      </c>
      <c r="C1208" t="s">
        <v>3211</v>
      </c>
      <c r="D1208" t="s">
        <v>253</v>
      </c>
      <c r="E1208" t="s">
        <v>36</v>
      </c>
      <c r="F1208" s="1">
        <v>45440</v>
      </c>
      <c r="G1208" t="s">
        <v>3212</v>
      </c>
      <c r="I1208">
        <f>_xll.ciqfunctions.udf.CIQ(A1208, "IQ_MARKETCAP", F1208)</f>
        <v>186462.26881000001</v>
      </c>
      <c r="J1208">
        <f>_xll.ciqfunctions.udf.CIQ(A1208, "IQ_PRICE_VOL_HIST_6MTH", F1208)</f>
        <v>21.642600000000002</v>
      </c>
      <c r="K1208">
        <f>_xll.ciqfunctions.udf.CIQ(A1208, "IQ_LASTSALEPRICE", WORKDAY(F1208,-1))</f>
        <v>122.96</v>
      </c>
      <c r="L1208">
        <f>_xll.ciqfunctions.udf.CIQ(A1208, "IQ_LASTSALEPRICE", F1208)</f>
        <v>120.28</v>
      </c>
      <c r="M1208">
        <f>_xll.ciqfunctions.udf.CIQ(A1208, "IQ_LASTSALEPRICE", WORKDAY(F1208,5))</f>
        <v>124.04</v>
      </c>
      <c r="N1208">
        <f t="shared" si="36"/>
        <v>-2.2036741110012026E-2</v>
      </c>
      <c r="O1208">
        <f t="shared" si="37"/>
        <v>8.7449950019078959E-3</v>
      </c>
      <c r="P1208">
        <f>LN(_xll.ciqfunctions.udf.CIQ("XBI", "IQ_LASTSALEPRICE", WORKDAY(F1208,-1))/_xll.ciqfunctions.udf.CIQ("XBI", "IQ_LASTSALEPRICE", WORKDAY(F1208,1)))</f>
        <v>1.5314234973042356E-2</v>
      </c>
      <c r="Q1208">
        <f>LN(_xll.ciqfunctions.udf.CIQ("XBI", "IQ_LASTSALEPRICE", WORKDAY(F1208,-1))/_xll.ciqfunctions.udf.CIQ("XBI", "IQ_LASTSALEPRICE", WORKDAY(F1208,5)))</f>
        <v>-2.6001464815201828E-2</v>
      </c>
      <c r="R1208">
        <f>_xll.ciqfunctions.udf.CIQ(A1208, "IQ_SHORT_INTEREST_PERCENT", F1208)</f>
        <v>0</v>
      </c>
      <c r="S1208">
        <f>_xll.ciqfunctions.udf.CIQ(A1208, "IQ_BETA_1YR_RSQ", F1208)</f>
        <v>0.18043999999999999</v>
      </c>
      <c r="T1208">
        <f>_xll.ciqfunctions.udf.CIQ(A1208, "IQ_VALUE_TRADED", F1208)</f>
        <v>264.24277000000001</v>
      </c>
    </row>
    <row r="1209" spans="1:20" x14ac:dyDescent="0.3">
      <c r="A1209" t="s">
        <v>42</v>
      </c>
      <c r="B1209" s="2">
        <v>99.68</v>
      </c>
      <c r="C1209" t="s">
        <v>3213</v>
      </c>
      <c r="D1209" t="s">
        <v>3214</v>
      </c>
      <c r="E1209" t="s">
        <v>36</v>
      </c>
      <c r="F1209" s="1">
        <v>45440</v>
      </c>
      <c r="G1209" t="s">
        <v>3215</v>
      </c>
      <c r="I1209">
        <f>_xll.ciqfunctions.udf.CIQ(A1209, "IQ_MARKETCAP", F1209)</f>
        <v>1489.3475900000001</v>
      </c>
      <c r="J1209">
        <f>_xll.ciqfunctions.udf.CIQ(A1209, "IQ_PRICE_VOL_HIST_6MTH", F1209)</f>
        <v>56.976300000000002</v>
      </c>
      <c r="K1209">
        <f>_xll.ciqfunctions.udf.CIQ(A1209, "IQ_LASTSALEPRICE", WORKDAY(F1209,-1))</f>
        <v>4.5</v>
      </c>
      <c r="L1209">
        <f>_xll.ciqfunctions.udf.CIQ(A1209, "IQ_LASTSALEPRICE", F1209)</f>
        <v>4.8</v>
      </c>
      <c r="M1209">
        <f>_xll.ciqfunctions.udf.CIQ(A1209, "IQ_LASTSALEPRICE", WORKDAY(F1209,5))</f>
        <v>5.24</v>
      </c>
      <c r="N1209">
        <f t="shared" si="36"/>
        <v>6.4538521137571164E-2</v>
      </c>
      <c r="O1209">
        <f t="shared" si="37"/>
        <v>0.15224410155667667</v>
      </c>
      <c r="P1209">
        <f>LN(_xll.ciqfunctions.udf.CIQ("XBI", "IQ_LASTSALEPRICE", WORKDAY(F1209,-1))/_xll.ciqfunctions.udf.CIQ("XBI", "IQ_LASTSALEPRICE", WORKDAY(F1209,1)))</f>
        <v>1.5314234973042356E-2</v>
      </c>
      <c r="Q1209">
        <f>LN(_xll.ciqfunctions.udf.CIQ("XBI", "IQ_LASTSALEPRICE", WORKDAY(F1209,-1))/_xll.ciqfunctions.udf.CIQ("XBI", "IQ_LASTSALEPRICE", WORKDAY(F1209,5)))</f>
        <v>-2.6001464815201828E-2</v>
      </c>
      <c r="R1209">
        <f>_xll.ciqfunctions.udf.CIQ(A1209, "IQ_SHORT_INTEREST_PERCENT", F1209)</f>
        <v>0</v>
      </c>
      <c r="S1209">
        <f>_xll.ciqfunctions.udf.CIQ(A1209, "IQ_BETA_1YR_RSQ", F1209)</f>
        <v>1.31E-3</v>
      </c>
      <c r="T1209">
        <f>_xll.ciqfunctions.udf.CIQ(A1209, "IQ_VALUE_TRADED", F1209)</f>
        <v>4.8770000000000001E-2</v>
      </c>
    </row>
    <row r="1210" spans="1:20" x14ac:dyDescent="0.3">
      <c r="A1210" t="s">
        <v>42</v>
      </c>
      <c r="B1210" s="2">
        <v>99.68</v>
      </c>
      <c r="C1210" t="s">
        <v>2285</v>
      </c>
      <c r="D1210" t="s">
        <v>3216</v>
      </c>
      <c r="E1210" t="s">
        <v>36</v>
      </c>
      <c r="F1210" s="1">
        <v>45440</v>
      </c>
      <c r="G1210" t="s">
        <v>3217</v>
      </c>
      <c r="I1210">
        <f>_xll.ciqfunctions.udf.CIQ(A1210, "IQ_MARKETCAP", F1210)</f>
        <v>1489.3475900000001</v>
      </c>
      <c r="J1210">
        <f>_xll.ciqfunctions.udf.CIQ(A1210, "IQ_PRICE_VOL_HIST_6MTH", F1210)</f>
        <v>56.976300000000002</v>
      </c>
      <c r="K1210">
        <f>_xll.ciqfunctions.udf.CIQ(A1210, "IQ_LASTSALEPRICE", WORKDAY(F1210,-1))</f>
        <v>4.5</v>
      </c>
      <c r="L1210">
        <f>_xll.ciqfunctions.udf.CIQ(A1210, "IQ_LASTSALEPRICE", F1210)</f>
        <v>4.8</v>
      </c>
      <c r="M1210">
        <f>_xll.ciqfunctions.udf.CIQ(A1210, "IQ_LASTSALEPRICE", WORKDAY(F1210,5))</f>
        <v>5.24</v>
      </c>
      <c r="N1210">
        <f t="shared" si="36"/>
        <v>6.4538521137571164E-2</v>
      </c>
      <c r="O1210">
        <f t="shared" si="37"/>
        <v>0.15224410155667667</v>
      </c>
      <c r="P1210">
        <f>LN(_xll.ciqfunctions.udf.CIQ("XBI", "IQ_LASTSALEPRICE", WORKDAY(F1210,-1))/_xll.ciqfunctions.udf.CIQ("XBI", "IQ_LASTSALEPRICE", WORKDAY(F1210,1)))</f>
        <v>1.5314234973042356E-2</v>
      </c>
      <c r="Q1210">
        <f>LN(_xll.ciqfunctions.udf.CIQ("XBI", "IQ_LASTSALEPRICE", WORKDAY(F1210,-1))/_xll.ciqfunctions.udf.CIQ("XBI", "IQ_LASTSALEPRICE", WORKDAY(F1210,5)))</f>
        <v>-2.6001464815201828E-2</v>
      </c>
      <c r="R1210">
        <f>_xll.ciqfunctions.udf.CIQ(A1210, "IQ_SHORT_INTEREST_PERCENT", F1210)</f>
        <v>0</v>
      </c>
      <c r="S1210">
        <f>_xll.ciqfunctions.udf.CIQ(A1210, "IQ_BETA_1YR_RSQ", F1210)</f>
        <v>1.31E-3</v>
      </c>
      <c r="T1210">
        <f>_xll.ciqfunctions.udf.CIQ(A1210, "IQ_VALUE_TRADED", F1210)</f>
        <v>4.8770000000000001E-2</v>
      </c>
    </row>
    <row r="1211" spans="1:20" x14ac:dyDescent="0.3">
      <c r="A1211" t="s">
        <v>3218</v>
      </c>
      <c r="B1211" s="2">
        <v>3.71</v>
      </c>
      <c r="C1211" t="s">
        <v>3219</v>
      </c>
      <c r="D1211" t="s">
        <v>3220</v>
      </c>
      <c r="E1211" t="s">
        <v>76</v>
      </c>
      <c r="F1211" s="1">
        <v>45440</v>
      </c>
      <c r="G1211" t="s">
        <v>3221</v>
      </c>
      <c r="H1211">
        <v>294</v>
      </c>
      <c r="I1211">
        <f>_xll.ciqfunctions.udf.CIQ(A1211, "IQ_MARKETCAP", F1211)</f>
        <v>237.15518</v>
      </c>
      <c r="J1211">
        <f>_xll.ciqfunctions.udf.CIQ(A1211, "IQ_PRICE_VOL_HIST_6MTH", F1211)</f>
        <v>127.4935</v>
      </c>
      <c r="K1211">
        <f>_xll.ciqfunctions.udf.CIQ(A1211, "IQ_LASTSALEPRICE", WORKDAY(F1211,-1))</f>
        <v>3.37</v>
      </c>
      <c r="L1211">
        <f>_xll.ciqfunctions.udf.CIQ(A1211, "IQ_LASTSALEPRICE", F1211)</f>
        <v>3.71</v>
      </c>
      <c r="M1211">
        <f>_xll.ciqfunctions.udf.CIQ(A1211, "IQ_LASTSALEPRICE", WORKDAY(F1211,5))</f>
        <v>3.21</v>
      </c>
      <c r="N1211">
        <f t="shared" si="36"/>
        <v>9.6119132255073347E-2</v>
      </c>
      <c r="O1211">
        <f t="shared" si="37"/>
        <v>-4.8641807222345949E-2</v>
      </c>
      <c r="P1211">
        <f>LN(_xll.ciqfunctions.udf.CIQ("XBI", "IQ_LASTSALEPRICE", WORKDAY(F1211,-1))/_xll.ciqfunctions.udf.CIQ("XBI", "IQ_LASTSALEPRICE", WORKDAY(F1211,1)))</f>
        <v>1.5314234973042356E-2</v>
      </c>
      <c r="Q1211">
        <f>LN(_xll.ciqfunctions.udf.CIQ("XBI", "IQ_LASTSALEPRICE", WORKDAY(F1211,-1))/_xll.ciqfunctions.udf.CIQ("XBI", "IQ_LASTSALEPRICE", WORKDAY(F1211,5)))</f>
        <v>-2.6001464815201828E-2</v>
      </c>
      <c r="R1211">
        <f>_xll.ciqfunctions.udf.CIQ(A1211, "IQ_SHORT_INTEREST_PERCENT", F1211)</f>
        <v>15.47241</v>
      </c>
      <c r="S1211">
        <f>_xll.ciqfunctions.udf.CIQ(A1211, "IQ_BETA_1YR_RSQ", F1211)</f>
        <v>5.6320000000000002E-2</v>
      </c>
      <c r="T1211">
        <f>_xll.ciqfunctions.udf.CIQ(A1211, "IQ_VALUE_TRADED", F1211)</f>
        <v>2.20729</v>
      </c>
    </row>
    <row r="1212" spans="1:20" x14ac:dyDescent="0.3">
      <c r="A1212" t="s">
        <v>1122</v>
      </c>
      <c r="B1212" s="2">
        <v>1.66</v>
      </c>
      <c r="C1212" t="s">
        <v>3222</v>
      </c>
      <c r="D1212" t="s">
        <v>183</v>
      </c>
      <c r="E1212" t="s">
        <v>89</v>
      </c>
      <c r="F1212" s="1">
        <v>45440</v>
      </c>
      <c r="G1212" t="s">
        <v>3223</v>
      </c>
      <c r="H1212">
        <v>59</v>
      </c>
      <c r="I1212">
        <f>_xll.ciqfunctions.udf.CIQ(A1212, "IQ_MARKETCAP", F1212)</f>
        <v>91.264250000000004</v>
      </c>
      <c r="J1212">
        <f>_xll.ciqfunctions.udf.CIQ(A1212, "IQ_PRICE_VOL_HIST_6MTH", F1212)</f>
        <v>204.70529999999999</v>
      </c>
      <c r="K1212">
        <f>_xll.ciqfunctions.udf.CIQ(A1212, "IQ_LASTSALEPRICE", WORKDAY(F1212,-1))</f>
        <v>1.67</v>
      </c>
      <c r="L1212">
        <f>_xll.ciqfunctions.udf.CIQ(A1212, "IQ_LASTSALEPRICE", F1212)</f>
        <v>1.66</v>
      </c>
      <c r="M1212">
        <f>_xll.ciqfunctions.udf.CIQ(A1212, "IQ_LASTSALEPRICE", WORKDAY(F1212,5))</f>
        <v>1.64</v>
      </c>
      <c r="N1212">
        <f t="shared" si="36"/>
        <v>-6.0060240602119218E-3</v>
      </c>
      <c r="O1212">
        <f t="shared" si="37"/>
        <v>-1.8127384592556715E-2</v>
      </c>
      <c r="P1212">
        <f>LN(_xll.ciqfunctions.udf.CIQ("XBI", "IQ_LASTSALEPRICE", WORKDAY(F1212,-1))/_xll.ciqfunctions.udf.CIQ("XBI", "IQ_LASTSALEPRICE", WORKDAY(F1212,1)))</f>
        <v>1.5314234973042356E-2</v>
      </c>
      <c r="Q1212">
        <f>LN(_xll.ciqfunctions.udf.CIQ("XBI", "IQ_LASTSALEPRICE", WORKDAY(F1212,-1))/_xll.ciqfunctions.udf.CIQ("XBI", "IQ_LASTSALEPRICE", WORKDAY(F1212,5)))</f>
        <v>-2.6001464815201828E-2</v>
      </c>
      <c r="R1212">
        <f>_xll.ciqfunctions.udf.CIQ(A1212, "IQ_SHORT_INTEREST_PERCENT", F1212)</f>
        <v>1.2383299999999999</v>
      </c>
      <c r="S1212">
        <f>_xll.ciqfunctions.udf.CIQ(A1212, "IQ_BETA_1YR_RSQ", F1212)</f>
        <v>3.29E-3</v>
      </c>
      <c r="T1212">
        <f>_xll.ciqfunctions.udf.CIQ(A1212, "IQ_VALUE_TRADED", F1212)</f>
        <v>0.96203000000000005</v>
      </c>
    </row>
    <row r="1213" spans="1:20" x14ac:dyDescent="0.3">
      <c r="A1213" t="s">
        <v>528</v>
      </c>
      <c r="B1213" s="2">
        <v>10.33</v>
      </c>
      <c r="C1213" t="s">
        <v>3224</v>
      </c>
      <c r="D1213" t="s">
        <v>243</v>
      </c>
      <c r="E1213" t="s">
        <v>22</v>
      </c>
      <c r="F1213" s="1">
        <v>45440</v>
      </c>
      <c r="G1213" t="s">
        <v>3225</v>
      </c>
      <c r="H1213">
        <v>96</v>
      </c>
      <c r="I1213">
        <f>_xll.ciqfunctions.udf.CIQ(A1213, "IQ_MARKETCAP", F1213)</f>
        <v>823.85949000000005</v>
      </c>
      <c r="J1213">
        <f>_xll.ciqfunctions.udf.CIQ(A1213, "IQ_PRICE_VOL_HIST_6MTH", F1213)</f>
        <v>73.847099999999998</v>
      </c>
      <c r="K1213">
        <f>_xll.ciqfunctions.udf.CIQ(A1213, "IQ_LASTSALEPRICE", WORKDAY(F1213,-1))</f>
        <v>10.67</v>
      </c>
      <c r="L1213">
        <f>_xll.ciqfunctions.udf.CIQ(A1213, "IQ_LASTSALEPRICE", F1213)</f>
        <v>10.33</v>
      </c>
      <c r="M1213">
        <f>_xll.ciqfunctions.udf.CIQ(A1213, "IQ_LASTSALEPRICE", WORKDAY(F1213,5))</f>
        <v>9.8000000000000007</v>
      </c>
      <c r="N1213">
        <f t="shared" si="36"/>
        <v>-3.2383782182114809E-2</v>
      </c>
      <c r="O1213">
        <f t="shared" si="37"/>
        <v>-8.5053679637135698E-2</v>
      </c>
      <c r="P1213">
        <f>LN(_xll.ciqfunctions.udf.CIQ("XBI", "IQ_LASTSALEPRICE", WORKDAY(F1213,-1))/_xll.ciqfunctions.udf.CIQ("XBI", "IQ_LASTSALEPRICE", WORKDAY(F1213,1)))</f>
        <v>1.5314234973042356E-2</v>
      </c>
      <c r="Q1213">
        <f>LN(_xll.ciqfunctions.udf.CIQ("XBI", "IQ_LASTSALEPRICE", WORKDAY(F1213,-1))/_xll.ciqfunctions.udf.CIQ("XBI", "IQ_LASTSALEPRICE", WORKDAY(F1213,5)))</f>
        <v>-2.6001464815201828E-2</v>
      </c>
      <c r="R1213">
        <f>_xll.ciqfunctions.udf.CIQ(A1213, "IQ_SHORT_INTEREST_PERCENT", F1213)</f>
        <v>16.708100000000002</v>
      </c>
      <c r="S1213">
        <f>_xll.ciqfunctions.udf.CIQ(A1213, "IQ_BETA_1YR_RSQ", F1213)</f>
        <v>1.576E-2</v>
      </c>
      <c r="T1213">
        <f>_xll.ciqfunctions.udf.CIQ(A1213, "IQ_VALUE_TRADED", F1213)</f>
        <v>9.8230900000000005</v>
      </c>
    </row>
    <row r="1214" spans="1:20" x14ac:dyDescent="0.3">
      <c r="A1214" t="s">
        <v>3226</v>
      </c>
      <c r="B1214" s="2">
        <v>38.61</v>
      </c>
      <c r="C1214" t="s">
        <v>3227</v>
      </c>
      <c r="D1214" t="s">
        <v>1564</v>
      </c>
      <c r="E1214" t="s">
        <v>76</v>
      </c>
      <c r="F1214" s="1">
        <v>45440</v>
      </c>
      <c r="G1214" t="s">
        <v>3228</v>
      </c>
      <c r="H1214">
        <v>77</v>
      </c>
      <c r="I1214">
        <f>_xll.ciqfunctions.udf.CIQ(A1214, "IQ_MARKETCAP", F1214)</f>
        <v>2913.8535700000002</v>
      </c>
      <c r="J1214">
        <f>_xll.ciqfunctions.udf.CIQ(A1214, "IQ_PRICE_VOL_HIST_6MTH", F1214)</f>
        <v>36.239699999999999</v>
      </c>
      <c r="K1214">
        <f>_xll.ciqfunctions.udf.CIQ(A1214, "IQ_LASTSALEPRICE", WORKDAY(F1214,-1))</f>
        <v>38.369999999999997</v>
      </c>
      <c r="L1214">
        <f>_xll.ciqfunctions.udf.CIQ(A1214, "IQ_LASTSALEPRICE", F1214)</f>
        <v>38.61</v>
      </c>
      <c r="M1214">
        <f>_xll.ciqfunctions.udf.CIQ(A1214, "IQ_LASTSALEPRICE", WORKDAY(F1214,5))</f>
        <v>38.1</v>
      </c>
      <c r="N1214">
        <f t="shared" si="36"/>
        <v>6.2354060172840672E-3</v>
      </c>
      <c r="O1214">
        <f t="shared" si="37"/>
        <v>-7.0616221262056449E-3</v>
      </c>
      <c r="P1214">
        <f>LN(_xll.ciqfunctions.udf.CIQ("XBI", "IQ_LASTSALEPRICE", WORKDAY(F1214,-1))/_xll.ciqfunctions.udf.CIQ("XBI", "IQ_LASTSALEPRICE", WORKDAY(F1214,1)))</f>
        <v>1.5314234973042356E-2</v>
      </c>
      <c r="Q1214">
        <f>LN(_xll.ciqfunctions.udf.CIQ("XBI", "IQ_LASTSALEPRICE", WORKDAY(F1214,-1))/_xll.ciqfunctions.udf.CIQ("XBI", "IQ_LASTSALEPRICE", WORKDAY(F1214,5)))</f>
        <v>-2.6001464815201828E-2</v>
      </c>
      <c r="R1214">
        <f>_xll.ciqfunctions.udf.CIQ(A1214, "IQ_SHORT_INTEREST_PERCENT", F1214)</f>
        <v>3.7343099999999998</v>
      </c>
      <c r="S1214">
        <f>_xll.ciqfunctions.udf.CIQ(A1214, "IQ_BETA_1YR_RSQ", F1214)</f>
        <v>7.2069999999999995E-2</v>
      </c>
      <c r="T1214">
        <f>_xll.ciqfunctions.udf.CIQ(A1214, "IQ_VALUE_TRADED", F1214)</f>
        <v>12.78844</v>
      </c>
    </row>
    <row r="1215" spans="1:20" x14ac:dyDescent="0.3">
      <c r="A1215" t="s">
        <v>770</v>
      </c>
      <c r="B1215" s="2">
        <v>3.83</v>
      </c>
      <c r="C1215" t="s">
        <v>771</v>
      </c>
      <c r="D1215" t="s">
        <v>772</v>
      </c>
      <c r="E1215" t="s">
        <v>27</v>
      </c>
      <c r="F1215" s="1">
        <v>45440</v>
      </c>
      <c r="G1215" t="s">
        <v>3229</v>
      </c>
      <c r="H1215">
        <v>19</v>
      </c>
      <c r="I1215">
        <f>_xll.ciqfunctions.udf.CIQ(A1215, "IQ_MARKETCAP", F1215)</f>
        <v>41.076720000000002</v>
      </c>
      <c r="J1215">
        <f>_xll.ciqfunctions.udf.CIQ(A1215, "IQ_PRICE_VOL_HIST_6MTH", F1215)</f>
        <v>158.3099</v>
      </c>
      <c r="K1215">
        <f>_xll.ciqfunctions.udf.CIQ(A1215, "IQ_LASTSALEPRICE", WORKDAY(F1215,-1))</f>
        <v>3.95</v>
      </c>
      <c r="L1215">
        <f>_xll.ciqfunctions.udf.CIQ(A1215, "IQ_LASTSALEPRICE", F1215)</f>
        <v>3.83</v>
      </c>
      <c r="M1215">
        <f>_xll.ciqfunctions.udf.CIQ(A1215, "IQ_LASTSALEPRICE", WORKDAY(F1215,5))</f>
        <v>3.54</v>
      </c>
      <c r="N1215">
        <f t="shared" si="36"/>
        <v>-3.0850775720475933E-2</v>
      </c>
      <c r="O1215">
        <f t="shared" si="37"/>
        <v>-0.10958885176734741</v>
      </c>
      <c r="P1215">
        <f>LN(_xll.ciqfunctions.udf.CIQ("XBI", "IQ_LASTSALEPRICE", WORKDAY(F1215,-1))/_xll.ciqfunctions.udf.CIQ("XBI", "IQ_LASTSALEPRICE", WORKDAY(F1215,1)))</f>
        <v>1.5314234973042356E-2</v>
      </c>
      <c r="Q1215">
        <f>LN(_xll.ciqfunctions.udf.CIQ("XBI", "IQ_LASTSALEPRICE", WORKDAY(F1215,-1))/_xll.ciqfunctions.udf.CIQ("XBI", "IQ_LASTSALEPRICE", WORKDAY(F1215,5)))</f>
        <v>-2.6001464815201828E-2</v>
      </c>
      <c r="R1215">
        <f>_xll.ciqfunctions.udf.CIQ(A1215, "IQ_SHORT_INTEREST_PERCENT", F1215)</f>
        <v>4.5489899999999999</v>
      </c>
      <c r="S1215">
        <f>_xll.ciqfunctions.udf.CIQ(A1215, "IQ_BETA_1YR_RSQ", F1215)</f>
        <v>6.2899999999999998E-2</v>
      </c>
      <c r="T1215">
        <f>_xll.ciqfunctions.udf.CIQ(A1215, "IQ_VALUE_TRADED", F1215)</f>
        <v>0.51176999999999995</v>
      </c>
    </row>
    <row r="1216" spans="1:20" x14ac:dyDescent="0.3">
      <c r="A1216" t="s">
        <v>804</v>
      </c>
      <c r="B1216" s="2">
        <v>4.03</v>
      </c>
      <c r="C1216" t="s">
        <v>805</v>
      </c>
      <c r="D1216" t="s">
        <v>806</v>
      </c>
      <c r="E1216" t="s">
        <v>22</v>
      </c>
      <c r="F1216" s="1">
        <v>45440</v>
      </c>
      <c r="G1216" t="s">
        <v>3230</v>
      </c>
      <c r="H1216">
        <v>2</v>
      </c>
      <c r="I1216">
        <f>_xll.ciqfunctions.udf.CIQ(A1216, "IQ_MARKETCAP", F1216)</f>
        <v>19.703579999999999</v>
      </c>
      <c r="J1216">
        <f>_xll.ciqfunctions.udf.CIQ(A1216, "IQ_PRICE_VOL_HIST_6MTH", F1216)</f>
        <v>203.81039999999999</v>
      </c>
      <c r="K1216">
        <f>_xll.ciqfunctions.udf.CIQ(A1216, "IQ_LASTSALEPRICE", WORKDAY(F1216,-1))</f>
        <v>115.75</v>
      </c>
      <c r="L1216">
        <f>_xll.ciqfunctions.udf.CIQ(A1216, "IQ_LASTSALEPRICE", F1216)</f>
        <v>100.75</v>
      </c>
      <c r="M1216">
        <f>_xll.ciqfunctions.udf.CIQ(A1216, "IQ_LASTSALEPRICE", WORKDAY(F1216,5))</f>
        <v>98.5</v>
      </c>
      <c r="N1216">
        <f t="shared" si="36"/>
        <v>-0.13879049213955108</v>
      </c>
      <c r="O1216">
        <f t="shared" si="37"/>
        <v>-0.16137614478830026</v>
      </c>
      <c r="P1216">
        <f>LN(_xll.ciqfunctions.udf.CIQ("XBI", "IQ_LASTSALEPRICE", WORKDAY(F1216,-1))/_xll.ciqfunctions.udf.CIQ("XBI", "IQ_LASTSALEPRICE", WORKDAY(F1216,1)))</f>
        <v>1.5314234973042356E-2</v>
      </c>
      <c r="Q1216">
        <f>LN(_xll.ciqfunctions.udf.CIQ("XBI", "IQ_LASTSALEPRICE", WORKDAY(F1216,-1))/_xll.ciqfunctions.udf.CIQ("XBI", "IQ_LASTSALEPRICE", WORKDAY(F1216,5)))</f>
        <v>-2.6001464815201828E-2</v>
      </c>
      <c r="R1216">
        <f>_xll.ciqfunctions.udf.CIQ(A1216, "IQ_SHORT_INTEREST_PERCENT", F1216)</f>
        <v>4.3319900000000002</v>
      </c>
      <c r="S1216">
        <f>_xll.ciqfunctions.udf.CIQ(A1216, "IQ_BETA_1YR_RSQ", F1216)</f>
        <v>3.64E-3</v>
      </c>
      <c r="T1216">
        <f>_xll.ciqfunctions.udf.CIQ(A1216, "IQ_VALUE_TRADED", F1216)</f>
        <v>5.4802</v>
      </c>
    </row>
    <row r="1217" spans="1:20" x14ac:dyDescent="0.3">
      <c r="A1217" t="s">
        <v>1396</v>
      </c>
      <c r="B1217" s="2">
        <v>5.19</v>
      </c>
      <c r="C1217" t="s">
        <v>3231</v>
      </c>
      <c r="D1217" t="s">
        <v>104</v>
      </c>
      <c r="E1217" t="s">
        <v>17</v>
      </c>
      <c r="F1217" s="1">
        <v>45440</v>
      </c>
      <c r="G1217" t="s">
        <v>3232</v>
      </c>
      <c r="H1217">
        <v>5</v>
      </c>
      <c r="I1217">
        <f>_xll.ciqfunctions.udf.CIQ(A1217, "IQ_MARKETCAP", F1217)</f>
        <v>28.18282</v>
      </c>
      <c r="J1217">
        <f>_xll.ciqfunctions.udf.CIQ(A1217, "IQ_PRICE_VOL_HIST_6MTH", F1217)</f>
        <v>95.761700000000005</v>
      </c>
      <c r="K1217">
        <f>_xll.ciqfunctions.udf.CIQ(A1217, "IQ_LASTSALEPRICE", WORKDAY(F1217,-1))</f>
        <v>5.2990000000000004</v>
      </c>
      <c r="L1217">
        <f>_xll.ciqfunctions.udf.CIQ(A1217, "IQ_LASTSALEPRICE", F1217)</f>
        <v>5.19</v>
      </c>
      <c r="M1217">
        <f>_xll.ciqfunctions.udf.CIQ(A1217, "IQ_LASTSALEPRICE", WORKDAY(F1217,5))</f>
        <v>4.78</v>
      </c>
      <c r="N1217">
        <f t="shared" si="36"/>
        <v>-2.0784426332827781E-2</v>
      </c>
      <c r="O1217">
        <f t="shared" si="37"/>
        <v>-0.10307757700726046</v>
      </c>
      <c r="P1217">
        <f>LN(_xll.ciqfunctions.udf.CIQ("XBI", "IQ_LASTSALEPRICE", WORKDAY(F1217,-1))/_xll.ciqfunctions.udf.CIQ("XBI", "IQ_LASTSALEPRICE", WORKDAY(F1217,1)))</f>
        <v>1.5314234973042356E-2</v>
      </c>
      <c r="Q1217">
        <f>LN(_xll.ciqfunctions.udf.CIQ("XBI", "IQ_LASTSALEPRICE", WORKDAY(F1217,-1))/_xll.ciqfunctions.udf.CIQ("XBI", "IQ_LASTSALEPRICE", WORKDAY(F1217,5)))</f>
        <v>-2.6001464815201828E-2</v>
      </c>
      <c r="R1217">
        <f>_xll.ciqfunctions.udf.CIQ(A1217, "IQ_SHORT_INTEREST_PERCENT", F1217)</f>
        <v>0.59580999999999995</v>
      </c>
      <c r="S1217">
        <f>_xll.ciqfunctions.udf.CIQ(A1217, "IQ_BETA_1YR_RSQ", F1217)</f>
        <v>8.0019999999999994E-2</v>
      </c>
      <c r="T1217">
        <f>_xll.ciqfunctions.udf.CIQ(A1217, "IQ_VALUE_TRADED", F1217)</f>
        <v>0.1019</v>
      </c>
    </row>
    <row r="1218" spans="1:20" x14ac:dyDescent="0.3">
      <c r="A1218" t="s">
        <v>3233</v>
      </c>
      <c r="B1218" s="2">
        <v>6.98</v>
      </c>
      <c r="C1218" t="s">
        <v>3234</v>
      </c>
      <c r="D1218" t="s">
        <v>3235</v>
      </c>
      <c r="E1218" t="s">
        <v>89</v>
      </c>
      <c r="F1218" s="1">
        <v>45440</v>
      </c>
      <c r="G1218" t="s">
        <v>3236</v>
      </c>
      <c r="H1218">
        <v>3</v>
      </c>
      <c r="I1218">
        <f>_xll.ciqfunctions.udf.CIQ(A1218, "IQ_MARKETCAP", F1218)</f>
        <v>7.0048399999999997</v>
      </c>
      <c r="J1218">
        <f>_xll.ciqfunctions.udf.CIQ(A1218, "IQ_PRICE_VOL_HIST_6MTH", F1218)</f>
        <v>124.7266</v>
      </c>
      <c r="K1218">
        <f>_xll.ciqfunctions.udf.CIQ(A1218, "IQ_LASTSALEPRICE", WORKDAY(F1218,-1))</f>
        <v>6.96</v>
      </c>
      <c r="L1218">
        <f>_xll.ciqfunctions.udf.CIQ(A1218, "IQ_LASTSALEPRICE", F1218)</f>
        <v>6.98</v>
      </c>
      <c r="M1218">
        <f>_xll.ciqfunctions.udf.CIQ(A1218, "IQ_LASTSALEPRICE", WORKDAY(F1218,5))</f>
        <v>5.4279999999999999</v>
      </c>
      <c r="N1218">
        <f t="shared" si="36"/>
        <v>2.8694424279529607E-3</v>
      </c>
      <c r="O1218">
        <f t="shared" si="37"/>
        <v>-0.24860873237370559</v>
      </c>
      <c r="P1218">
        <f>LN(_xll.ciqfunctions.udf.CIQ("XBI", "IQ_LASTSALEPRICE", WORKDAY(F1218,-1))/_xll.ciqfunctions.udf.CIQ("XBI", "IQ_LASTSALEPRICE", WORKDAY(F1218,1)))</f>
        <v>1.5314234973042356E-2</v>
      </c>
      <c r="Q1218">
        <f>LN(_xll.ciqfunctions.udf.CIQ("XBI", "IQ_LASTSALEPRICE", WORKDAY(F1218,-1))/_xll.ciqfunctions.udf.CIQ("XBI", "IQ_LASTSALEPRICE", WORKDAY(F1218,5)))</f>
        <v>-2.6001464815201828E-2</v>
      </c>
      <c r="R1218">
        <f>_xll.ciqfunctions.udf.CIQ(A1218, "IQ_SHORT_INTEREST_PERCENT", F1218)</f>
        <v>0.11307</v>
      </c>
      <c r="S1218">
        <f>_xll.ciqfunctions.udf.CIQ(A1218, "IQ_BETA_1YR_RSQ", F1218)</f>
        <v>7.5900000000000004E-3</v>
      </c>
      <c r="T1218">
        <f>_xll.ciqfunctions.udf.CIQ(A1218, "IQ_VALUE_TRADED", F1218)</f>
        <v>0.88270000000000004</v>
      </c>
    </row>
    <row r="1219" spans="1:20" x14ac:dyDescent="0.3">
      <c r="A1219" t="s">
        <v>433</v>
      </c>
      <c r="B1219" s="2">
        <v>76.150000000000006</v>
      </c>
      <c r="C1219" t="s">
        <v>3237</v>
      </c>
      <c r="D1219" t="s">
        <v>3238</v>
      </c>
      <c r="E1219" t="s">
        <v>22</v>
      </c>
      <c r="F1219" s="1">
        <v>45440</v>
      </c>
      <c r="G1219" t="s">
        <v>3239</v>
      </c>
      <c r="I1219">
        <f>_xll.ciqfunctions.udf.CIQ(A1219, "IQ_MARKETCAP", F1219)</f>
        <v>186462.26881000001</v>
      </c>
      <c r="J1219">
        <f>_xll.ciqfunctions.udf.CIQ(A1219, "IQ_PRICE_VOL_HIST_6MTH", F1219)</f>
        <v>21.642600000000002</v>
      </c>
      <c r="K1219">
        <f>_xll.ciqfunctions.udf.CIQ(A1219, "IQ_LASTSALEPRICE", WORKDAY(F1219,-1))</f>
        <v>122.96</v>
      </c>
      <c r="L1219">
        <f>_xll.ciqfunctions.udf.CIQ(A1219, "IQ_LASTSALEPRICE", F1219)</f>
        <v>120.28</v>
      </c>
      <c r="M1219">
        <f>_xll.ciqfunctions.udf.CIQ(A1219, "IQ_LASTSALEPRICE", WORKDAY(F1219,5))</f>
        <v>124.04</v>
      </c>
      <c r="N1219">
        <f t="shared" ref="N1219:N1224" si="38">LN(L1219/K1219)</f>
        <v>-2.2036741110012026E-2</v>
      </c>
      <c r="O1219">
        <f t="shared" ref="O1219:O1224" si="39">LN(M1219/K1219)</f>
        <v>8.7449950019078959E-3</v>
      </c>
      <c r="P1219">
        <f>LN(_xll.ciqfunctions.udf.CIQ("XBI", "IQ_LASTSALEPRICE", WORKDAY(F1219,-1))/_xll.ciqfunctions.udf.CIQ("XBI", "IQ_LASTSALEPRICE", WORKDAY(F1219,1)))</f>
        <v>1.5314234973042356E-2</v>
      </c>
      <c r="Q1219">
        <f>LN(_xll.ciqfunctions.udf.CIQ("XBI", "IQ_LASTSALEPRICE", WORKDAY(F1219,-1))/_xll.ciqfunctions.udf.CIQ("XBI", "IQ_LASTSALEPRICE", WORKDAY(F1219,5)))</f>
        <v>-2.6001464815201828E-2</v>
      </c>
      <c r="R1219">
        <f>_xll.ciqfunctions.udf.CIQ(A1219, "IQ_SHORT_INTEREST_PERCENT", F1219)</f>
        <v>0</v>
      </c>
      <c r="S1219">
        <f>_xll.ciqfunctions.udf.CIQ(A1219, "IQ_BETA_1YR_RSQ", F1219)</f>
        <v>0.18043999999999999</v>
      </c>
      <c r="T1219">
        <f>_xll.ciqfunctions.udf.CIQ(A1219, "IQ_VALUE_TRADED", F1219)</f>
        <v>264.24277000000001</v>
      </c>
    </row>
    <row r="1220" spans="1:20" x14ac:dyDescent="0.3">
      <c r="A1220" t="s">
        <v>3240</v>
      </c>
      <c r="B1220" t="s">
        <v>43</v>
      </c>
      <c r="C1220" t="s">
        <v>3237</v>
      </c>
      <c r="D1220" t="s">
        <v>3238</v>
      </c>
      <c r="E1220" t="s">
        <v>22</v>
      </c>
      <c r="F1220" s="1">
        <v>45440</v>
      </c>
      <c r="G1220" t="s">
        <v>3239</v>
      </c>
      <c r="H1220">
        <v>4</v>
      </c>
      <c r="I1220">
        <f>_xll.ciqfunctions.udf.CIQ(A1220, "IQ_MARKETCAP", F1220)</f>
        <v>0</v>
      </c>
      <c r="J1220">
        <f>_xll.ciqfunctions.udf.CIQ(A1220, "IQ_PRICE_VOL_HIST_6MTH", F1220)</f>
        <v>0</v>
      </c>
      <c r="K1220">
        <f>_xll.ciqfunctions.udf.CIQ(A1220, "IQ_LASTSALEPRICE", WORKDAY(F1220,-1))</f>
        <v>0</v>
      </c>
      <c r="L1220">
        <f>_xll.ciqfunctions.udf.CIQ(A1220, "IQ_LASTSALEPRICE", F1220)</f>
        <v>0</v>
      </c>
      <c r="M1220">
        <f>_xll.ciqfunctions.udf.CIQ(A1220, "IQ_LASTSALEPRICE", WORKDAY(F1220,5))</f>
        <v>0</v>
      </c>
      <c r="N1220" t="e">
        <f t="shared" si="38"/>
        <v>#DIV/0!</v>
      </c>
      <c r="O1220" t="e">
        <f t="shared" si="39"/>
        <v>#DIV/0!</v>
      </c>
      <c r="P1220">
        <f>LN(_xll.ciqfunctions.udf.CIQ("XBI", "IQ_LASTSALEPRICE", WORKDAY(F1220,-1))/_xll.ciqfunctions.udf.CIQ("XBI", "IQ_LASTSALEPRICE", WORKDAY(F1220,1)))</f>
        <v>1.5314234973042356E-2</v>
      </c>
      <c r="Q1220">
        <f>LN(_xll.ciqfunctions.udf.CIQ("XBI", "IQ_LASTSALEPRICE", WORKDAY(F1220,-1))/_xll.ciqfunctions.udf.CIQ("XBI", "IQ_LASTSALEPRICE", WORKDAY(F1220,5)))</f>
        <v>-2.6001464815201828E-2</v>
      </c>
      <c r="R1220">
        <f>_xll.ciqfunctions.udf.CIQ(A1220, "IQ_SHORT_INTEREST_PERCENT", F1220)</f>
        <v>0</v>
      </c>
      <c r="S1220">
        <f>_xll.ciqfunctions.udf.CIQ(A1220, "IQ_BETA_1YR_RSQ", F1220)</f>
        <v>0</v>
      </c>
      <c r="T1220">
        <f>_xll.ciqfunctions.udf.CIQ(A1220, "IQ_VALUE_TRADED", F1220)</f>
        <v>0</v>
      </c>
    </row>
    <row r="1221" spans="1:20" x14ac:dyDescent="0.3">
      <c r="A1221" t="s">
        <v>3241</v>
      </c>
      <c r="B1221" s="2">
        <v>1.33</v>
      </c>
      <c r="C1221" t="s">
        <v>3237</v>
      </c>
      <c r="D1221" t="s">
        <v>3238</v>
      </c>
      <c r="E1221" t="s">
        <v>22</v>
      </c>
      <c r="F1221" s="1">
        <v>45440</v>
      </c>
      <c r="G1221" t="s">
        <v>3239</v>
      </c>
      <c r="H1221">
        <v>48</v>
      </c>
      <c r="I1221">
        <f>_xll.ciqfunctions.udf.CIQ(A1221, "IQ_MARKETCAP", F1221)</f>
        <v>64.183279999999996</v>
      </c>
      <c r="J1221">
        <f>_xll.ciqfunctions.udf.CIQ(A1221, "IQ_PRICE_VOL_HIST_6MTH", F1221)</f>
        <v>0</v>
      </c>
      <c r="K1221">
        <f>_xll.ciqfunctions.udf.CIQ(A1221, "IQ_LASTSALEPRICE", WORKDAY(F1221,-1))</f>
        <v>0</v>
      </c>
      <c r="L1221">
        <f>_xll.ciqfunctions.udf.CIQ(A1221, "IQ_LASTSALEPRICE", F1221)</f>
        <v>0</v>
      </c>
      <c r="M1221">
        <f>_xll.ciqfunctions.udf.CIQ(A1221, "IQ_LASTSALEPRICE", WORKDAY(F1221,5))</f>
        <v>0</v>
      </c>
      <c r="N1221" t="e">
        <f t="shared" si="38"/>
        <v>#DIV/0!</v>
      </c>
      <c r="O1221" t="e">
        <f t="shared" si="39"/>
        <v>#DIV/0!</v>
      </c>
      <c r="P1221">
        <f>LN(_xll.ciqfunctions.udf.CIQ("XBI", "IQ_LASTSALEPRICE", WORKDAY(F1221,-1))/_xll.ciqfunctions.udf.CIQ("XBI", "IQ_LASTSALEPRICE", WORKDAY(F1221,1)))</f>
        <v>1.5314234973042356E-2</v>
      </c>
      <c r="Q1221">
        <f>LN(_xll.ciqfunctions.udf.CIQ("XBI", "IQ_LASTSALEPRICE", WORKDAY(F1221,-1))/_xll.ciqfunctions.udf.CIQ("XBI", "IQ_LASTSALEPRICE", WORKDAY(F1221,5)))</f>
        <v>-2.6001464815201828E-2</v>
      </c>
      <c r="R1221">
        <f>_xll.ciqfunctions.udf.CIQ(A1221, "IQ_SHORT_INTEREST_PERCENT", F1221)</f>
        <v>0</v>
      </c>
      <c r="S1221">
        <f>_xll.ciqfunctions.udf.CIQ(A1221, "IQ_BETA_1YR_RSQ", F1221)</f>
        <v>0</v>
      </c>
      <c r="T1221">
        <f>_xll.ciqfunctions.udf.CIQ(A1221, "IQ_VALUE_TRADED", F1221)</f>
        <v>0</v>
      </c>
    </row>
    <row r="1222" spans="1:20" x14ac:dyDescent="0.3">
      <c r="A1222" t="s">
        <v>1337</v>
      </c>
      <c r="B1222" s="2">
        <v>6.23</v>
      </c>
      <c r="C1222" t="s">
        <v>1338</v>
      </c>
      <c r="D1222" t="s">
        <v>1339</v>
      </c>
      <c r="E1222" t="s">
        <v>89</v>
      </c>
      <c r="F1222" s="1">
        <v>45440</v>
      </c>
      <c r="G1222" t="s">
        <v>3242</v>
      </c>
      <c r="H1222">
        <v>32</v>
      </c>
      <c r="I1222">
        <f>_xll.ciqfunctions.udf.CIQ(A1222, "IQ_MARKETCAP", F1222)</f>
        <v>184.46914000000001</v>
      </c>
      <c r="J1222">
        <f>_xll.ciqfunctions.udf.CIQ(A1222, "IQ_PRICE_VOL_HIST_6MTH", F1222)</f>
        <v>0</v>
      </c>
      <c r="K1222">
        <f>_xll.ciqfunctions.udf.CIQ(A1222, "IQ_LASTSALEPRICE", WORKDAY(F1222,-1))</f>
        <v>6.74</v>
      </c>
      <c r="L1222">
        <f>_xll.ciqfunctions.udf.CIQ(A1222, "IQ_LASTSALEPRICE", F1222)</f>
        <v>6.23</v>
      </c>
      <c r="M1222">
        <f>_xll.ciqfunctions.udf.CIQ(A1222, "IQ_LASTSALEPRICE", WORKDAY(F1222,5))</f>
        <v>5.28</v>
      </c>
      <c r="N1222">
        <f t="shared" si="38"/>
        <v>-7.8683592124853888E-2</v>
      </c>
      <c r="O1222">
        <f t="shared" si="39"/>
        <v>-0.24413382720604562</v>
      </c>
      <c r="P1222">
        <f>LN(_xll.ciqfunctions.udf.CIQ("XBI", "IQ_LASTSALEPRICE", WORKDAY(F1222,-1))/_xll.ciqfunctions.udf.CIQ("XBI", "IQ_LASTSALEPRICE", WORKDAY(F1222,1)))</f>
        <v>1.5314234973042356E-2</v>
      </c>
      <c r="Q1222">
        <f>LN(_xll.ciqfunctions.udf.CIQ("XBI", "IQ_LASTSALEPRICE", WORKDAY(F1222,-1))/_xll.ciqfunctions.udf.CIQ("XBI", "IQ_LASTSALEPRICE", WORKDAY(F1222,5)))</f>
        <v>-2.6001464815201828E-2</v>
      </c>
      <c r="R1222">
        <f>_xll.ciqfunctions.udf.CIQ(A1222, "IQ_SHORT_INTEREST_PERCENT", F1222)</f>
        <v>0.13453999999999999</v>
      </c>
      <c r="S1222">
        <f>_xll.ciqfunctions.udf.CIQ(A1222, "IQ_BETA_1YR_RSQ", F1222)</f>
        <v>3.5810000000000002E-2</v>
      </c>
      <c r="T1222">
        <f>_xll.ciqfunctions.udf.CIQ(A1222, "IQ_VALUE_TRADED", F1222)</f>
        <v>0.48272999999999999</v>
      </c>
    </row>
    <row r="1223" spans="1:20" x14ac:dyDescent="0.3">
      <c r="A1223" t="s">
        <v>1855</v>
      </c>
      <c r="B1223" s="2">
        <v>3.96</v>
      </c>
      <c r="C1223" t="s">
        <v>3243</v>
      </c>
      <c r="D1223" t="s">
        <v>1857</v>
      </c>
      <c r="E1223" t="s">
        <v>36</v>
      </c>
      <c r="F1223" s="1">
        <v>45441</v>
      </c>
      <c r="G1223" t="s">
        <v>3244</v>
      </c>
      <c r="H1223">
        <v>30</v>
      </c>
      <c r="I1223">
        <f>_xll.ciqfunctions.udf.CIQ(A1223, "IQ_MARKETCAP", F1223)</f>
        <v>107.01983</v>
      </c>
      <c r="J1223">
        <f>_xll.ciqfunctions.udf.CIQ(A1223, "IQ_PRICE_VOL_HIST_6MTH", F1223)</f>
        <v>64.888400000000004</v>
      </c>
      <c r="K1223">
        <f>_xll.ciqfunctions.udf.CIQ(A1223, "IQ_LASTSALEPRICE", WORKDAY(F1223,-1))</f>
        <v>4.0599999999999996</v>
      </c>
      <c r="L1223">
        <f>_xll.ciqfunctions.udf.CIQ(A1223, "IQ_LASTSALEPRICE", F1223)</f>
        <v>3.96</v>
      </c>
      <c r="M1223">
        <f>_xll.ciqfunctions.udf.CIQ(A1223, "IQ_LASTSALEPRICE", WORKDAY(F1223,5))</f>
        <v>3.9</v>
      </c>
      <c r="N1223">
        <f t="shared" si="38"/>
        <v>-2.4938948347252066E-2</v>
      </c>
      <c r="O1223">
        <f t="shared" si="39"/>
        <v>-4.0206420478040482E-2</v>
      </c>
      <c r="P1223">
        <f>LN(_xll.ciqfunctions.udf.CIQ("XBI", "IQ_LASTSALEPRICE", WORKDAY(F1223,-1))/_xll.ciqfunctions.udf.CIQ("XBI", "IQ_LASTSALEPRICE", WORKDAY(F1223,1)))</f>
        <v>1.9091476403537769E-3</v>
      </c>
      <c r="Q1223">
        <f>LN(_xll.ciqfunctions.udf.CIQ("XBI", "IQ_LASTSALEPRICE", WORKDAY(F1223,-1))/_xll.ciqfunctions.udf.CIQ("XBI", "IQ_LASTSALEPRICE", WORKDAY(F1223,5)))</f>
        <v>-5.4474585716535844E-2</v>
      </c>
      <c r="R1223">
        <f>_xll.ciqfunctions.udf.CIQ(A1223, "IQ_SHORT_INTEREST_PERCENT", F1223)</f>
        <v>3.9151199999999999</v>
      </c>
      <c r="S1223">
        <f>_xll.ciqfunctions.udf.CIQ(A1223, "IQ_BETA_1YR_RSQ", F1223)</f>
        <v>1.6199999999999999E-3</v>
      </c>
      <c r="T1223">
        <f>_xll.ciqfunctions.udf.CIQ(A1223, "IQ_VALUE_TRADED", F1223)</f>
        <v>0.44107000000000002</v>
      </c>
    </row>
    <row r="1224" spans="1:20" x14ac:dyDescent="0.3">
      <c r="A1224" t="s">
        <v>267</v>
      </c>
      <c r="B1224" s="2">
        <v>4.0199999999999996</v>
      </c>
      <c r="C1224" t="s">
        <v>268</v>
      </c>
      <c r="D1224" t="s">
        <v>269</v>
      </c>
      <c r="E1224" t="s">
        <v>76</v>
      </c>
      <c r="F1224" s="1">
        <v>45441</v>
      </c>
      <c r="G1224" t="s">
        <v>3245</v>
      </c>
      <c r="H1224">
        <v>15</v>
      </c>
      <c r="I1224">
        <f>_xll.ciqfunctions.udf.CIQ(A1224, "IQ_MARKETCAP", F1224)</f>
        <v>61.214399999999998</v>
      </c>
      <c r="J1224">
        <f>_xll.ciqfunctions.udf.CIQ(A1224, "IQ_PRICE_VOL_HIST_6MTH", F1224)</f>
        <v>0</v>
      </c>
      <c r="K1224">
        <f>_xll.ciqfunctions.udf.CIQ(A1224, "IQ_LASTSALEPRICE", WORKDAY(F1224,-1))</f>
        <v>0</v>
      </c>
      <c r="L1224">
        <f>_xll.ciqfunctions.udf.CIQ(A1224, "IQ_LASTSALEPRICE", F1224)</f>
        <v>0</v>
      </c>
      <c r="M1224">
        <f>_xll.ciqfunctions.udf.CIQ(A1224, "IQ_LASTSALEPRICE", WORKDAY(F1224,5))</f>
        <v>0</v>
      </c>
      <c r="N1224" t="e">
        <f t="shared" si="38"/>
        <v>#DIV/0!</v>
      </c>
      <c r="O1224" t="e">
        <f t="shared" si="39"/>
        <v>#DIV/0!</v>
      </c>
      <c r="P1224">
        <f>LN(_xll.ciqfunctions.udf.CIQ("XBI", "IQ_LASTSALEPRICE", WORKDAY(F1224,-1))/_xll.ciqfunctions.udf.CIQ("XBI", "IQ_LASTSALEPRICE", WORKDAY(F1224,1)))</f>
        <v>1.9091476403537769E-3</v>
      </c>
      <c r="Q1224">
        <f>LN(_xll.ciqfunctions.udf.CIQ("XBI", "IQ_LASTSALEPRICE", WORKDAY(F1224,-1))/_xll.ciqfunctions.udf.CIQ("XBI", "IQ_LASTSALEPRICE", WORKDAY(F1224,5)))</f>
        <v>-5.4474585716535844E-2</v>
      </c>
      <c r="R1224">
        <f>_xll.ciqfunctions.udf.CIQ(A1224, "IQ_SHORT_INTEREST_PERCENT", F1224)</f>
        <v>0</v>
      </c>
      <c r="S1224">
        <f>_xll.ciqfunctions.udf.CIQ(A1224, "IQ_BETA_1YR_RSQ", F1224)</f>
        <v>0</v>
      </c>
      <c r="T1224">
        <f>_xll.ciqfunctions.udf.CIQ(A1224, "IQ_VALUE_TRADED", F1224)</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cleaned_catalysts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Safiya Alavi</cp:lastModifiedBy>
  <dcterms:created xsi:type="dcterms:W3CDTF">2025-10-25T00:11:21Z</dcterms:created>
  <dcterms:modified xsi:type="dcterms:W3CDTF">2025-10-25T00:23:50Z</dcterms:modified>
</cp:coreProperties>
</file>